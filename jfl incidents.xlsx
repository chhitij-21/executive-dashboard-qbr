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VidhataSharma\Downloads\"/>
    </mc:Choice>
  </mc:AlternateContent>
  <xr:revisionPtr revIDLastSave="0" documentId="13_ncr:1_{5C052CF7-B2F7-485B-B9F8-F9FE5937EC90}" xr6:coauthVersionLast="47" xr6:coauthVersionMax="47" xr10:uidLastSave="{00000000-0000-0000-0000-000000000000}"/>
  <bookViews>
    <workbookView xWindow="-110" yWindow="-110" windowWidth="19420" windowHeight="10300" activeTab="1" xr2:uid="{2CE0737E-C763-4E8A-9D76-58A0D733313B}"/>
  </bookViews>
  <sheets>
    <sheet name="Raw" sheetId="1" r:id="rId1"/>
    <sheet name="RCA" sheetId="13" r:id="rId2"/>
    <sheet name="Device Wise Uptime " sheetId="2" r:id="rId3"/>
    <sheet name="All Location " sheetId="3" r:id="rId4"/>
    <sheet name="BLR" sheetId="4" r:id="rId5"/>
    <sheet name="Grater Noida " sheetId="5" r:id="rId6"/>
    <sheet name="Guwahati" sheetId="6" r:id="rId7"/>
    <sheet name="Hyd" sheetId="7" r:id="rId8"/>
    <sheet name="mohali" sheetId="8" r:id="rId9"/>
    <sheet name="Mumbai" sheetId="9" r:id="rId10"/>
    <sheet name="Nagpur" sheetId="10" r:id="rId11"/>
    <sheet name="Noida" sheetId="11" r:id="rId12"/>
  </sheets>
  <definedNames>
    <definedName name="_xlnm._FilterDatabase" localSheetId="3" hidden="1">'All Location '!$A$1:$F$435</definedName>
    <definedName name="_xlnm._FilterDatabase" localSheetId="0" hidden="1">Raw!$A$1:$AN$364</definedName>
  </definedNames>
  <calcPr calcId="191029"/>
  <pivotCaches>
    <pivotCache cacheId="0" r:id="rId13"/>
    <pivotCache cacheId="10" r:id="rId14"/>
    <pivotCache cacheId="16"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 i="3" l="1"/>
  <c r="F3" i="3"/>
  <c r="E5" i="3"/>
  <c r="F5" i="3"/>
  <c r="E6" i="3"/>
  <c r="F6" i="3"/>
  <c r="E7" i="3"/>
  <c r="F7" i="3"/>
  <c r="E9" i="3"/>
  <c r="F9" i="3"/>
  <c r="E10" i="3"/>
  <c r="F10" i="3"/>
  <c r="E11" i="3"/>
  <c r="F11" i="3"/>
  <c r="E12" i="3"/>
  <c r="F12" i="3"/>
  <c r="E13" i="3"/>
  <c r="F13" i="3"/>
  <c r="E14" i="3"/>
  <c r="F14" i="3"/>
  <c r="E16" i="3"/>
  <c r="F16" i="3"/>
  <c r="E17" i="3"/>
  <c r="F17" i="3"/>
  <c r="E18" i="3"/>
  <c r="F18" i="3"/>
  <c r="E19" i="3"/>
  <c r="F19" i="3"/>
  <c r="E20" i="3"/>
  <c r="F20" i="3"/>
  <c r="E21" i="3"/>
  <c r="F21" i="3"/>
  <c r="E22" i="3"/>
  <c r="F22" i="3"/>
  <c r="E23" i="3"/>
  <c r="F23" i="3"/>
  <c r="E24" i="3"/>
  <c r="F24" i="3"/>
  <c r="E25" i="3"/>
  <c r="F25" i="3"/>
  <c r="E42" i="3"/>
  <c r="F42" i="3"/>
  <c r="E43" i="3"/>
  <c r="F43" i="3"/>
  <c r="E44" i="3"/>
  <c r="F44" i="3"/>
  <c r="E46" i="3"/>
  <c r="F46" i="3"/>
  <c r="E48" i="3"/>
  <c r="F48" i="3"/>
  <c r="E49" i="3"/>
  <c r="F49" i="3"/>
  <c r="E50" i="3"/>
  <c r="F50" i="3"/>
  <c r="E51" i="3"/>
  <c r="F51" i="3"/>
  <c r="E60" i="3"/>
  <c r="F60" i="3"/>
  <c r="E61" i="3"/>
  <c r="F61" i="3"/>
  <c r="E63" i="3"/>
  <c r="F63" i="3"/>
  <c r="E64" i="3"/>
  <c r="F64" i="3"/>
  <c r="E65" i="3"/>
  <c r="F65" i="3"/>
  <c r="E66" i="3"/>
  <c r="F66" i="3"/>
  <c r="E67" i="3"/>
  <c r="F67" i="3"/>
  <c r="E68" i="3"/>
  <c r="F68" i="3"/>
  <c r="E69" i="3"/>
  <c r="F69" i="3"/>
  <c r="E70" i="3"/>
  <c r="F70" i="3"/>
  <c r="E72" i="3"/>
  <c r="F72" i="3"/>
  <c r="E73" i="3"/>
  <c r="F73" i="3"/>
  <c r="E74" i="3"/>
  <c r="F74" i="3"/>
  <c r="E75" i="3"/>
  <c r="F75" i="3"/>
  <c r="E77" i="3"/>
  <c r="F77" i="3"/>
  <c r="E78" i="3"/>
  <c r="F78" i="3"/>
  <c r="E80" i="3"/>
  <c r="F80" i="3"/>
  <c r="E81" i="3"/>
  <c r="F81" i="3"/>
  <c r="E82" i="3"/>
  <c r="F82" i="3"/>
  <c r="E83" i="3"/>
  <c r="F83" i="3"/>
  <c r="E84" i="3"/>
  <c r="F84" i="3"/>
  <c r="E85" i="3"/>
  <c r="F85" i="3"/>
  <c r="E86" i="3"/>
  <c r="F86" i="3"/>
  <c r="E87" i="3"/>
  <c r="F87" i="3"/>
  <c r="E88" i="3"/>
  <c r="F88" i="3"/>
  <c r="E89" i="3"/>
  <c r="F89" i="3"/>
  <c r="E90" i="3"/>
  <c r="F90" i="3"/>
  <c r="E91" i="3"/>
  <c r="F91" i="3"/>
  <c r="E92" i="3"/>
  <c r="F92" i="3"/>
  <c r="E94" i="3"/>
  <c r="F94" i="3"/>
  <c r="E95" i="3"/>
  <c r="F95" i="3"/>
  <c r="E96" i="3"/>
  <c r="F96" i="3"/>
  <c r="E97" i="3"/>
  <c r="F97" i="3"/>
  <c r="E98" i="3"/>
  <c r="F98" i="3"/>
  <c r="E99" i="3"/>
  <c r="F99" i="3"/>
  <c r="E101" i="3"/>
  <c r="F101" i="3"/>
  <c r="E102" i="3"/>
  <c r="F102" i="3"/>
  <c r="E103" i="3"/>
  <c r="F103" i="3"/>
  <c r="E104" i="3"/>
  <c r="F104" i="3"/>
  <c r="E105" i="3"/>
  <c r="F105" i="3"/>
  <c r="E106" i="3"/>
  <c r="F106" i="3"/>
  <c r="E107" i="3"/>
  <c r="F107" i="3"/>
  <c r="E108" i="3"/>
  <c r="F108" i="3"/>
  <c r="E109" i="3"/>
  <c r="F109" i="3"/>
  <c r="E110" i="3"/>
  <c r="F110" i="3"/>
  <c r="E111" i="3"/>
  <c r="F111" i="3"/>
  <c r="E113" i="3"/>
  <c r="F113" i="3"/>
  <c r="E114" i="3"/>
  <c r="F114" i="3"/>
  <c r="E115" i="3"/>
  <c r="F115" i="3"/>
  <c r="E116" i="3"/>
  <c r="F116" i="3"/>
  <c r="E119" i="3"/>
  <c r="F119" i="3"/>
  <c r="E120" i="3"/>
  <c r="F120" i="3"/>
  <c r="E121" i="3"/>
  <c r="F121" i="3"/>
  <c r="E122" i="3"/>
  <c r="F122" i="3"/>
  <c r="E123" i="3"/>
  <c r="F123" i="3"/>
  <c r="E127" i="3"/>
  <c r="F127" i="3"/>
  <c r="E128" i="3"/>
  <c r="F128" i="3"/>
  <c r="E135" i="3"/>
  <c r="F135" i="3"/>
  <c r="E136" i="3"/>
  <c r="F136" i="3"/>
  <c r="E139" i="3"/>
  <c r="F139" i="3"/>
  <c r="E149" i="3"/>
  <c r="F149" i="3"/>
  <c r="E151" i="3"/>
  <c r="F151" i="3"/>
  <c r="E158" i="3"/>
  <c r="F158" i="3"/>
  <c r="E161" i="3"/>
  <c r="F161" i="3"/>
  <c r="E163" i="3"/>
  <c r="F163" i="3"/>
  <c r="E164" i="3"/>
  <c r="F164" i="3"/>
  <c r="E200" i="3"/>
  <c r="F200" i="3"/>
  <c r="E254" i="3"/>
  <c r="F254" i="3"/>
  <c r="E255" i="3"/>
  <c r="F255" i="3"/>
  <c r="E263" i="3"/>
  <c r="F263" i="3"/>
  <c r="E264" i="3"/>
  <c r="F264" i="3"/>
  <c r="E266" i="3"/>
  <c r="F266" i="3"/>
  <c r="E267" i="3"/>
  <c r="F267" i="3"/>
  <c r="E268" i="3"/>
  <c r="F268" i="3"/>
  <c r="E272" i="3"/>
  <c r="F272" i="3"/>
  <c r="E273" i="3"/>
  <c r="F273" i="3"/>
  <c r="E275" i="3"/>
  <c r="F275" i="3"/>
  <c r="E278" i="3"/>
  <c r="F278" i="3"/>
  <c r="E281" i="3"/>
  <c r="F281" i="3"/>
  <c r="E282" i="3"/>
  <c r="F282" i="3"/>
  <c r="E284" i="3"/>
  <c r="F284" i="3"/>
  <c r="E285" i="3"/>
  <c r="F285" i="3"/>
  <c r="E286" i="3"/>
  <c r="F286" i="3"/>
  <c r="E288" i="3"/>
  <c r="F288" i="3"/>
  <c r="E290" i="3"/>
  <c r="F290" i="3"/>
  <c r="E291" i="3"/>
  <c r="F291" i="3"/>
  <c r="E294" i="3"/>
  <c r="F294" i="3"/>
  <c r="E295" i="3"/>
  <c r="F295" i="3"/>
  <c r="E298" i="3"/>
  <c r="F298" i="3"/>
  <c r="E299" i="3"/>
  <c r="F299" i="3"/>
  <c r="E301" i="3"/>
  <c r="F301" i="3"/>
  <c r="E310" i="3"/>
  <c r="F310" i="3"/>
  <c r="E313" i="3"/>
  <c r="F313" i="3"/>
  <c r="E321" i="3"/>
  <c r="F321" i="3"/>
  <c r="E332" i="3"/>
  <c r="F332" i="3"/>
  <c r="E338" i="3"/>
  <c r="F338" i="3"/>
  <c r="E341" i="3"/>
  <c r="F341" i="3"/>
  <c r="E342" i="3"/>
  <c r="F342" i="3"/>
  <c r="E343" i="3"/>
  <c r="F343" i="3"/>
  <c r="E345" i="3"/>
  <c r="F345" i="3"/>
  <c r="E352" i="3"/>
  <c r="F352" i="3"/>
  <c r="E353" i="3"/>
  <c r="F353" i="3"/>
  <c r="E357" i="3"/>
  <c r="F357" i="3"/>
  <c r="E362" i="3"/>
  <c r="F362" i="3"/>
  <c r="E363" i="3"/>
  <c r="F363" i="3"/>
  <c r="E366" i="3"/>
  <c r="F366" i="3"/>
  <c r="E369" i="3"/>
  <c r="F369" i="3"/>
  <c r="E370" i="3"/>
  <c r="F370" i="3"/>
  <c r="E375" i="3"/>
  <c r="F375" i="3"/>
  <c r="E377" i="3"/>
  <c r="F377" i="3"/>
  <c r="E379" i="3"/>
  <c r="F379" i="3"/>
  <c r="E389" i="3"/>
  <c r="F389" i="3"/>
  <c r="E396" i="3"/>
  <c r="F396" i="3"/>
  <c r="E399" i="3"/>
  <c r="F399" i="3"/>
  <c r="E401" i="3"/>
  <c r="F401" i="3"/>
  <c r="E404" i="3"/>
  <c r="F404" i="3"/>
  <c r="E420" i="3"/>
  <c r="F420" i="3"/>
  <c r="E425" i="3"/>
  <c r="F425" i="3"/>
  <c r="F2" i="3"/>
  <c r="E2" i="3"/>
  <c r="AM2" i="1"/>
  <c r="AN2" i="1" s="1"/>
  <c r="AM3" i="1"/>
  <c r="AN3" i="1" s="1"/>
  <c r="AM4" i="1"/>
  <c r="AN4" i="1" s="1"/>
  <c r="AM5" i="1"/>
  <c r="AN5" i="1" s="1"/>
  <c r="AM6" i="1"/>
  <c r="AN6" i="1" s="1"/>
  <c r="AM7" i="1"/>
  <c r="AN7" i="1" s="1"/>
  <c r="AM8" i="1"/>
  <c r="AN8" i="1" s="1"/>
  <c r="AM9" i="1"/>
  <c r="AN9" i="1" s="1"/>
  <c r="AM10" i="1"/>
  <c r="AN10" i="1" s="1"/>
  <c r="AM11" i="1"/>
  <c r="AN11" i="1" s="1"/>
  <c r="AM12" i="1"/>
  <c r="AN12" i="1" s="1"/>
  <c r="AM13" i="1"/>
  <c r="AN13" i="1" s="1"/>
  <c r="AM14" i="1"/>
  <c r="AN14" i="1" s="1"/>
  <c r="AM15" i="1"/>
  <c r="AN15" i="1" s="1"/>
  <c r="AM16" i="1"/>
  <c r="AN16" i="1" s="1"/>
  <c r="AM17" i="1"/>
  <c r="AN17" i="1" s="1"/>
  <c r="AM18" i="1"/>
  <c r="AN18" i="1" s="1"/>
  <c r="AM19" i="1"/>
  <c r="AN19" i="1" s="1"/>
  <c r="AM20" i="1"/>
  <c r="AN20" i="1" s="1"/>
  <c r="AM21" i="1"/>
  <c r="AN21" i="1" s="1"/>
  <c r="AM22" i="1"/>
  <c r="AN22" i="1" s="1"/>
  <c r="AM23" i="1"/>
  <c r="AN23" i="1" s="1"/>
  <c r="AM24" i="1"/>
  <c r="AN24" i="1" s="1"/>
  <c r="AM25" i="1"/>
  <c r="AN25" i="1" s="1"/>
  <c r="AM26" i="1"/>
  <c r="AN26" i="1" s="1"/>
  <c r="AM27" i="1"/>
  <c r="AN27" i="1" s="1"/>
  <c r="AM28" i="1"/>
  <c r="AN28" i="1" s="1"/>
  <c r="AM29" i="1"/>
  <c r="AN29" i="1" s="1"/>
  <c r="AM30" i="1"/>
  <c r="AN30" i="1" s="1"/>
  <c r="AM31" i="1"/>
  <c r="AN31" i="1" s="1"/>
  <c r="AM32" i="1"/>
  <c r="AN32" i="1" s="1"/>
  <c r="AM33" i="1"/>
  <c r="AN33" i="1" s="1"/>
  <c r="AM34" i="1"/>
  <c r="AN34" i="1" s="1"/>
  <c r="AM35" i="1"/>
  <c r="AN35" i="1" s="1"/>
  <c r="AM36" i="1"/>
  <c r="AN36" i="1" s="1"/>
  <c r="AM37" i="1"/>
  <c r="AN37" i="1" s="1"/>
  <c r="AM38" i="1"/>
  <c r="AN38" i="1" s="1"/>
  <c r="AM39" i="1"/>
  <c r="AN39" i="1" s="1"/>
  <c r="AM40" i="1"/>
  <c r="AN40" i="1" s="1"/>
  <c r="AM41" i="1"/>
  <c r="AN41" i="1" s="1"/>
  <c r="AM42" i="1"/>
  <c r="AN42" i="1" s="1"/>
  <c r="AM43" i="1"/>
  <c r="AN43" i="1" s="1"/>
  <c r="AM44" i="1"/>
  <c r="AN44" i="1" s="1"/>
  <c r="AM45" i="1"/>
  <c r="AN45" i="1" s="1"/>
  <c r="AM46" i="1"/>
  <c r="AN46" i="1" s="1"/>
  <c r="AM47" i="1"/>
  <c r="AN47" i="1" s="1"/>
  <c r="AM48" i="1"/>
  <c r="AN48" i="1" s="1"/>
  <c r="AM49" i="1"/>
  <c r="AN49" i="1" s="1"/>
  <c r="AM50" i="1"/>
  <c r="AN50" i="1" s="1"/>
  <c r="AM51" i="1"/>
  <c r="AN51" i="1" s="1"/>
  <c r="AM52" i="1"/>
  <c r="AN52" i="1" s="1"/>
  <c r="AM53" i="1"/>
  <c r="AN53" i="1" s="1"/>
  <c r="AM54" i="1"/>
  <c r="AN54" i="1" s="1"/>
  <c r="AM55" i="1"/>
  <c r="AN55" i="1" s="1"/>
  <c r="AM56" i="1"/>
  <c r="AN56" i="1" s="1"/>
  <c r="AM57" i="1"/>
  <c r="AN57" i="1" s="1"/>
  <c r="AM58" i="1"/>
  <c r="AN58" i="1" s="1"/>
  <c r="AM59" i="1"/>
  <c r="AN59" i="1" s="1"/>
  <c r="AM60" i="1"/>
  <c r="AN60" i="1" s="1"/>
  <c r="AM61" i="1"/>
  <c r="AN61" i="1" s="1"/>
  <c r="AM62" i="1"/>
  <c r="AN62" i="1" s="1"/>
  <c r="AM63" i="1"/>
  <c r="AN63" i="1" s="1"/>
  <c r="AM64" i="1"/>
  <c r="AN64" i="1" s="1"/>
  <c r="AM65" i="1"/>
  <c r="AN65" i="1" s="1"/>
  <c r="AM66" i="1"/>
  <c r="AN66" i="1" s="1"/>
  <c r="AM67" i="1"/>
  <c r="AN67" i="1" s="1"/>
  <c r="AM68" i="1"/>
  <c r="AN68" i="1" s="1"/>
  <c r="AM69" i="1"/>
  <c r="AN69" i="1" s="1"/>
  <c r="AM70" i="1"/>
  <c r="AN70" i="1" s="1"/>
  <c r="AM71" i="1"/>
  <c r="AN71" i="1" s="1"/>
  <c r="AM72" i="1"/>
  <c r="AN72" i="1" s="1"/>
  <c r="AM73" i="1"/>
  <c r="AN73" i="1" s="1"/>
  <c r="AM74" i="1"/>
  <c r="AN74" i="1" s="1"/>
  <c r="AM75" i="1"/>
  <c r="AN75" i="1" s="1"/>
  <c r="AM76" i="1"/>
  <c r="AN76" i="1" s="1"/>
  <c r="AM77" i="1"/>
  <c r="AN77" i="1" s="1"/>
  <c r="AM78" i="1"/>
  <c r="AN78" i="1" s="1"/>
  <c r="AM79" i="1"/>
  <c r="AN79" i="1" s="1"/>
  <c r="AM80" i="1"/>
  <c r="AN80" i="1" s="1"/>
  <c r="AM81" i="1"/>
  <c r="AN81" i="1" s="1"/>
  <c r="AM82" i="1"/>
  <c r="AN82" i="1" s="1"/>
  <c r="AM83" i="1"/>
  <c r="AN83" i="1" s="1"/>
  <c r="AM84" i="1"/>
  <c r="AN84" i="1" s="1"/>
  <c r="AM85" i="1"/>
  <c r="AN85" i="1" s="1"/>
  <c r="AM86" i="1"/>
  <c r="AN86" i="1" s="1"/>
  <c r="AM87" i="1"/>
  <c r="AN87" i="1" s="1"/>
  <c r="AM88" i="1"/>
  <c r="AN88" i="1" s="1"/>
  <c r="AM89" i="1"/>
  <c r="AN89" i="1" s="1"/>
  <c r="AM90" i="1"/>
  <c r="AN90" i="1" s="1"/>
  <c r="AM91" i="1"/>
  <c r="AN91" i="1" s="1"/>
  <c r="AM92" i="1"/>
  <c r="AN92" i="1" s="1"/>
  <c r="AM93" i="1"/>
  <c r="AN93" i="1" s="1"/>
  <c r="AM94" i="1"/>
  <c r="AN94" i="1" s="1"/>
  <c r="AM95" i="1"/>
  <c r="AN95" i="1" s="1"/>
  <c r="AM96" i="1"/>
  <c r="AN96" i="1" s="1"/>
  <c r="AM97" i="1"/>
  <c r="AN97" i="1" s="1"/>
  <c r="AM98" i="1"/>
  <c r="AN98" i="1" s="1"/>
  <c r="AM99" i="1"/>
  <c r="AN99" i="1" s="1"/>
  <c r="AM100" i="1"/>
  <c r="AN100" i="1" s="1"/>
  <c r="AM101" i="1"/>
  <c r="AN101" i="1" s="1"/>
  <c r="AM102" i="1"/>
  <c r="AN102" i="1" s="1"/>
  <c r="AM103" i="1"/>
  <c r="AN103" i="1" s="1"/>
  <c r="AM104" i="1"/>
  <c r="AN104" i="1" s="1"/>
  <c r="AM105" i="1"/>
  <c r="AN105" i="1" s="1"/>
  <c r="AM106" i="1"/>
  <c r="AN106" i="1" s="1"/>
  <c r="AM107" i="1"/>
  <c r="AN107" i="1" s="1"/>
  <c r="AM108" i="1"/>
  <c r="AN108" i="1" s="1"/>
  <c r="AM109" i="1"/>
  <c r="AN109" i="1" s="1"/>
  <c r="AM110" i="1"/>
  <c r="AN110" i="1" s="1"/>
  <c r="AM111" i="1"/>
  <c r="AN111" i="1" s="1"/>
  <c r="AM112" i="1"/>
  <c r="AN112" i="1" s="1"/>
  <c r="AM113" i="1"/>
  <c r="AN113" i="1" s="1"/>
  <c r="AM114" i="1"/>
  <c r="AN114" i="1" s="1"/>
  <c r="AM115" i="1"/>
  <c r="AN115" i="1" s="1"/>
  <c r="AM116" i="1"/>
  <c r="AN116" i="1" s="1"/>
  <c r="AM117" i="1"/>
  <c r="AN117" i="1" s="1"/>
  <c r="AM118" i="1"/>
  <c r="AN118" i="1" s="1"/>
  <c r="AM119" i="1"/>
  <c r="AN119" i="1" s="1"/>
  <c r="AM120" i="1"/>
  <c r="AN120" i="1" s="1"/>
  <c r="AM121" i="1"/>
  <c r="AN121" i="1" s="1"/>
  <c r="AM122" i="1"/>
  <c r="AN122" i="1" s="1"/>
  <c r="AM123" i="1"/>
  <c r="AN123" i="1" s="1"/>
  <c r="AM124" i="1"/>
  <c r="AN124" i="1" s="1"/>
  <c r="AM125" i="1"/>
  <c r="AN125" i="1" s="1"/>
  <c r="AM126" i="1"/>
  <c r="AN126" i="1" s="1"/>
  <c r="AM127" i="1"/>
  <c r="AN127" i="1" s="1"/>
  <c r="AM128" i="1"/>
  <c r="AN128" i="1" s="1"/>
  <c r="AM129" i="1"/>
  <c r="AN129" i="1" s="1"/>
  <c r="AM130" i="1"/>
  <c r="AN130" i="1" s="1"/>
  <c r="AM131" i="1"/>
  <c r="AN131" i="1" s="1"/>
  <c r="AM132" i="1"/>
  <c r="AN132" i="1" s="1"/>
  <c r="AM133" i="1"/>
  <c r="AN133" i="1" s="1"/>
  <c r="AM134" i="1"/>
  <c r="AN134" i="1" s="1"/>
  <c r="AM135" i="1"/>
  <c r="AN135" i="1" s="1"/>
  <c r="AM136" i="1"/>
  <c r="AN136" i="1" s="1"/>
  <c r="AM137" i="1"/>
  <c r="AN137" i="1" s="1"/>
  <c r="AM138" i="1"/>
  <c r="AN138" i="1" s="1"/>
  <c r="AM139" i="1"/>
  <c r="AN139" i="1" s="1"/>
  <c r="AM140" i="1"/>
  <c r="AN140" i="1" s="1"/>
  <c r="AM141" i="1"/>
  <c r="AN141" i="1" s="1"/>
  <c r="AM142" i="1"/>
  <c r="AN142" i="1" s="1"/>
  <c r="AM143" i="1"/>
  <c r="AN143" i="1" s="1"/>
  <c r="AM144" i="1"/>
  <c r="AN144" i="1" s="1"/>
  <c r="AM145" i="1"/>
  <c r="AN145" i="1" s="1"/>
  <c r="AM146" i="1"/>
  <c r="AN146" i="1" s="1"/>
  <c r="AM147" i="1"/>
  <c r="AN147" i="1" s="1"/>
  <c r="AM148" i="1"/>
  <c r="AN148" i="1" s="1"/>
  <c r="AM149" i="1"/>
  <c r="AN149" i="1" s="1"/>
  <c r="AM150" i="1"/>
  <c r="AN150" i="1" s="1"/>
  <c r="AM151" i="1"/>
  <c r="AN151" i="1" s="1"/>
  <c r="AM152" i="1"/>
  <c r="AN152" i="1" s="1"/>
  <c r="AM153" i="1"/>
  <c r="AN153" i="1" s="1"/>
  <c r="AM154" i="1"/>
  <c r="AN154" i="1" s="1"/>
  <c r="AM155" i="1"/>
  <c r="AN155" i="1" s="1"/>
  <c r="AM156" i="1"/>
  <c r="AN156" i="1" s="1"/>
  <c r="AM157" i="1"/>
  <c r="AN157" i="1" s="1"/>
  <c r="AM158" i="1"/>
  <c r="AN158" i="1" s="1"/>
  <c r="AM159" i="1"/>
  <c r="AN159" i="1" s="1"/>
  <c r="AM160" i="1"/>
  <c r="AN160" i="1" s="1"/>
  <c r="AM161" i="1"/>
  <c r="AN161" i="1" s="1"/>
  <c r="AM162" i="1"/>
  <c r="AN162" i="1" s="1"/>
  <c r="AM163" i="1"/>
  <c r="AN163" i="1" s="1"/>
  <c r="AM164" i="1"/>
  <c r="AN164" i="1" s="1"/>
  <c r="AM165" i="1"/>
  <c r="AN165" i="1" s="1"/>
  <c r="AM166" i="1"/>
  <c r="AN166" i="1" s="1"/>
  <c r="AM167" i="1"/>
  <c r="AN167" i="1" s="1"/>
  <c r="AM168" i="1"/>
  <c r="AN168" i="1" s="1"/>
  <c r="AM169" i="1"/>
  <c r="AN169" i="1" s="1"/>
  <c r="AM170" i="1"/>
  <c r="AN170" i="1" s="1"/>
  <c r="AM171" i="1"/>
  <c r="AN171" i="1" s="1"/>
  <c r="AM172" i="1"/>
  <c r="AN172" i="1" s="1"/>
  <c r="AM173" i="1"/>
  <c r="AN173" i="1" s="1"/>
  <c r="AM174" i="1"/>
  <c r="AN174" i="1" s="1"/>
  <c r="AM175" i="1"/>
  <c r="AN175" i="1" s="1"/>
  <c r="AM176" i="1"/>
  <c r="AN176" i="1" s="1"/>
  <c r="AM177" i="1"/>
  <c r="AN177" i="1" s="1"/>
  <c r="AM178" i="1"/>
  <c r="AN178" i="1" s="1"/>
  <c r="AM179" i="1"/>
  <c r="AN179" i="1" s="1"/>
  <c r="AM180" i="1"/>
  <c r="AN180" i="1" s="1"/>
  <c r="AM181" i="1"/>
  <c r="AN181" i="1" s="1"/>
  <c r="AM182" i="1"/>
  <c r="AN182" i="1" s="1"/>
  <c r="AM183" i="1"/>
  <c r="AN183" i="1" s="1"/>
  <c r="AM184" i="1"/>
  <c r="AN184" i="1" s="1"/>
  <c r="AM185" i="1"/>
  <c r="AN185" i="1" s="1"/>
  <c r="AM186" i="1"/>
  <c r="AN186" i="1" s="1"/>
  <c r="AM187" i="1"/>
  <c r="AN187" i="1" s="1"/>
  <c r="AM188" i="1"/>
  <c r="AN188" i="1" s="1"/>
  <c r="AM189" i="1"/>
  <c r="AN189" i="1" s="1"/>
  <c r="AM190" i="1"/>
  <c r="AN190" i="1" s="1"/>
  <c r="AM191" i="1"/>
  <c r="AN191" i="1" s="1"/>
  <c r="AM192" i="1"/>
  <c r="AN192" i="1" s="1"/>
  <c r="AM193" i="1"/>
  <c r="AN193" i="1" s="1"/>
  <c r="AM194" i="1"/>
  <c r="AN194" i="1" s="1"/>
  <c r="AM195" i="1"/>
  <c r="AN195" i="1" s="1"/>
  <c r="AM196" i="1"/>
  <c r="AN196" i="1" s="1"/>
  <c r="AM197" i="1"/>
  <c r="AN197" i="1" s="1"/>
  <c r="AM198" i="1"/>
  <c r="AN198" i="1" s="1"/>
  <c r="AM199" i="1"/>
  <c r="AN199" i="1" s="1"/>
  <c r="AM200" i="1"/>
  <c r="AN200" i="1" s="1"/>
  <c r="AM201" i="1"/>
  <c r="AN201" i="1" s="1"/>
  <c r="AM202" i="1"/>
  <c r="AN202" i="1" s="1"/>
  <c r="AM203" i="1"/>
  <c r="AN203" i="1" s="1"/>
  <c r="AM204" i="1"/>
  <c r="AN204" i="1" s="1"/>
  <c r="AM205" i="1"/>
  <c r="AN205" i="1" s="1"/>
  <c r="AM206" i="1"/>
  <c r="AN206" i="1" s="1"/>
  <c r="AM207" i="1"/>
  <c r="AN207" i="1" s="1"/>
  <c r="AM208" i="1"/>
  <c r="AN208" i="1" s="1"/>
  <c r="AM209" i="1"/>
  <c r="AN209" i="1" s="1"/>
  <c r="AM210" i="1"/>
  <c r="AN210" i="1" s="1"/>
  <c r="AM211" i="1"/>
  <c r="AN211" i="1" s="1"/>
  <c r="AM212" i="1"/>
  <c r="AN212" i="1" s="1"/>
  <c r="AM213" i="1"/>
  <c r="AN213" i="1" s="1"/>
  <c r="AM214" i="1"/>
  <c r="AN214" i="1" s="1"/>
  <c r="AM215" i="1"/>
  <c r="AN215" i="1" s="1"/>
  <c r="AM216" i="1"/>
  <c r="AN216" i="1" s="1"/>
  <c r="AM217" i="1"/>
  <c r="AN217" i="1" s="1"/>
  <c r="AM218" i="1"/>
  <c r="AN218" i="1" s="1"/>
  <c r="AM219" i="1"/>
  <c r="AN219" i="1" s="1"/>
  <c r="AM220" i="1"/>
  <c r="AN220" i="1" s="1"/>
  <c r="AM221" i="1"/>
  <c r="AN221" i="1" s="1"/>
  <c r="AM222" i="1"/>
  <c r="AN222" i="1" s="1"/>
  <c r="AM223" i="1"/>
  <c r="AN223" i="1" s="1"/>
  <c r="AM224" i="1"/>
  <c r="AN224" i="1" s="1"/>
  <c r="AM225" i="1"/>
  <c r="AN225" i="1" s="1"/>
  <c r="AM226" i="1"/>
  <c r="AN226" i="1" s="1"/>
  <c r="AM227" i="1"/>
  <c r="AN227" i="1" s="1"/>
  <c r="AM228" i="1"/>
  <c r="AN228" i="1" s="1"/>
  <c r="AM229" i="1"/>
  <c r="AN229" i="1" s="1"/>
  <c r="AM230" i="1"/>
  <c r="AN230" i="1" s="1"/>
  <c r="AM231" i="1"/>
  <c r="AN231" i="1" s="1"/>
  <c r="AM232" i="1"/>
  <c r="AN232" i="1" s="1"/>
  <c r="AM233" i="1"/>
  <c r="AN233" i="1" s="1"/>
  <c r="AM234" i="1"/>
  <c r="AN234" i="1" s="1"/>
  <c r="AM235" i="1"/>
  <c r="AN235" i="1" s="1"/>
  <c r="AM236" i="1"/>
  <c r="AN236" i="1" s="1"/>
  <c r="AM237" i="1"/>
  <c r="AN237" i="1" s="1"/>
  <c r="AM238" i="1"/>
  <c r="AN238" i="1" s="1"/>
  <c r="AM239" i="1"/>
  <c r="AN239" i="1" s="1"/>
  <c r="AM240" i="1"/>
  <c r="AN240" i="1" s="1"/>
  <c r="AM241" i="1"/>
  <c r="AN241" i="1" s="1"/>
  <c r="AM242" i="1"/>
  <c r="AN242" i="1" s="1"/>
  <c r="AM243" i="1"/>
  <c r="AN243" i="1" s="1"/>
  <c r="AM244" i="1"/>
  <c r="AN244" i="1" s="1"/>
  <c r="AM245" i="1"/>
  <c r="AN245" i="1" s="1"/>
  <c r="AM246" i="1"/>
  <c r="AN246" i="1" s="1"/>
  <c r="AM247" i="1"/>
  <c r="AN247" i="1" s="1"/>
  <c r="AM248" i="1"/>
  <c r="AN248" i="1" s="1"/>
  <c r="AM249" i="1"/>
  <c r="AN249" i="1" s="1"/>
  <c r="AM250" i="1"/>
  <c r="AN250" i="1" s="1"/>
  <c r="AM251" i="1"/>
  <c r="AN251" i="1" s="1"/>
  <c r="AM252" i="1"/>
  <c r="AN252" i="1" s="1"/>
  <c r="AM253" i="1"/>
  <c r="AN253" i="1" s="1"/>
  <c r="AM254" i="1"/>
  <c r="AN254" i="1" s="1"/>
  <c r="AM255" i="1"/>
  <c r="AN255" i="1" s="1"/>
  <c r="AM256" i="1"/>
  <c r="AN256" i="1" s="1"/>
  <c r="AM257" i="1"/>
  <c r="AN257" i="1" s="1"/>
  <c r="AM258" i="1"/>
  <c r="AN258" i="1" s="1"/>
  <c r="AM259" i="1"/>
  <c r="AN259" i="1" s="1"/>
  <c r="AM260" i="1"/>
  <c r="AN260" i="1" s="1"/>
  <c r="AM261" i="1"/>
  <c r="AN261" i="1" s="1"/>
  <c r="AM262" i="1"/>
  <c r="AN262" i="1" s="1"/>
  <c r="AM263" i="1"/>
  <c r="AN263" i="1" s="1"/>
  <c r="AM264" i="1"/>
  <c r="AN264" i="1" s="1"/>
  <c r="AM265" i="1"/>
  <c r="AN265" i="1" s="1"/>
  <c r="AM266" i="1"/>
  <c r="AN266" i="1" s="1"/>
  <c r="AM267" i="1"/>
  <c r="AN267" i="1" s="1"/>
  <c r="AM268" i="1"/>
  <c r="AN268" i="1" s="1"/>
  <c r="AM269" i="1"/>
  <c r="AN269" i="1" s="1"/>
  <c r="AM270" i="1"/>
  <c r="AN270" i="1" s="1"/>
  <c r="AM271" i="1"/>
  <c r="AN271" i="1" s="1"/>
  <c r="AM272" i="1"/>
  <c r="AN272" i="1" s="1"/>
  <c r="AM273" i="1"/>
  <c r="AN273" i="1" s="1"/>
  <c r="AM274" i="1"/>
  <c r="AN274" i="1" s="1"/>
  <c r="AM275" i="1"/>
  <c r="AN275" i="1" s="1"/>
  <c r="AM276" i="1"/>
  <c r="AN276" i="1" s="1"/>
  <c r="AM277" i="1"/>
  <c r="AN277" i="1" s="1"/>
  <c r="AM278" i="1"/>
  <c r="AN278" i="1" s="1"/>
  <c r="AM279" i="1"/>
  <c r="AN279" i="1" s="1"/>
  <c r="AM280" i="1"/>
  <c r="AN280" i="1" s="1"/>
  <c r="AM281" i="1"/>
  <c r="AN281" i="1" s="1"/>
  <c r="AM282" i="1"/>
  <c r="AN282" i="1" s="1"/>
  <c r="AM283" i="1"/>
  <c r="AN283" i="1" s="1"/>
  <c r="AM284" i="1"/>
  <c r="AN284" i="1" s="1"/>
  <c r="AM285" i="1"/>
  <c r="AN285" i="1" s="1"/>
  <c r="AM286" i="1"/>
  <c r="AN286" i="1" s="1"/>
  <c r="AM287" i="1"/>
  <c r="AN287" i="1" s="1"/>
  <c r="AM288" i="1"/>
  <c r="AN288" i="1" s="1"/>
  <c r="AM289" i="1"/>
  <c r="AN289" i="1" s="1"/>
  <c r="AM290" i="1"/>
  <c r="AN290" i="1" s="1"/>
  <c r="AM291" i="1"/>
  <c r="AN291" i="1" s="1"/>
  <c r="AM292" i="1"/>
  <c r="AN292" i="1" s="1"/>
  <c r="AM293" i="1"/>
  <c r="AN293" i="1" s="1"/>
  <c r="AM294" i="1"/>
  <c r="AN294" i="1" s="1"/>
  <c r="AM295" i="1"/>
  <c r="AN295" i="1" s="1"/>
  <c r="AM296" i="1"/>
  <c r="AN296" i="1" s="1"/>
  <c r="AM297" i="1"/>
  <c r="AN297" i="1" s="1"/>
  <c r="AM298" i="1"/>
  <c r="AN298" i="1" s="1"/>
  <c r="AM299" i="1"/>
  <c r="AN299" i="1" s="1"/>
  <c r="AM300" i="1"/>
  <c r="AN300" i="1" s="1"/>
  <c r="AM301" i="1"/>
  <c r="AN301" i="1" s="1"/>
  <c r="AM302" i="1"/>
  <c r="AN302" i="1" s="1"/>
  <c r="AM303" i="1"/>
  <c r="AN303" i="1" s="1"/>
  <c r="AM304" i="1"/>
  <c r="AN304" i="1" s="1"/>
  <c r="AM305" i="1"/>
  <c r="AN305" i="1" s="1"/>
  <c r="AM306" i="1"/>
  <c r="AN306" i="1" s="1"/>
  <c r="AM307" i="1"/>
  <c r="AN307" i="1" s="1"/>
  <c r="AM308" i="1"/>
  <c r="AN308" i="1" s="1"/>
  <c r="AM309" i="1"/>
  <c r="AN309" i="1" s="1"/>
  <c r="AM310" i="1"/>
  <c r="AN310" i="1" s="1"/>
  <c r="AM311" i="1"/>
  <c r="AN311" i="1" s="1"/>
  <c r="AM312" i="1"/>
  <c r="AN312" i="1" s="1"/>
  <c r="AM313" i="1"/>
  <c r="AN313" i="1" s="1"/>
  <c r="AM314" i="1"/>
  <c r="AN314" i="1" s="1"/>
  <c r="AM315" i="1"/>
  <c r="AN315" i="1" s="1"/>
  <c r="AM316" i="1"/>
  <c r="AN316" i="1" s="1"/>
  <c r="AM317" i="1"/>
  <c r="AN317" i="1" s="1"/>
  <c r="AM318" i="1"/>
  <c r="AN318" i="1" s="1"/>
  <c r="AM319" i="1"/>
  <c r="AN319" i="1" s="1"/>
  <c r="AM320" i="1"/>
  <c r="AN320" i="1" s="1"/>
  <c r="AM321" i="1"/>
  <c r="AN321" i="1" s="1"/>
  <c r="AM322" i="1"/>
  <c r="AN322" i="1" s="1"/>
  <c r="AM323" i="1"/>
  <c r="AN323" i="1" s="1"/>
  <c r="AM324" i="1"/>
  <c r="AN324" i="1" s="1"/>
  <c r="AM325" i="1"/>
  <c r="AN325" i="1" s="1"/>
  <c r="AM326" i="1"/>
  <c r="AN326" i="1" s="1"/>
  <c r="AM327" i="1"/>
  <c r="AN327" i="1" s="1"/>
  <c r="AM328" i="1"/>
  <c r="AN328" i="1" s="1"/>
  <c r="AM329" i="1"/>
  <c r="AN329" i="1" s="1"/>
  <c r="AM330" i="1"/>
  <c r="AN330" i="1" s="1"/>
  <c r="AM331" i="1"/>
  <c r="AN331" i="1" s="1"/>
  <c r="AM332" i="1"/>
  <c r="AN332" i="1" s="1"/>
  <c r="AM333" i="1"/>
  <c r="AN333" i="1" s="1"/>
  <c r="AM334" i="1"/>
  <c r="AN334" i="1" s="1"/>
  <c r="AM335" i="1"/>
  <c r="AN335" i="1" s="1"/>
  <c r="AM336" i="1"/>
  <c r="AN336" i="1" s="1"/>
  <c r="AM337" i="1"/>
  <c r="AN337" i="1" s="1"/>
  <c r="AM338" i="1"/>
  <c r="AN338" i="1" s="1"/>
  <c r="AM339" i="1"/>
  <c r="AN339" i="1" s="1"/>
  <c r="AM340" i="1"/>
  <c r="AN340" i="1" s="1"/>
  <c r="AM341" i="1"/>
  <c r="AN341" i="1" s="1"/>
  <c r="AM342" i="1"/>
  <c r="AN342" i="1" s="1"/>
  <c r="AM343" i="1"/>
  <c r="AN343" i="1" s="1"/>
  <c r="AM344" i="1"/>
  <c r="AN344" i="1" s="1"/>
  <c r="AM345" i="1"/>
  <c r="AN345" i="1" s="1"/>
  <c r="AM346" i="1"/>
  <c r="AN346" i="1" s="1"/>
  <c r="AM347" i="1"/>
  <c r="AN347" i="1" s="1"/>
  <c r="AM348" i="1"/>
  <c r="AN348" i="1" s="1"/>
  <c r="AM349" i="1"/>
  <c r="AN349" i="1" s="1"/>
  <c r="AM350" i="1"/>
  <c r="AN350" i="1" s="1"/>
  <c r="AM351" i="1"/>
  <c r="AN351" i="1" s="1"/>
  <c r="AM352" i="1"/>
  <c r="AN352" i="1" s="1"/>
  <c r="AM353" i="1"/>
  <c r="AN353" i="1" s="1"/>
  <c r="AM354" i="1"/>
  <c r="AN354" i="1" s="1"/>
  <c r="AM355" i="1"/>
  <c r="AN355" i="1" s="1"/>
  <c r="AM356" i="1"/>
  <c r="AN356" i="1" s="1"/>
  <c r="AM357" i="1"/>
  <c r="AN357" i="1" s="1"/>
  <c r="AM358" i="1"/>
  <c r="AN358" i="1" s="1"/>
  <c r="AM359" i="1"/>
  <c r="AN359" i="1" s="1"/>
  <c r="AM360" i="1"/>
  <c r="AN360" i="1" s="1"/>
  <c r="AM361" i="1"/>
  <c r="AN361" i="1" s="1"/>
  <c r="AM362" i="1"/>
  <c r="AN362" i="1" s="1"/>
  <c r="AM363" i="1"/>
  <c r="AN363" i="1" s="1"/>
  <c r="AM364" i="1"/>
  <c r="AN364" i="1" s="1"/>
  <c r="AK3" i="1" l="1"/>
  <c r="AL3" i="1" s="1"/>
  <c r="AK4" i="1"/>
  <c r="AL4" i="1" s="1"/>
  <c r="AK5" i="1"/>
  <c r="AL5" i="1" s="1"/>
  <c r="AK6" i="1"/>
  <c r="AL6" i="1" s="1"/>
  <c r="AK7" i="1"/>
  <c r="AL7" i="1" s="1"/>
  <c r="AK8" i="1"/>
  <c r="AL8" i="1" s="1"/>
  <c r="AK9" i="1"/>
  <c r="AL9" i="1" s="1"/>
  <c r="AK10" i="1"/>
  <c r="AL10" i="1" s="1"/>
  <c r="AK11" i="1"/>
  <c r="AL11" i="1" s="1"/>
  <c r="AK12" i="1"/>
  <c r="AL12" i="1" s="1"/>
  <c r="AK13" i="1"/>
  <c r="AL13" i="1" s="1"/>
  <c r="AK14" i="1"/>
  <c r="AL14" i="1" s="1"/>
  <c r="AK15" i="1"/>
  <c r="AL15" i="1" s="1"/>
  <c r="AK16" i="1"/>
  <c r="AL16" i="1" s="1"/>
  <c r="AK17" i="1"/>
  <c r="AL17" i="1" s="1"/>
  <c r="AK18" i="1"/>
  <c r="AL18" i="1" s="1"/>
  <c r="AK19" i="1"/>
  <c r="AL19" i="1" s="1"/>
  <c r="AK20" i="1"/>
  <c r="AL20" i="1" s="1"/>
  <c r="AK21" i="1"/>
  <c r="AL21" i="1" s="1"/>
  <c r="AK22" i="1"/>
  <c r="AL22" i="1" s="1"/>
  <c r="AK23" i="1"/>
  <c r="AL23" i="1" s="1"/>
  <c r="AK24" i="1"/>
  <c r="AL24" i="1" s="1"/>
  <c r="AK25" i="1"/>
  <c r="AL25" i="1" s="1"/>
  <c r="AK26" i="1"/>
  <c r="AL26" i="1" s="1"/>
  <c r="AK27" i="1"/>
  <c r="AL27" i="1" s="1"/>
  <c r="AK28" i="1"/>
  <c r="AL28" i="1" s="1"/>
  <c r="AK29" i="1"/>
  <c r="AL29" i="1" s="1"/>
  <c r="AK30" i="1"/>
  <c r="AL30" i="1" s="1"/>
  <c r="AK31" i="1"/>
  <c r="AL31" i="1" s="1"/>
  <c r="AK32" i="1"/>
  <c r="AL32" i="1" s="1"/>
  <c r="AK33" i="1"/>
  <c r="AL33" i="1" s="1"/>
  <c r="AK34" i="1"/>
  <c r="AL34" i="1" s="1"/>
  <c r="AK35" i="1"/>
  <c r="AL35" i="1" s="1"/>
  <c r="AK36" i="1"/>
  <c r="AL36" i="1" s="1"/>
  <c r="AK37" i="1"/>
  <c r="AL37" i="1" s="1"/>
  <c r="AK38" i="1"/>
  <c r="AL38" i="1" s="1"/>
  <c r="AK39" i="1"/>
  <c r="AL39" i="1" s="1"/>
  <c r="AK40" i="1"/>
  <c r="AL40" i="1" s="1"/>
  <c r="AK41" i="1"/>
  <c r="AL41" i="1" s="1"/>
  <c r="AK42" i="1"/>
  <c r="AL42" i="1" s="1"/>
  <c r="AK43" i="1"/>
  <c r="AL43" i="1" s="1"/>
  <c r="AK44" i="1"/>
  <c r="AL44" i="1" s="1"/>
  <c r="AK45" i="1"/>
  <c r="AL45" i="1" s="1"/>
  <c r="AK46" i="1"/>
  <c r="AL46" i="1" s="1"/>
  <c r="AK47" i="1"/>
  <c r="AL47" i="1" s="1"/>
  <c r="AK48" i="1"/>
  <c r="AL48" i="1" s="1"/>
  <c r="AK49" i="1"/>
  <c r="AL49" i="1" s="1"/>
  <c r="AK50" i="1"/>
  <c r="AL50" i="1" s="1"/>
  <c r="AK51" i="1"/>
  <c r="AL51" i="1" s="1"/>
  <c r="AK52" i="1"/>
  <c r="AL52" i="1" s="1"/>
  <c r="AK53" i="1"/>
  <c r="AL53" i="1" s="1"/>
  <c r="AK54" i="1"/>
  <c r="AL54" i="1" s="1"/>
  <c r="AK55" i="1"/>
  <c r="AL55" i="1" s="1"/>
  <c r="AK56" i="1"/>
  <c r="AL56" i="1" s="1"/>
  <c r="AK57" i="1"/>
  <c r="AL57" i="1" s="1"/>
  <c r="AK58" i="1"/>
  <c r="AL58" i="1" s="1"/>
  <c r="AK59" i="1"/>
  <c r="AL59" i="1" s="1"/>
  <c r="AK60" i="1"/>
  <c r="AL60" i="1" s="1"/>
  <c r="AK61" i="1"/>
  <c r="AL61" i="1" s="1"/>
  <c r="AK62" i="1"/>
  <c r="AL62" i="1" s="1"/>
  <c r="AK63" i="1"/>
  <c r="AL63" i="1" s="1"/>
  <c r="AK64" i="1"/>
  <c r="AL64" i="1" s="1"/>
  <c r="AK65" i="1"/>
  <c r="AL65" i="1" s="1"/>
  <c r="AK66" i="1"/>
  <c r="AL66" i="1" s="1"/>
  <c r="AK67" i="1"/>
  <c r="AL67" i="1" s="1"/>
  <c r="AK68" i="1"/>
  <c r="AL68" i="1" s="1"/>
  <c r="AK69" i="1"/>
  <c r="AL69" i="1" s="1"/>
  <c r="AK70" i="1"/>
  <c r="AL70" i="1" s="1"/>
  <c r="AK71" i="1"/>
  <c r="AL71" i="1" s="1"/>
  <c r="AK72" i="1"/>
  <c r="AL72" i="1" s="1"/>
  <c r="AK73" i="1"/>
  <c r="AL73" i="1" s="1"/>
  <c r="AK74" i="1"/>
  <c r="AL74" i="1" s="1"/>
  <c r="AK75" i="1"/>
  <c r="AL75" i="1" s="1"/>
  <c r="AK76" i="1"/>
  <c r="AL76" i="1" s="1"/>
  <c r="AK77" i="1"/>
  <c r="AL77" i="1" s="1"/>
  <c r="AK78" i="1"/>
  <c r="AL78" i="1" s="1"/>
  <c r="AK79" i="1"/>
  <c r="AL79" i="1" s="1"/>
  <c r="AK80" i="1"/>
  <c r="AL80" i="1" s="1"/>
  <c r="AK81" i="1"/>
  <c r="AL81" i="1" s="1"/>
  <c r="AK82" i="1"/>
  <c r="AL82" i="1" s="1"/>
  <c r="AK83" i="1"/>
  <c r="AL83" i="1" s="1"/>
  <c r="AK84" i="1"/>
  <c r="AL84" i="1" s="1"/>
  <c r="AK85" i="1"/>
  <c r="AL85" i="1" s="1"/>
  <c r="AK86" i="1"/>
  <c r="AL86" i="1" s="1"/>
  <c r="AK87" i="1"/>
  <c r="AL87" i="1" s="1"/>
  <c r="AK88" i="1"/>
  <c r="AL88" i="1" s="1"/>
  <c r="AK89" i="1"/>
  <c r="AL89" i="1" s="1"/>
  <c r="AK90" i="1"/>
  <c r="AL90" i="1" s="1"/>
  <c r="AK91" i="1"/>
  <c r="AL91" i="1" s="1"/>
  <c r="AK92" i="1"/>
  <c r="AL92" i="1" s="1"/>
  <c r="AK93" i="1"/>
  <c r="AL93" i="1" s="1"/>
  <c r="AK94" i="1"/>
  <c r="AL94" i="1" s="1"/>
  <c r="AK95" i="1"/>
  <c r="AL95" i="1" s="1"/>
  <c r="AK96" i="1"/>
  <c r="AL96" i="1" s="1"/>
  <c r="AK97" i="1"/>
  <c r="AL97" i="1" s="1"/>
  <c r="AK98" i="1"/>
  <c r="AL98" i="1" s="1"/>
  <c r="AK99" i="1"/>
  <c r="AL99" i="1" s="1"/>
  <c r="AK100" i="1"/>
  <c r="AL100" i="1" s="1"/>
  <c r="AK101" i="1"/>
  <c r="AL101" i="1" s="1"/>
  <c r="AK102" i="1"/>
  <c r="AL102" i="1" s="1"/>
  <c r="AK103" i="1"/>
  <c r="AL103" i="1" s="1"/>
  <c r="AK104" i="1"/>
  <c r="AL104" i="1" s="1"/>
  <c r="AK105" i="1"/>
  <c r="AL105" i="1" s="1"/>
  <c r="AK106" i="1"/>
  <c r="AL106" i="1" s="1"/>
  <c r="AK107" i="1"/>
  <c r="AL107" i="1" s="1"/>
  <c r="AK108" i="1"/>
  <c r="AL108" i="1" s="1"/>
  <c r="AK109" i="1"/>
  <c r="AL109" i="1" s="1"/>
  <c r="AK110" i="1"/>
  <c r="AL110" i="1" s="1"/>
  <c r="AK111" i="1"/>
  <c r="AL111" i="1" s="1"/>
  <c r="AK112" i="1"/>
  <c r="AL112" i="1" s="1"/>
  <c r="AK113" i="1"/>
  <c r="AL113" i="1" s="1"/>
  <c r="AK114" i="1"/>
  <c r="AL114" i="1" s="1"/>
  <c r="AK115" i="1"/>
  <c r="AL115" i="1" s="1"/>
  <c r="AK116" i="1"/>
  <c r="AL116" i="1" s="1"/>
  <c r="AK117" i="1"/>
  <c r="AL117" i="1" s="1"/>
  <c r="AK118" i="1"/>
  <c r="AL118" i="1" s="1"/>
  <c r="AK119" i="1"/>
  <c r="AL119" i="1" s="1"/>
  <c r="AK120" i="1"/>
  <c r="AL120" i="1" s="1"/>
  <c r="AK121" i="1"/>
  <c r="AL121" i="1" s="1"/>
  <c r="AK122" i="1"/>
  <c r="AL122" i="1" s="1"/>
  <c r="AK123" i="1"/>
  <c r="AL123" i="1" s="1"/>
  <c r="AK124" i="1"/>
  <c r="AL124" i="1" s="1"/>
  <c r="AK125" i="1"/>
  <c r="AL125" i="1" s="1"/>
  <c r="AK126" i="1"/>
  <c r="AL126" i="1" s="1"/>
  <c r="AK127" i="1"/>
  <c r="AL127" i="1" s="1"/>
  <c r="AK128" i="1"/>
  <c r="AL128" i="1" s="1"/>
  <c r="AK129" i="1"/>
  <c r="AL129" i="1" s="1"/>
  <c r="AK130" i="1"/>
  <c r="AL130" i="1" s="1"/>
  <c r="AK131" i="1"/>
  <c r="AL131" i="1" s="1"/>
  <c r="AK132" i="1"/>
  <c r="AL132" i="1" s="1"/>
  <c r="AK133" i="1"/>
  <c r="AL133" i="1" s="1"/>
  <c r="AK134" i="1"/>
  <c r="AL134" i="1" s="1"/>
  <c r="AK135" i="1"/>
  <c r="AL135" i="1" s="1"/>
  <c r="AK136" i="1"/>
  <c r="AL136" i="1" s="1"/>
  <c r="AK137" i="1"/>
  <c r="AL137" i="1" s="1"/>
  <c r="AK138" i="1"/>
  <c r="AL138" i="1" s="1"/>
  <c r="AK139" i="1"/>
  <c r="AL139" i="1" s="1"/>
  <c r="AK140" i="1"/>
  <c r="AL140" i="1" s="1"/>
  <c r="AK141" i="1"/>
  <c r="AL141" i="1" s="1"/>
  <c r="AK142" i="1"/>
  <c r="AL142" i="1" s="1"/>
  <c r="AK143" i="1"/>
  <c r="AL143" i="1" s="1"/>
  <c r="AK144" i="1"/>
  <c r="AL144" i="1" s="1"/>
  <c r="AK145" i="1"/>
  <c r="AL145" i="1" s="1"/>
  <c r="AK146" i="1"/>
  <c r="AL146" i="1" s="1"/>
  <c r="AK147" i="1"/>
  <c r="AL147" i="1" s="1"/>
  <c r="AK148" i="1"/>
  <c r="AL148" i="1" s="1"/>
  <c r="AK149" i="1"/>
  <c r="AL149" i="1" s="1"/>
  <c r="AK150" i="1"/>
  <c r="AL150" i="1" s="1"/>
  <c r="AK151" i="1"/>
  <c r="AL151" i="1" s="1"/>
  <c r="AK152" i="1"/>
  <c r="AL152" i="1" s="1"/>
  <c r="AK153" i="1"/>
  <c r="AL153" i="1" s="1"/>
  <c r="AK154" i="1"/>
  <c r="AL154" i="1" s="1"/>
  <c r="AK155" i="1"/>
  <c r="AL155" i="1" s="1"/>
  <c r="AK156" i="1"/>
  <c r="AL156" i="1" s="1"/>
  <c r="AK157" i="1"/>
  <c r="AL157" i="1" s="1"/>
  <c r="AK158" i="1"/>
  <c r="AL158" i="1" s="1"/>
  <c r="AK159" i="1"/>
  <c r="AL159" i="1" s="1"/>
  <c r="AK160" i="1"/>
  <c r="AL160" i="1" s="1"/>
  <c r="AK161" i="1"/>
  <c r="AL161" i="1" s="1"/>
  <c r="AK162" i="1"/>
  <c r="AL162" i="1" s="1"/>
  <c r="AK163" i="1"/>
  <c r="AL163" i="1" s="1"/>
  <c r="AK164" i="1"/>
  <c r="AL164" i="1" s="1"/>
  <c r="AK165" i="1"/>
  <c r="AL165" i="1" s="1"/>
  <c r="AK166" i="1"/>
  <c r="AL166" i="1" s="1"/>
  <c r="AK167" i="1"/>
  <c r="AL167" i="1" s="1"/>
  <c r="AK168" i="1"/>
  <c r="AL168" i="1" s="1"/>
  <c r="AK169" i="1"/>
  <c r="AL169" i="1" s="1"/>
  <c r="AK170" i="1"/>
  <c r="AL170" i="1" s="1"/>
  <c r="AK171" i="1"/>
  <c r="AL171" i="1" s="1"/>
  <c r="AK172" i="1"/>
  <c r="AL172" i="1" s="1"/>
  <c r="AK173" i="1"/>
  <c r="AL173" i="1" s="1"/>
  <c r="AK174" i="1"/>
  <c r="AL174" i="1" s="1"/>
  <c r="AK175" i="1"/>
  <c r="AL175" i="1" s="1"/>
  <c r="AK176" i="1"/>
  <c r="AL176" i="1" s="1"/>
  <c r="AK177" i="1"/>
  <c r="AL177" i="1" s="1"/>
  <c r="AK178" i="1"/>
  <c r="AL178" i="1" s="1"/>
  <c r="AK179" i="1"/>
  <c r="AL179" i="1" s="1"/>
  <c r="AK180" i="1"/>
  <c r="AL180" i="1" s="1"/>
  <c r="AK181" i="1"/>
  <c r="AL181" i="1" s="1"/>
  <c r="AK182" i="1"/>
  <c r="AL182" i="1" s="1"/>
  <c r="AK183" i="1"/>
  <c r="AL183" i="1" s="1"/>
  <c r="AK184" i="1"/>
  <c r="AL184" i="1" s="1"/>
  <c r="AK185" i="1"/>
  <c r="AL185" i="1" s="1"/>
  <c r="AK186" i="1"/>
  <c r="AL186" i="1" s="1"/>
  <c r="AK187" i="1"/>
  <c r="AL187" i="1" s="1"/>
  <c r="AK188" i="1"/>
  <c r="AL188" i="1" s="1"/>
  <c r="AK189" i="1"/>
  <c r="AL189" i="1" s="1"/>
  <c r="AK190" i="1"/>
  <c r="AL190" i="1" s="1"/>
  <c r="AK191" i="1"/>
  <c r="AL191" i="1" s="1"/>
  <c r="AK192" i="1"/>
  <c r="AL192" i="1" s="1"/>
  <c r="AK193" i="1"/>
  <c r="AL193" i="1" s="1"/>
  <c r="AK194" i="1"/>
  <c r="AL194" i="1" s="1"/>
  <c r="AK195" i="1"/>
  <c r="AL195" i="1" s="1"/>
  <c r="AK196" i="1"/>
  <c r="AL196" i="1" s="1"/>
  <c r="AK197" i="1"/>
  <c r="AL197" i="1" s="1"/>
  <c r="AK198" i="1"/>
  <c r="AL198" i="1" s="1"/>
  <c r="AK199" i="1"/>
  <c r="AL199" i="1" s="1"/>
  <c r="AK200" i="1"/>
  <c r="AL200" i="1" s="1"/>
  <c r="AK201" i="1"/>
  <c r="AL201" i="1" s="1"/>
  <c r="AK202" i="1"/>
  <c r="AL202" i="1" s="1"/>
  <c r="AK203" i="1"/>
  <c r="AL203" i="1" s="1"/>
  <c r="AK204" i="1"/>
  <c r="AL204" i="1" s="1"/>
  <c r="AK205" i="1"/>
  <c r="AL205" i="1" s="1"/>
  <c r="AK206" i="1"/>
  <c r="AL206" i="1" s="1"/>
  <c r="AK207" i="1"/>
  <c r="AL207" i="1" s="1"/>
  <c r="AK208" i="1"/>
  <c r="AL208" i="1" s="1"/>
  <c r="AK209" i="1"/>
  <c r="AL209" i="1" s="1"/>
  <c r="AK210" i="1"/>
  <c r="AL210" i="1" s="1"/>
  <c r="AK211" i="1"/>
  <c r="AL211" i="1" s="1"/>
  <c r="AK212" i="1"/>
  <c r="AL212" i="1" s="1"/>
  <c r="AK213" i="1"/>
  <c r="AL213" i="1" s="1"/>
  <c r="AK214" i="1"/>
  <c r="AL214" i="1" s="1"/>
  <c r="AK215" i="1"/>
  <c r="AL215" i="1" s="1"/>
  <c r="AK216" i="1"/>
  <c r="AL216" i="1" s="1"/>
  <c r="AK217" i="1"/>
  <c r="AL217" i="1" s="1"/>
  <c r="AK218" i="1"/>
  <c r="AL218" i="1" s="1"/>
  <c r="AK219" i="1"/>
  <c r="AL219" i="1" s="1"/>
  <c r="AK220" i="1"/>
  <c r="AL220" i="1" s="1"/>
  <c r="AK221" i="1"/>
  <c r="AL221" i="1" s="1"/>
  <c r="AK222" i="1"/>
  <c r="AL222" i="1" s="1"/>
  <c r="AK223" i="1"/>
  <c r="AL223" i="1" s="1"/>
  <c r="AK224" i="1"/>
  <c r="AL224" i="1" s="1"/>
  <c r="AK225" i="1"/>
  <c r="AL225" i="1" s="1"/>
  <c r="AK226" i="1"/>
  <c r="AL226" i="1" s="1"/>
  <c r="AK227" i="1"/>
  <c r="AL227" i="1" s="1"/>
  <c r="AK228" i="1"/>
  <c r="AL228" i="1" s="1"/>
  <c r="AK229" i="1"/>
  <c r="AL229" i="1" s="1"/>
  <c r="AK230" i="1"/>
  <c r="AL230" i="1" s="1"/>
  <c r="AK231" i="1"/>
  <c r="AL231" i="1" s="1"/>
  <c r="AK232" i="1"/>
  <c r="AL232" i="1" s="1"/>
  <c r="AK233" i="1"/>
  <c r="AL233" i="1" s="1"/>
  <c r="AK234" i="1"/>
  <c r="AL234" i="1" s="1"/>
  <c r="AK235" i="1"/>
  <c r="AL235" i="1" s="1"/>
  <c r="AK236" i="1"/>
  <c r="AL236" i="1" s="1"/>
  <c r="AK237" i="1"/>
  <c r="AL237" i="1" s="1"/>
  <c r="AK238" i="1"/>
  <c r="AL238" i="1" s="1"/>
  <c r="AK239" i="1"/>
  <c r="AL239" i="1" s="1"/>
  <c r="AK240" i="1"/>
  <c r="AL240" i="1" s="1"/>
  <c r="AK241" i="1"/>
  <c r="AL241" i="1" s="1"/>
  <c r="AK242" i="1"/>
  <c r="AL242" i="1" s="1"/>
  <c r="AK243" i="1"/>
  <c r="AL243" i="1" s="1"/>
  <c r="AK244" i="1"/>
  <c r="AL244" i="1" s="1"/>
  <c r="AK245" i="1"/>
  <c r="AL245" i="1" s="1"/>
  <c r="AK246" i="1"/>
  <c r="AL246" i="1" s="1"/>
  <c r="AK247" i="1"/>
  <c r="AL247" i="1" s="1"/>
  <c r="AK248" i="1"/>
  <c r="AL248" i="1" s="1"/>
  <c r="AK249" i="1"/>
  <c r="AL249" i="1" s="1"/>
  <c r="AK250" i="1"/>
  <c r="AL250" i="1" s="1"/>
  <c r="AK251" i="1"/>
  <c r="AL251" i="1" s="1"/>
  <c r="AK252" i="1"/>
  <c r="AL252" i="1" s="1"/>
  <c r="AK253" i="1"/>
  <c r="AL253" i="1" s="1"/>
  <c r="AK254" i="1"/>
  <c r="AL254" i="1" s="1"/>
  <c r="AK255" i="1"/>
  <c r="AL255" i="1" s="1"/>
  <c r="AK256" i="1"/>
  <c r="AL256" i="1" s="1"/>
  <c r="AK257" i="1"/>
  <c r="AL257" i="1" s="1"/>
  <c r="AK258" i="1"/>
  <c r="AL258" i="1" s="1"/>
  <c r="AK259" i="1"/>
  <c r="AL259" i="1" s="1"/>
  <c r="AK260" i="1"/>
  <c r="AL260" i="1" s="1"/>
  <c r="AK261" i="1"/>
  <c r="AL261" i="1" s="1"/>
  <c r="AK262" i="1"/>
  <c r="AL262" i="1" s="1"/>
  <c r="AK263" i="1"/>
  <c r="AL263" i="1" s="1"/>
  <c r="AK264" i="1"/>
  <c r="AL264" i="1" s="1"/>
  <c r="AK265" i="1"/>
  <c r="AL265" i="1" s="1"/>
  <c r="AK266" i="1"/>
  <c r="AL266" i="1" s="1"/>
  <c r="AK267" i="1"/>
  <c r="AL267" i="1" s="1"/>
  <c r="AK268" i="1"/>
  <c r="AL268" i="1" s="1"/>
  <c r="AK269" i="1"/>
  <c r="AL269" i="1" s="1"/>
  <c r="AK270" i="1"/>
  <c r="AL270" i="1" s="1"/>
  <c r="AK271" i="1"/>
  <c r="AL271" i="1" s="1"/>
  <c r="AK272" i="1"/>
  <c r="AL272" i="1" s="1"/>
  <c r="AK273" i="1"/>
  <c r="AL273" i="1" s="1"/>
  <c r="AK274" i="1"/>
  <c r="AL274" i="1" s="1"/>
  <c r="AK275" i="1"/>
  <c r="AL275" i="1" s="1"/>
  <c r="AK276" i="1"/>
  <c r="AL276" i="1" s="1"/>
  <c r="AK277" i="1"/>
  <c r="AL277" i="1" s="1"/>
  <c r="AK278" i="1"/>
  <c r="AL278" i="1" s="1"/>
  <c r="AK279" i="1"/>
  <c r="AL279" i="1" s="1"/>
  <c r="AK280" i="1"/>
  <c r="AL280" i="1" s="1"/>
  <c r="AK281" i="1"/>
  <c r="AL281" i="1" s="1"/>
  <c r="AK282" i="1"/>
  <c r="AL282" i="1" s="1"/>
  <c r="AK283" i="1"/>
  <c r="AL283" i="1" s="1"/>
  <c r="AK284" i="1"/>
  <c r="AL284" i="1" s="1"/>
  <c r="AK285" i="1"/>
  <c r="AL285" i="1" s="1"/>
  <c r="AK286" i="1"/>
  <c r="AL286" i="1" s="1"/>
  <c r="AK287" i="1"/>
  <c r="AL287" i="1" s="1"/>
  <c r="AK288" i="1"/>
  <c r="AL288" i="1" s="1"/>
  <c r="AK289" i="1"/>
  <c r="AL289" i="1" s="1"/>
  <c r="AK290" i="1"/>
  <c r="AL290" i="1" s="1"/>
  <c r="AK291" i="1"/>
  <c r="AL291" i="1" s="1"/>
  <c r="AK292" i="1"/>
  <c r="AL292" i="1" s="1"/>
  <c r="AK293" i="1"/>
  <c r="AL293" i="1" s="1"/>
  <c r="AK294" i="1"/>
  <c r="AL294" i="1" s="1"/>
  <c r="AK295" i="1"/>
  <c r="AL295" i="1" s="1"/>
  <c r="AK296" i="1"/>
  <c r="AL296" i="1" s="1"/>
  <c r="AK297" i="1"/>
  <c r="AL297" i="1" s="1"/>
  <c r="AK298" i="1"/>
  <c r="AL298" i="1" s="1"/>
  <c r="AK299" i="1"/>
  <c r="AL299" i="1" s="1"/>
  <c r="AK300" i="1"/>
  <c r="AL300" i="1" s="1"/>
  <c r="AK301" i="1"/>
  <c r="AL301" i="1" s="1"/>
  <c r="AK302" i="1"/>
  <c r="AL302" i="1" s="1"/>
  <c r="AK303" i="1"/>
  <c r="AL303" i="1" s="1"/>
  <c r="AK304" i="1"/>
  <c r="AL304" i="1" s="1"/>
  <c r="AK305" i="1"/>
  <c r="AL305" i="1" s="1"/>
  <c r="AK306" i="1"/>
  <c r="AL306" i="1" s="1"/>
  <c r="AK307" i="1"/>
  <c r="AL307" i="1" s="1"/>
  <c r="AK308" i="1"/>
  <c r="AL308" i="1" s="1"/>
  <c r="AK309" i="1"/>
  <c r="AL309" i="1" s="1"/>
  <c r="AK310" i="1"/>
  <c r="AL310" i="1" s="1"/>
  <c r="AK311" i="1"/>
  <c r="AL311" i="1" s="1"/>
  <c r="AK312" i="1"/>
  <c r="AL312" i="1" s="1"/>
  <c r="AK313" i="1"/>
  <c r="AL313" i="1" s="1"/>
  <c r="AK314" i="1"/>
  <c r="AL314" i="1" s="1"/>
  <c r="AK315" i="1"/>
  <c r="AL315" i="1" s="1"/>
  <c r="AK316" i="1"/>
  <c r="AL316" i="1" s="1"/>
  <c r="AK317" i="1"/>
  <c r="AL317" i="1" s="1"/>
  <c r="AK318" i="1"/>
  <c r="AL318" i="1" s="1"/>
  <c r="AK319" i="1"/>
  <c r="AL319" i="1" s="1"/>
  <c r="AK320" i="1"/>
  <c r="AL320" i="1" s="1"/>
  <c r="AK321" i="1"/>
  <c r="AL321" i="1" s="1"/>
  <c r="AK322" i="1"/>
  <c r="AL322" i="1" s="1"/>
  <c r="AK323" i="1"/>
  <c r="AL323" i="1" s="1"/>
  <c r="AK324" i="1"/>
  <c r="AL324" i="1" s="1"/>
  <c r="AK325" i="1"/>
  <c r="AL325" i="1" s="1"/>
  <c r="AK326" i="1"/>
  <c r="AL326" i="1" s="1"/>
  <c r="AK327" i="1"/>
  <c r="AL327" i="1" s="1"/>
  <c r="AK328" i="1"/>
  <c r="AL328" i="1" s="1"/>
  <c r="AK329" i="1"/>
  <c r="AL329" i="1" s="1"/>
  <c r="AK330" i="1"/>
  <c r="AL330" i="1" s="1"/>
  <c r="AK331" i="1"/>
  <c r="AL331" i="1" s="1"/>
  <c r="AK332" i="1"/>
  <c r="AL332" i="1" s="1"/>
  <c r="AK333" i="1"/>
  <c r="AL333" i="1" s="1"/>
  <c r="AK334" i="1"/>
  <c r="AL334" i="1" s="1"/>
  <c r="AK335" i="1"/>
  <c r="AL335" i="1" s="1"/>
  <c r="AK336" i="1"/>
  <c r="AL336" i="1" s="1"/>
  <c r="AK337" i="1"/>
  <c r="AL337" i="1" s="1"/>
  <c r="AK338" i="1"/>
  <c r="AL338" i="1" s="1"/>
  <c r="AK339" i="1"/>
  <c r="AL339" i="1" s="1"/>
  <c r="AK340" i="1"/>
  <c r="AL340" i="1" s="1"/>
  <c r="AK341" i="1"/>
  <c r="AL341" i="1" s="1"/>
  <c r="AK342" i="1"/>
  <c r="AL342" i="1" s="1"/>
  <c r="AK343" i="1"/>
  <c r="AL343" i="1" s="1"/>
  <c r="AK344" i="1"/>
  <c r="AL344" i="1" s="1"/>
  <c r="AK345" i="1"/>
  <c r="AL345" i="1" s="1"/>
  <c r="AK346" i="1"/>
  <c r="AL346" i="1" s="1"/>
  <c r="AK347" i="1"/>
  <c r="AL347" i="1" s="1"/>
  <c r="AK348" i="1"/>
  <c r="AL348" i="1" s="1"/>
  <c r="AK349" i="1"/>
  <c r="AL349" i="1" s="1"/>
  <c r="AK350" i="1"/>
  <c r="AL350" i="1" s="1"/>
  <c r="AK351" i="1"/>
  <c r="AL351" i="1" s="1"/>
  <c r="AK352" i="1"/>
  <c r="AL352" i="1" s="1"/>
  <c r="AK353" i="1"/>
  <c r="AL353" i="1" s="1"/>
  <c r="AK354" i="1"/>
  <c r="AL354" i="1" s="1"/>
  <c r="AK355" i="1"/>
  <c r="AL355" i="1" s="1"/>
  <c r="AK356" i="1"/>
  <c r="AL356" i="1" s="1"/>
  <c r="AK357" i="1"/>
  <c r="AL357" i="1" s="1"/>
  <c r="AK358" i="1"/>
  <c r="AL358" i="1" s="1"/>
  <c r="AK359" i="1"/>
  <c r="AL359" i="1" s="1"/>
  <c r="AK360" i="1"/>
  <c r="AL360" i="1" s="1"/>
  <c r="AK361" i="1"/>
  <c r="AL361" i="1" s="1"/>
  <c r="AK362" i="1"/>
  <c r="AL362" i="1" s="1"/>
  <c r="AK363" i="1"/>
  <c r="AL363" i="1" s="1"/>
  <c r="AK364" i="1"/>
  <c r="AL364" i="1" s="1"/>
  <c r="AK2" i="1"/>
  <c r="AL2" i="1" s="1"/>
</calcChain>
</file>

<file path=xl/sharedStrings.xml><?xml version="1.0" encoding="utf-8"?>
<sst xmlns="http://schemas.openxmlformats.org/spreadsheetml/2006/main" count="9952" uniqueCount="1342">
  <si>
    <t>Account Name</t>
  </si>
  <si>
    <t>Channel</t>
  </si>
  <si>
    <t>Ticket Owner</t>
  </si>
  <si>
    <t>Ticket Number</t>
  </si>
  <si>
    <t>Subject</t>
  </si>
  <si>
    <t>Category</t>
  </si>
  <si>
    <t>Sub Category</t>
  </si>
  <si>
    <t>Device Name</t>
  </si>
  <si>
    <t>Serial/Subscription</t>
  </si>
  <si>
    <t>Device Serial</t>
  </si>
  <si>
    <t>Rack Number</t>
  </si>
  <si>
    <t>Replaced Serial Number</t>
  </si>
  <si>
    <t>Priority</t>
  </si>
  <si>
    <t>Status</t>
  </si>
  <si>
    <t>Hold Reason</t>
  </si>
  <si>
    <t>Resolution</t>
  </si>
  <si>
    <t>Created Time</t>
  </si>
  <si>
    <t>Resolution Time (min)</t>
  </si>
  <si>
    <t>Total Resolution Time (min)</t>
  </si>
  <si>
    <t>Response Time</t>
  </si>
  <si>
    <t>Actual Response Time (min)</t>
  </si>
  <si>
    <t>Agreed Response SLA (min)</t>
  </si>
  <si>
    <t>Response SLA Status</t>
  </si>
  <si>
    <t>First Hold Time</t>
  </si>
  <si>
    <t>Last Hold Time</t>
  </si>
  <si>
    <t>Agreed Resolution SLA (min)</t>
  </si>
  <si>
    <t>Resolution SLA Status</t>
  </si>
  <si>
    <t>Jubilant Foodworks Ltd (JFL)</t>
  </si>
  <si>
    <t>Alert</t>
  </si>
  <si>
    <t>Shresth Kushwaha</t>
  </si>
  <si>
    <t>PRO/INC/52394</t>
  </si>
  <si>
    <t>switches went down</t>
  </si>
  <si>
    <t>Meraki Managed Services</t>
  </si>
  <si>
    <t>Software / Configuration</t>
  </si>
  <si>
    <t>Q3LM-TGAF-Q97P</t>
  </si>
  <si>
    <t>Core</t>
  </si>
  <si>
    <t>Closed</t>
  </si>
  <si>
    <t>Device Power Issues</t>
  </si>
  <si>
    <t>POWER ISSUE</t>
  </si>
  <si>
    <t>switch wents down due to Power issue</t>
  </si>
  <si>
    <t>SLA Met</t>
  </si>
  <si>
    <t>Dharmendra Bhadoriya</t>
  </si>
  <si>
    <t>PRO/INC/46728</t>
  </si>
  <si>
    <t>JFL-MOHALI-ACC-SW-01(Transport Room)</t>
  </si>
  <si>
    <t>Q3LP-2PSJ-6DLB</t>
  </si>
  <si>
    <t>checking with the local team and on the dashboard</t>
  </si>
  <si>
    <t>After Restore issue has been resolved</t>
  </si>
  <si>
    <t>Aneesh P S</t>
  </si>
  <si>
    <t>PRO/INC/47434</t>
  </si>
  <si>
    <t>JFL-Guwahati-CORE-01</t>
  </si>
  <si>
    <t>Q5JG-ECTW-5MN7</t>
  </si>
  <si>
    <t>Firmware or Software Bugs</t>
  </si>
  <si>
    <t>Firmware upgradation activity in progress</t>
  </si>
  <si>
    <t>Device Firmware Upgradation</t>
  </si>
  <si>
    <t>Jagadisha R</t>
  </si>
  <si>
    <t>PRO/INC/51792</t>
  </si>
  <si>
    <t>GF-R1-SW1</t>
  </si>
  <si>
    <t>Q2ZP-D487-83QR</t>
  </si>
  <si>
    <t>Power issues</t>
  </si>
  <si>
    <t>Power issue</t>
  </si>
  <si>
    <t>PRO/INC/47362</t>
  </si>
  <si>
    <t>GF-R4-SW1</t>
  </si>
  <si>
    <t>Q2QW-CNV8-9Q8Y</t>
  </si>
  <si>
    <t>GF-R4</t>
  </si>
  <si>
    <t>power issue</t>
  </si>
  <si>
    <t>Dheerendra Maurya</t>
  </si>
  <si>
    <t>PRO/INC/53225</t>
  </si>
  <si>
    <t>1F-R4-SW2</t>
  </si>
  <si>
    <t>Q2QW-CAKK-KNXD</t>
  </si>
  <si>
    <t>Switch went down due to power issue</t>
  </si>
  <si>
    <t>PRO/INC/53227</t>
  </si>
  <si>
    <t>1F-R4-SW1</t>
  </si>
  <si>
    <t>Q2QW-CTFM-KEQZ</t>
  </si>
  <si>
    <t>Kartik Choudhary</t>
  </si>
  <si>
    <t>PRO/INC/41935</t>
  </si>
  <si>
    <t>SEC-CAB-SW2</t>
  </si>
  <si>
    <t>Q2QW-FCH3-EMVG</t>
  </si>
  <si>
    <t>As discussed with Mr. Uday, there is a power issue, and their team is currently working to resolve it.</t>
  </si>
  <si>
    <t>PRO/INC/41659</t>
  </si>
  <si>
    <t>2F-R4-SW2</t>
  </si>
  <si>
    <t>Q2QW-ARKH-HCRT</t>
  </si>
  <si>
    <t>PRO/INC/42933</t>
  </si>
  <si>
    <t>JFL-GNSC-CORE-SW-ST-01 [2]</t>
  </si>
  <si>
    <t>Q5TN-DGC5-M8QZ</t>
  </si>
  <si>
    <t>John Ashis Roy</t>
  </si>
  <si>
    <t>PRO/INC/43795</t>
  </si>
  <si>
    <t>GF-ETP-SW1</t>
  </si>
  <si>
    <t>Q2QW-CAJU-QVKD</t>
  </si>
  <si>
    <t>Power Issue</t>
  </si>
  <si>
    <t>Resolved</t>
  </si>
  <si>
    <t>PRO/INC/53231</t>
  </si>
  <si>
    <t>1F-R3-SW1</t>
  </si>
  <si>
    <t>Q2QW-CTFE-E2WF</t>
  </si>
  <si>
    <t>PRO/INC/45960</t>
  </si>
  <si>
    <t>Email</t>
  </si>
  <si>
    <t>PRO/INC/52986</t>
  </si>
  <si>
    <t>Support Required-MZ-R2-SW1---------Q2QW-BWVG-Y4ZU</t>
  </si>
  <si>
    <t>Others</t>
  </si>
  <si>
    <t>troubleshooting is on going with customer..</t>
  </si>
  <si>
    <t>As part of the troubleshooting, we tested the affected switch ports using spare camera. During testing, some ports were functioning normally, while cameras connected to ports 45, 47, and 48 remained offline. We then rebooted the switch and allowed it to come back online completely. Following the reboot, the cameras connected to ports 45, 47, and 48 came online successfully and obtained IP addresses. At present, all cameras are operational and functioning normally.</t>
  </si>
  <si>
    <t>Arvind Kumar Arya</t>
  </si>
  <si>
    <t>PRO/INC/51184</t>
  </si>
  <si>
    <t>JFL-NAG-SSC-SW01</t>
  </si>
  <si>
    <t>Q5JJ-68KZ-MXAS</t>
  </si>
  <si>
    <t>Client Side Activity</t>
  </si>
  <si>
    <t>Power issue on client side.</t>
  </si>
  <si>
    <t>IOS upgrade activity at customer site , now the device came up</t>
  </si>
  <si>
    <t>PRO/INC/51183</t>
  </si>
  <si>
    <t>JFL-NAG-SSC-SW03</t>
  </si>
  <si>
    <t>Q5JG-STQ9-EUPF</t>
  </si>
  <si>
    <t>Rohit Mourya</t>
  </si>
  <si>
    <t>PRO/INC/42633</t>
  </si>
  <si>
    <t>PRO/INC/46727</t>
  </si>
  <si>
    <t>JFL-MOHALI-CORE-02</t>
  </si>
  <si>
    <t>Q5JG-NJW9-ABBQ</t>
  </si>
  <si>
    <t>checking with local team and on the dashboard</t>
  </si>
  <si>
    <t>PRO/INC/46798</t>
  </si>
  <si>
    <t>Checking with the local team and on the meraki dashboard</t>
  </si>
  <si>
    <t>PRO/INC/47074</t>
  </si>
  <si>
    <t>1F-R3-SW2</t>
  </si>
  <si>
    <t>Q2QW-CTFW-5KJ6</t>
  </si>
  <si>
    <t>pOWER ISSUE</t>
  </si>
  <si>
    <t>PRO/INC/47925</t>
  </si>
  <si>
    <t>JFL-GNSC-CORE-SW-ST-01 [1]</t>
  </si>
  <si>
    <t>Q5TN-NF5F-N32X</t>
  </si>
  <si>
    <t>device power issue</t>
  </si>
  <si>
    <t>ISP issue</t>
  </si>
  <si>
    <t>Abhishek Satish Pawar</t>
  </si>
  <si>
    <t>PRO/INC/47072</t>
  </si>
  <si>
    <t>resolved</t>
  </si>
  <si>
    <t>PRO/INC/56186</t>
  </si>
  <si>
    <t>PRO/INC/44815</t>
  </si>
  <si>
    <t>Device Power issues</t>
  </si>
  <si>
    <t>PRO/INC/52387</t>
  </si>
  <si>
    <t>PRO/INC/41992</t>
  </si>
  <si>
    <t>2F-R4-SW3</t>
  </si>
  <si>
    <t>Q2QW-BAYV-J6K5</t>
  </si>
  <si>
    <t>PRO/INC/41653</t>
  </si>
  <si>
    <t>2F-R5-SW2</t>
  </si>
  <si>
    <t>Q2QW-CTMF-ZXMF</t>
  </si>
  <si>
    <t>PRO/INC/45951</t>
  </si>
  <si>
    <t>PRO/INC/41652</t>
  </si>
  <si>
    <t>2F-R5-SW1</t>
  </si>
  <si>
    <t>Q2QW-CTCG-QKDE</t>
  </si>
  <si>
    <t>PRO/INC/53224</t>
  </si>
  <si>
    <t>1F-R5-SW1</t>
  </si>
  <si>
    <t>Q2QW-CANP-QCYR</t>
  </si>
  <si>
    <t>PRO/INC/52761</t>
  </si>
  <si>
    <t>PRO/INC/53229</t>
  </si>
  <si>
    <t>1F-R5-SW4</t>
  </si>
  <si>
    <t>Q2QW-EX7M-X9M6</t>
  </si>
  <si>
    <t>PRO/INC/47071</t>
  </si>
  <si>
    <t>PRO/INC/56885</t>
  </si>
  <si>
    <t>PRO/INC/43076</t>
  </si>
  <si>
    <t>PRO/INC/52765</t>
  </si>
  <si>
    <t>PRO/INC/51176</t>
  </si>
  <si>
    <t>JFL-NAG-SSC-SW04</t>
  </si>
  <si>
    <t>Q5JG-SL55-CZ9Z</t>
  </si>
  <si>
    <t>PRO/INC/53805</t>
  </si>
  <si>
    <t>PRO/INC/41934</t>
  </si>
  <si>
    <t>SEC-CAB-SW1</t>
  </si>
  <si>
    <t>Q2QW-FCJL-LJS8</t>
  </si>
  <si>
    <t>As discussed with Mr. Uday there is Power issue and their team is working on to fix it.</t>
  </si>
  <si>
    <t>PRO/INC/47073</t>
  </si>
  <si>
    <t>PRO/INC/41993</t>
  </si>
  <si>
    <t>GF-UTILITY-SW1</t>
  </si>
  <si>
    <t>Q2QW-EXXK-QDZ3</t>
  </si>
  <si>
    <t>PRO/INC/53226</t>
  </si>
  <si>
    <t>1F-R5-SW3</t>
  </si>
  <si>
    <t>Q2QW-GPBW-SLG9</t>
  </si>
  <si>
    <t>PRO/INC/47361</t>
  </si>
  <si>
    <t>GF-R4-SW2</t>
  </si>
  <si>
    <t>Q2QW-DC3Q-MPWQ</t>
  </si>
  <si>
    <t>PRO/INC/53804</t>
  </si>
  <si>
    <t>PRO/INC/53228</t>
  </si>
  <si>
    <t>1F-R5-SW2</t>
  </si>
  <si>
    <t>Q2QW-CQSG-6X85</t>
  </si>
  <si>
    <t>PRO/INC/45631</t>
  </si>
  <si>
    <t>JFL-Guwahati-CORE-02</t>
  </si>
  <si>
    <t>Q5JG-AQNW-P9FB</t>
  </si>
  <si>
    <t>CORE</t>
  </si>
  <si>
    <t>After restore issue has been resolved</t>
  </si>
  <si>
    <t>PRO/INC/48143</t>
  </si>
  <si>
    <t>As discussed with Mr. Vijay, the switch went down due to a power issue during the installation of the new generator.</t>
  </si>
  <si>
    <t>PRO/INC/53230</t>
  </si>
  <si>
    <t>PRO/INC/44988</t>
  </si>
  <si>
    <t>PRO/INC/51791</t>
  </si>
  <si>
    <t>GF-R1-SW2</t>
  </si>
  <si>
    <t>Q2ZP-AZ5F-V97Y</t>
  </si>
  <si>
    <t>PRO/INC/41590</t>
  </si>
  <si>
    <t>SIDE-PLANT1</t>
  </si>
  <si>
    <t>Q2MW-DT66-3HKL</t>
  </si>
  <si>
    <t>PRO/INC/49659</t>
  </si>
  <si>
    <t>aps went down</t>
  </si>
  <si>
    <t>JFL-GNSC-AP42</t>
  </si>
  <si>
    <t>Q5AA-EZ6A-S56Y</t>
  </si>
  <si>
    <t>Non-Core</t>
  </si>
  <si>
    <t>PRO/INC/56845</t>
  </si>
  <si>
    <t>JFL-GNSC-AP53</t>
  </si>
  <si>
    <t>Q3KG-6BJV-TZA3</t>
  </si>
  <si>
    <t>Client-side activity (migration activity)</t>
  </si>
  <si>
    <t>PRO/INC/47359</t>
  </si>
  <si>
    <t>GF-AP29-R04-SW02-23P</t>
  </si>
  <si>
    <t>Q3AC-NC4G-DUA2</t>
  </si>
  <si>
    <t>NA</t>
  </si>
  <si>
    <t>PRO/INC/56220</t>
  </si>
  <si>
    <t>JFL-GNSC-AP04</t>
  </si>
  <si>
    <t>Q5AA-5TRP-EJMF</t>
  </si>
  <si>
    <t>PRO/INC/48470</t>
  </si>
  <si>
    <t>JFL-Mohali-SCC-AP06</t>
  </si>
  <si>
    <t>Q5AA-8PQC-7V98</t>
  </si>
  <si>
    <t>As discussed with Mr. Vijay over the call, a new electric generator is being installed at the site. For testing purposes, the power needs to be shut down, due to which the devices are going offline.</t>
  </si>
  <si>
    <t>Client side activity as they are installing new Electric generator so for testing they have shut the power and now they have restore the power and device is also up.</t>
  </si>
  <si>
    <t>PRO/INC/51178</t>
  </si>
  <si>
    <t>JFL-NAG-SSC-AP04</t>
  </si>
  <si>
    <t>Q3KG-P7GS-UMEQ</t>
  </si>
  <si>
    <t>Switch IOS upgrade activity at customer site , now the device came up</t>
  </si>
  <si>
    <t>PRO/INC/49682</t>
  </si>
  <si>
    <t>new dhcp server detected</t>
  </si>
  <si>
    <t>JFL-NAG-SSC-SW02</t>
  </si>
  <si>
    <t>Q5JG-TM9S-PLFP</t>
  </si>
  <si>
    <t>Third Party Device issue</t>
  </si>
  <si>
    <t>Client side activity</t>
  </si>
  <si>
    <t>New Dhcp server detected issue has been resolved .Now close the case</t>
  </si>
  <si>
    <t>PRO/INC/41803</t>
  </si>
  <si>
    <t>Alert for JFL-MOHALI-SCC - Devices operating at critical temperature</t>
  </si>
  <si>
    <t>6c:7f:0c:c7:d8:02</t>
  </si>
  <si>
    <t>I have already informed the customer and am waiting for the customer's response.</t>
  </si>
  <si>
    <t>As confirmed with the client, the AC was not powered on due to holiday.</t>
  </si>
  <si>
    <t>PRO/INC/52996</t>
  </si>
  <si>
    <t>JFL-GNSC-AP20</t>
  </si>
  <si>
    <t>Q5AA-GHXM-TRTK</t>
  </si>
  <si>
    <t>PRO/INC/56422</t>
  </si>
  <si>
    <t>Q3AC-MPKF-FE8T</t>
  </si>
  <si>
    <t>client side activity</t>
  </si>
  <si>
    <t>As confirmed by Uday, this AP belongs to the Bangalore RO office and was deployed in the network from the available stock through an internal transfer</t>
  </si>
  <si>
    <t>PRO/INC/50007</t>
  </si>
  <si>
    <t>checking on dashboard</t>
  </si>
  <si>
    <t>PRO/INC/49894</t>
  </si>
  <si>
    <t>JFL-GNSC-AP48</t>
  </si>
  <si>
    <t>Q3KG-JH9T-FL7Z</t>
  </si>
  <si>
    <t>PRO/INC/56039</t>
  </si>
  <si>
    <t>PRO/INC/53404</t>
  </si>
  <si>
    <t>JFL-Mohali-SCC-AP09</t>
  </si>
  <si>
    <t>Q5AR-TEZ8-EZVW</t>
  </si>
  <si>
    <t>ISP or power issue at client side</t>
  </si>
  <si>
    <t>Ap went down due to power issue</t>
  </si>
  <si>
    <t>PRO/INC/48129</t>
  </si>
  <si>
    <t>JFL-GNSC-AP55</t>
  </si>
  <si>
    <t>Q3KG-Y2PU-4DWW</t>
  </si>
  <si>
    <t>PRO/INC/56855</t>
  </si>
  <si>
    <t>JFL-GNSC-AP34</t>
  </si>
  <si>
    <t>Q5AA-TSZZ-HUFQ</t>
  </si>
  <si>
    <t>PRO/INC/51925</t>
  </si>
  <si>
    <t>New server detected</t>
  </si>
  <si>
    <t>PRO/INC/47338</t>
  </si>
  <si>
    <t>JFL-GNSC-AP06</t>
  </si>
  <si>
    <t>Q5AR-6LBA-42SM</t>
  </si>
  <si>
    <t>PRO/INC/51185</t>
  </si>
  <si>
    <t>JFL-NAG-SSC-AP02</t>
  </si>
  <si>
    <t>Q5AR-4FGW-G4PW</t>
  </si>
  <si>
    <t>iOS upgradation activity at customer site The device came up ,closing the case</t>
  </si>
  <si>
    <t>PRO/INC/49684</t>
  </si>
  <si>
    <t>New Dhcp server detected issue has been resolved now close the case</t>
  </si>
  <si>
    <t>PRO/INC/49935</t>
  </si>
  <si>
    <t>JFL-GNSC-AP22</t>
  </si>
  <si>
    <t>Q5AA-ASYH-AKEA</t>
  </si>
  <si>
    <t>IOS graduation activity at customer site , now the device is online ..</t>
  </si>
  <si>
    <t>SLA Breached</t>
  </si>
  <si>
    <t>PRO/INC/46815</t>
  </si>
  <si>
    <t>block</t>
  </si>
  <si>
    <t>PRO/INC/56671</t>
  </si>
  <si>
    <t>power issue AP came up</t>
  </si>
  <si>
    <t>PRO/INC/47575</t>
  </si>
  <si>
    <t>awaiting for customer response. Observation has been shared with customer.</t>
  </si>
  <si>
    <t>PRO/INC/51780</t>
  </si>
  <si>
    <t>GF-R5-SW3</t>
  </si>
  <si>
    <t>Q2QW-BWS8-7ULR</t>
  </si>
  <si>
    <t>GF-R5</t>
  </si>
  <si>
    <t>New Configuration</t>
  </si>
  <si>
    <t>Need customer confirmation to close the case</t>
  </si>
  <si>
    <t>blocked as per customer confirmation</t>
  </si>
  <si>
    <t>PRO/INC/49707</t>
  </si>
  <si>
    <t>JFL-GNSC-AP54</t>
  </si>
  <si>
    <t>Q5AA-XGDL-V7JB</t>
  </si>
  <si>
    <t>PRO/INC/41660</t>
  </si>
  <si>
    <t>2F-AP12-R5-SW2-4P</t>
  </si>
  <si>
    <t>Q3AC-PGZ6-YM5F</t>
  </si>
  <si>
    <t>AP went down due to power issue</t>
  </si>
  <si>
    <t>PRO/INC/47898</t>
  </si>
  <si>
    <t>Observation is shared with customer. Awaiting for customer response.</t>
  </si>
  <si>
    <t>We have blocked the new dhcp server as per customer confirmation.</t>
  </si>
  <si>
    <t>PRO/INC/49942</t>
  </si>
  <si>
    <t>JFL-GNSC-AP24</t>
  </si>
  <si>
    <t>Q5AA-JKR4-S9MX</t>
  </si>
  <si>
    <t>PRO/INC/44851</t>
  </si>
  <si>
    <t>1F-AP14-R04-SW02-11P</t>
  </si>
  <si>
    <t>Q3AC-RQJS-FY3M</t>
  </si>
  <si>
    <t>PRO/INC/47360</t>
  </si>
  <si>
    <t>GF-AP35-R04-SW02-13P</t>
  </si>
  <si>
    <t>Q3AC-59QF-LNTG</t>
  </si>
  <si>
    <t>PRO/INC/57056</t>
  </si>
  <si>
    <t>JFL-GNSC-AP27</t>
  </si>
  <si>
    <t>Q5AA-FRBE-94N5</t>
  </si>
  <si>
    <t>PRO/INC/56828</t>
  </si>
  <si>
    <t>JFL-Mohali-SCC-AP08</t>
  </si>
  <si>
    <t>Q5AA-PHPN-4452</t>
  </si>
  <si>
    <t>Generator migration activity at client site</t>
  </si>
  <si>
    <t>PRO/INC/49733</t>
  </si>
  <si>
    <t>Chhitij Kumar Rai</t>
  </si>
  <si>
    <t>PRO/INC/48114</t>
  </si>
  <si>
    <t>Remove port security || Port Number-23 -- FCW2110B25A</t>
  </si>
  <si>
    <t>Change Request</t>
  </si>
  <si>
    <t>FCW2110B25A</t>
  </si>
  <si>
    <t>Configuration change</t>
  </si>
  <si>
    <t>we disabled the port security on the switch as per required</t>
  </si>
  <si>
    <t>PRO/INC/53234</t>
  </si>
  <si>
    <t>Q3AC-HG28-SMQY</t>
  </si>
  <si>
    <t>PRO/INC/56840</t>
  </si>
  <si>
    <t>JFL-GNSC-AP61</t>
  </si>
  <si>
    <t>Q3KG-X73V-EYFZ</t>
  </si>
  <si>
    <t>PRO/INC/55959</t>
  </si>
  <si>
    <t>Remove port security below the switch. || Central Kitchen   ------FCW2211B365</t>
  </si>
  <si>
    <t>FCW2211B365</t>
  </si>
  <si>
    <t>Waiting for customer approval</t>
  </si>
  <si>
    <t>Port security has been enabled</t>
  </si>
  <si>
    <t>PRO/INC/49910</t>
  </si>
  <si>
    <t>JFL-GNSC-AP71</t>
  </si>
  <si>
    <t>Q5AA-XDV9-FKTX</t>
  </si>
  <si>
    <t>PRO/INC/49931</t>
  </si>
  <si>
    <t>JFL-GNSC-AP31</t>
  </si>
  <si>
    <t>Q5AA-V3B6-RSQX</t>
  </si>
  <si>
    <t>PRO/INC/53232</t>
  </si>
  <si>
    <t>1F-AP07-R05-SW04-17P</t>
  </si>
  <si>
    <t>Q3AC-QSJ4-9L25</t>
  </si>
  <si>
    <t>PRO/INC/47358</t>
  </si>
  <si>
    <t>GF-AP39-R04-SW02-15P</t>
  </si>
  <si>
    <t>Q3AC-W6MK-P7AJ</t>
  </si>
  <si>
    <t>PRO/INC/56205</t>
  </si>
  <si>
    <t>PRO/INC/49909</t>
  </si>
  <si>
    <t>JFL-GNSC-AP43</t>
  </si>
  <si>
    <t>Q5AA-JPYJ-YC9M</t>
  </si>
  <si>
    <t>PRO/INC/53237</t>
  </si>
  <si>
    <t>PRO/INC/44814</t>
  </si>
  <si>
    <t>GF-AP01-ETP-SW1-10P</t>
  </si>
  <si>
    <t>Q5AE-KNH9-5GV8</t>
  </si>
  <si>
    <t>PRO/INC/46988</t>
  </si>
  <si>
    <t>JFL-GNSC-AP36</t>
  </si>
  <si>
    <t>Q5AA-4792-7HZC</t>
  </si>
  <si>
    <t>PRO/INC/49980</t>
  </si>
  <si>
    <t>JFL-GNSC-AP16</t>
  </si>
  <si>
    <t>Q5AA-A6S6-XG3H</t>
  </si>
  <si>
    <t>ios upgradation of core switch at customer end</t>
  </si>
  <si>
    <t>PRO/INC/46953</t>
  </si>
  <si>
    <t>PRO/INC/47846</t>
  </si>
  <si>
    <t>new DHCP server detected</t>
  </si>
  <si>
    <t>New DHCP server detected on the network, as per the customer confirmation blocked the device</t>
  </si>
  <si>
    <t>PRO/INC/49456</t>
  </si>
  <si>
    <t>JFL-GNSC-AP50</t>
  </si>
  <si>
    <t>Q3KG-A9R2-ATYY</t>
  </si>
  <si>
    <t>PRO/INC/57063</t>
  </si>
  <si>
    <t>PRO/INC/49975</t>
  </si>
  <si>
    <t>JFL-GNSC-AP52</t>
  </si>
  <si>
    <t>Q3KG-GWW5-CHJC</t>
  </si>
  <si>
    <t>ios upgradation activity art customer side</t>
  </si>
  <si>
    <t>PRO/INC/53628</t>
  </si>
  <si>
    <t>Power issue at client site</t>
  </si>
  <si>
    <t>PRO/INC/46799</t>
  </si>
  <si>
    <t>JFL-Mohali-SCC-AP07</t>
  </si>
  <si>
    <t>Q5AA-E8FN-53RX</t>
  </si>
  <si>
    <t>PRO/INC/41650</t>
  </si>
  <si>
    <t>2F-AP20-R4-SW2-45P</t>
  </si>
  <si>
    <t>Q3AC-9EFV-95CH</t>
  </si>
  <si>
    <t>PRO/INC/56432</t>
  </si>
  <si>
    <t>New dhcp detected</t>
  </si>
  <si>
    <t>We have blocked the new DHCP server with the MAC address 02:14:83:69:52:3e.</t>
  </si>
  <si>
    <t>PRO/INC/56859</t>
  </si>
  <si>
    <t>JFL-GNSC-AP57</t>
  </si>
  <si>
    <t>Q3KG-DGB7-HMVP</t>
  </si>
  <si>
    <t>PRO/INC/57112</t>
  </si>
  <si>
    <t>JFL-GNSC-AP23</t>
  </si>
  <si>
    <t>Q5AR-527V-Z8YR</t>
  </si>
  <si>
    <t>PRO/INC/52764</t>
  </si>
  <si>
    <t>JFL-Mohali-SCC-AP10</t>
  </si>
  <si>
    <t>Q5AA-43RJ-JQUD</t>
  </si>
  <si>
    <t>PRO/INC/50002</t>
  </si>
  <si>
    <t>JFL-GNSC-AP37</t>
  </si>
  <si>
    <t>Q5AA-LCK3-FDNW</t>
  </si>
  <si>
    <t>PRO/INC/44727</t>
  </si>
  <si>
    <t>PRO/INC/49889</t>
  </si>
  <si>
    <t>Hardware Component Failures</t>
  </si>
  <si>
    <t>Power issue on client side</t>
  </si>
  <si>
    <t>after replacing the connectors , AP showing online on the dashboard</t>
  </si>
  <si>
    <t>PRO/INC/57026</t>
  </si>
  <si>
    <t>Clent side Activity</t>
  </si>
  <si>
    <t>AP went down due Client side activity(migration activity)</t>
  </si>
  <si>
    <t>PRO/INC/49947</t>
  </si>
  <si>
    <t>JFL-GNSC-AP41</t>
  </si>
  <si>
    <t>Q5AA-8AST-YPV4</t>
  </si>
  <si>
    <t>ios upgrade on core switch</t>
  </si>
  <si>
    <t>PRO/INC/56427</t>
  </si>
  <si>
    <t>JFL-GNSC-AP26</t>
  </si>
  <si>
    <t>Q5AA-H6R3-LUMM</t>
  </si>
  <si>
    <t>PRO/INC/49911</t>
  </si>
  <si>
    <t>JFL-GNSC-AP18</t>
  </si>
  <si>
    <t>Q5AA-3BVV-VQUU</t>
  </si>
  <si>
    <t>PRO/INC/48139</t>
  </si>
  <si>
    <t>AP Went down due to power issue</t>
  </si>
  <si>
    <t>PRO/INC/49951</t>
  </si>
  <si>
    <t>JFL-GNSC-AP10</t>
  </si>
  <si>
    <t>Q5AA-SK3L-NVFH</t>
  </si>
  <si>
    <t>ios upgradation activity on core switch</t>
  </si>
  <si>
    <t>PRO/INC/45952</t>
  </si>
  <si>
    <t>JFL-Mohali-SCC-AP13</t>
  </si>
  <si>
    <t>Q5AR-A7VQ-MZJM</t>
  </si>
  <si>
    <t>PRO/INC/41621</t>
  </si>
  <si>
    <t>JFL-Guwahati-SSC-AP-03</t>
  </si>
  <si>
    <t>Q5AA-RM28-C2R8</t>
  </si>
  <si>
    <t>AP firmware activity going on due to that AP went down, So now firmware has been upgraded successfully and AP came online.</t>
  </si>
  <si>
    <t>PRO/INC/49709</t>
  </si>
  <si>
    <t>device Power Issues</t>
  </si>
  <si>
    <t>PRO/INC/49447</t>
  </si>
  <si>
    <t>JFL-GNSC-AP02</t>
  </si>
  <si>
    <t>Q5AA-9N3T-MZGU</t>
  </si>
  <si>
    <t>PRO/INC/56826</t>
  </si>
  <si>
    <t>JFL-Mohali-SCC-AP02</t>
  </si>
  <si>
    <t>Q5AA-GMN6-UE62</t>
  </si>
  <si>
    <t>PRO/INC/49934</t>
  </si>
  <si>
    <t>PRO/INC/51680</t>
  </si>
  <si>
    <t>need Customer confirmation to proceed</t>
  </si>
  <si>
    <t>New DHCP server detected on the netwrok, blocked those as per customer confirmation</t>
  </si>
  <si>
    <t>PRO/INC/56179</t>
  </si>
  <si>
    <t>PRO/INC/49922</t>
  </si>
  <si>
    <t>JFL-GNSC-AP28</t>
  </si>
  <si>
    <t>Q5AA-GJ47-DK5X</t>
  </si>
  <si>
    <t>PRO/INC/49956</t>
  </si>
  <si>
    <t>JFL-GNSC-AP30</t>
  </si>
  <si>
    <t>Q5AA-J9A9-ZJ2B</t>
  </si>
  <si>
    <t>ios upgradation activity at client end</t>
  </si>
  <si>
    <t>PRO/INC/45370</t>
  </si>
  <si>
    <t>PRO/INC/56834</t>
  </si>
  <si>
    <t>due to Client site migration activity AP went down</t>
  </si>
  <si>
    <t>PRO/INC/49836</t>
  </si>
  <si>
    <t>PRO/INC/57016</t>
  </si>
  <si>
    <t>PRO/INC/56896</t>
  </si>
  <si>
    <t>Device is unreachable on dashboard suspecting power issue.</t>
  </si>
  <si>
    <t>Migration activity</t>
  </si>
  <si>
    <t>PRO/INC/49932</t>
  </si>
  <si>
    <t>PRO/INC/56620</t>
  </si>
  <si>
    <t>Power issue AP came up</t>
  </si>
  <si>
    <t>PRO/INC/48142</t>
  </si>
  <si>
    <t>JFL-Mohali-SCC-AP05</t>
  </si>
  <si>
    <t>Q5AA-V3D8-DKEG</t>
  </si>
  <si>
    <t>the AP went down due to a power issue during the installation of the new generator.</t>
  </si>
  <si>
    <t>PRO/INC/57034</t>
  </si>
  <si>
    <t>Clent Side Activity</t>
  </si>
  <si>
    <t>Ap went down due to Client side activity(migration activity)</t>
  </si>
  <si>
    <t>PRO/INC/53213</t>
  </si>
  <si>
    <t>PRO/INC/51179</t>
  </si>
  <si>
    <t>JFL-NAG-SSC-AP05</t>
  </si>
  <si>
    <t>Q3KG-FBVZ-2RBN</t>
  </si>
  <si>
    <t>Device Boot Issues</t>
  </si>
  <si>
    <t>After Upgradation Issue has been resolved .</t>
  </si>
  <si>
    <t>PRO/INC/48101</t>
  </si>
  <si>
    <t>JFL-GNSC-AP60</t>
  </si>
  <si>
    <t>Q3KG-XSEX-EG6A</t>
  </si>
  <si>
    <t>PRO/INC/56866</t>
  </si>
  <si>
    <t>JFL-GNSC-AP66</t>
  </si>
  <si>
    <t>Q5AA-JYZN-6KKB</t>
  </si>
  <si>
    <t>PRO/INC/49928</t>
  </si>
  <si>
    <t>JFL-GNSC-AP14</t>
  </si>
  <si>
    <t>Q5AA-Y9EX-GL7E</t>
  </si>
  <si>
    <t>PRO/INC/56621</t>
  </si>
  <si>
    <t>PRO/INC/41933</t>
  </si>
  <si>
    <t>SEC-CAB-GF-AP02-R01-SW01-04P</t>
  </si>
  <si>
    <t>Q3AC-YHHC-Q634</t>
  </si>
  <si>
    <t>PRO/INC/41635</t>
  </si>
  <si>
    <t>observation with customer, Customer reply awaiting.</t>
  </si>
  <si>
    <t>new DHCP server blocked</t>
  </si>
  <si>
    <t>PRO/INC/49916</t>
  </si>
  <si>
    <t>Q3MV-6XWK-TVUP</t>
  </si>
  <si>
    <t>PRO/INC/57115</t>
  </si>
  <si>
    <t>PRO/INC/41649</t>
  </si>
  <si>
    <t>2F-AP18-R4-SW2-8P</t>
  </si>
  <si>
    <t>Q3AC-C4P4-JNC9</t>
  </si>
  <si>
    <t>PRO/INC/51790</t>
  </si>
  <si>
    <t>CORE-2</t>
  </si>
  <si>
    <t>Q2DW-FPMF-3AL6</t>
  </si>
  <si>
    <t>Will inform customer, will wait for his confirmation</t>
  </si>
  <si>
    <t>we are closing the case internally as of now, if same mac appears in the future , will take action</t>
  </si>
  <si>
    <t>PRO/INC/44824</t>
  </si>
  <si>
    <t>DHCP New device detected</t>
  </si>
  <si>
    <t>We have blocked Mac address.New dhcp server detected issue has been resolved. . now closed the case</t>
  </si>
  <si>
    <t>PRO/INC/50542</t>
  </si>
  <si>
    <t>GF-AP09-R02-SW01-22P</t>
  </si>
  <si>
    <t>Q3AC-DK8K-8UBR</t>
  </si>
  <si>
    <t>PRO/INC/51793</t>
  </si>
  <si>
    <t>GF-AP03-R01-SW02-39P</t>
  </si>
  <si>
    <t>Q5AE-C77W-8YW3</t>
  </si>
  <si>
    <t>PRO/INC/44850</t>
  </si>
  <si>
    <t>1F-AP26-R5-SW02-34P</t>
  </si>
  <si>
    <t>Q3AC-Y2HS-V29M</t>
  </si>
  <si>
    <t>PRO/INC/56862</t>
  </si>
  <si>
    <t>JFL-GNSC-AP56</t>
  </si>
  <si>
    <t>Q3KG-8U94-FMUC</t>
  </si>
  <si>
    <t>PRO/INC/42634</t>
  </si>
  <si>
    <t>PRO/INC/45363</t>
  </si>
  <si>
    <t>PRO/INC/53233</t>
  </si>
  <si>
    <t>1F-AP10-R05-SW02-44P</t>
  </si>
  <si>
    <t>Q3AC-E8LA-PVD4</t>
  </si>
  <si>
    <t>PRO/INC/56204</t>
  </si>
  <si>
    <t>PRO/INC/47068</t>
  </si>
  <si>
    <t>1F-AP12-R04-SW02-9P</t>
  </si>
  <si>
    <t>Q3AC-ZNCZ-HDNM</t>
  </si>
  <si>
    <t>PRO/INC/57017</t>
  </si>
  <si>
    <t>PRO/INC/56582</t>
  </si>
  <si>
    <t>JFL-Mohali-SCC-AP04</t>
  </si>
  <si>
    <t>Q5AA-S8HG-F6YT</t>
  </si>
  <si>
    <t>PRO/INC/56861</t>
  </si>
  <si>
    <t>PRO/INC/52771</t>
  </si>
  <si>
    <t>JFL-Mohali-SCC-AP01</t>
  </si>
  <si>
    <t>Q5AR-56BZ-6TSR</t>
  </si>
  <si>
    <t>PRO/INC/56778</t>
  </si>
  <si>
    <t>PRO/INC/45632</t>
  </si>
  <si>
    <t>JFL-Guwahati-SSC-AP-02</t>
  </si>
  <si>
    <t>Q3KG-ZJZJ-WWH5</t>
  </si>
  <si>
    <t>PRO/INC/49775</t>
  </si>
  <si>
    <t>PRO/INC/49669</t>
  </si>
  <si>
    <t>PRO/INC/50011</t>
  </si>
  <si>
    <t>PRO/INC/47909</t>
  </si>
  <si>
    <t>New DHCP server detected , need customers clarification</t>
  </si>
  <si>
    <t>New DHCP server detected closed and blocked the server as per customer confirmation</t>
  </si>
  <si>
    <t>PRO/INC/42157</t>
  </si>
  <si>
    <t>PRO/INC/41657</t>
  </si>
  <si>
    <t>2F-AP04-R4-SW3-24P</t>
  </si>
  <si>
    <t>Q3AC-JN66-PSGV</t>
  </si>
  <si>
    <t>AP WENT DOWN DUE TO POWER ISSUE</t>
  </si>
  <si>
    <t>PRO/INC/47555</t>
  </si>
  <si>
    <t>JFL-GNSC-AP39</t>
  </si>
  <si>
    <t>Q5AA-NVD9-AZTY</t>
  </si>
  <si>
    <t>Devic Boot Issues</t>
  </si>
  <si>
    <t>PRO/INC/49926</t>
  </si>
  <si>
    <t>JFL-GNSC-AP44</t>
  </si>
  <si>
    <t>Q5AA-94E5-2UFU</t>
  </si>
  <si>
    <t>PRO/INC/47340</t>
  </si>
  <si>
    <t>PRO/INC/56684</t>
  </si>
  <si>
    <t>PRO/INC/56619</t>
  </si>
  <si>
    <t>PRO/INC/46952</t>
  </si>
  <si>
    <t>JFL-GNSC-AP62</t>
  </si>
  <si>
    <t>Q3KG-J4EF-KZ54</t>
  </si>
  <si>
    <t>power issue ..</t>
  </si>
  <si>
    <t>PRO/INC/45966</t>
  </si>
  <si>
    <t>checking new server.</t>
  </si>
  <si>
    <t>PRO/INC/44853</t>
  </si>
  <si>
    <t>1F-AP13-R04-SW02-13P</t>
  </si>
  <si>
    <t>Q3AC-DZAX-3FNP</t>
  </si>
  <si>
    <t>PRO/INC/49451</t>
  </si>
  <si>
    <t>Q5AA-FTAU-94AS</t>
  </si>
  <si>
    <t>PRO/INC/56838</t>
  </si>
  <si>
    <t>PRO/INC/57032</t>
  </si>
  <si>
    <t>AP went down due to Client side activity(migration activity)</t>
  </si>
  <si>
    <t>PRO/INC/48116</t>
  </si>
  <si>
    <t>physical layer connectivity issue --- Q3KG-A9R2-ATYY</t>
  </si>
  <si>
    <t>Cable issue</t>
  </si>
  <si>
    <t>PRO/INC/56886</t>
  </si>
  <si>
    <t>PRO/INC/47495</t>
  </si>
  <si>
    <t>ethernet uplink speed degraded .need to replace cable</t>
  </si>
  <si>
    <t>PRO/INC/45367</t>
  </si>
  <si>
    <t>ISP issue or Power issue</t>
  </si>
  <si>
    <t>PRO/INC/44555</t>
  </si>
  <si>
    <t>PRO/INC/41651</t>
  </si>
  <si>
    <t>PRO/INC/53807</t>
  </si>
  <si>
    <t>SEC-CAB-GF-AP01-R01-SW01-02P</t>
  </si>
  <si>
    <t>Q3AC-RDT3-Y62C</t>
  </si>
  <si>
    <t>PRO/INC/47516</t>
  </si>
  <si>
    <t>Device Boot issues</t>
  </si>
  <si>
    <t>PRO/INC/41715</t>
  </si>
  <si>
    <t>issue resolved</t>
  </si>
  <si>
    <t>PRO/INC/45520</t>
  </si>
  <si>
    <t>device boot issue</t>
  </si>
  <si>
    <t>PRO/INC/49450</t>
  </si>
  <si>
    <t>power supply went down</t>
  </si>
  <si>
    <t>device Power Issue</t>
  </si>
  <si>
    <t>PRO/INC/56777</t>
  </si>
  <si>
    <t>PRO/INC/50017</t>
  </si>
  <si>
    <t>PRO/INC/56214</t>
  </si>
  <si>
    <t>PRO/INC/53024</t>
  </si>
  <si>
    <t>PRO/INC/45327</t>
  </si>
  <si>
    <t>Device power issues</t>
  </si>
  <si>
    <t>PRO/INC/45528</t>
  </si>
  <si>
    <t>Port Reset | JFL-NAG-SSC-SW01 /Port no. 43 JFL, Nagpur</t>
  </si>
  <si>
    <t>We have reset the port but getting the CRC error on port so now customer is checking for cable at their end and update us to move further.</t>
  </si>
  <si>
    <t>As discussed over the call, we have enabled port number 43. Based on our discussion, we are proceeding with the closure of this case. Please feel free to reach out to us if any further assistance is required.</t>
  </si>
  <si>
    <t>PRO/INC/47906</t>
  </si>
  <si>
    <t>customer is not responding , we are closing the case .</t>
  </si>
  <si>
    <t>PRO/INC/44719</t>
  </si>
  <si>
    <t>PRO/INC/49898</t>
  </si>
  <si>
    <t>client-side activity</t>
  </si>
  <si>
    <t>Client side Activity</t>
  </si>
  <si>
    <t>PRO/INC/56221</t>
  </si>
  <si>
    <t>JFL-GNSC-AP29</t>
  </si>
  <si>
    <t>Q5AA-7TFR-X7ZG</t>
  </si>
  <si>
    <t>PRO/INC/53240</t>
  </si>
  <si>
    <t>PRO/INC/49776</t>
  </si>
  <si>
    <t>PRO/INC/46729</t>
  </si>
  <si>
    <t>JFL-Mohali-SCC-AP14</t>
  </si>
  <si>
    <t>Q5AA-MHPW-2YA8</t>
  </si>
  <si>
    <t>PRO/INC/56890</t>
  </si>
  <si>
    <t>PRO/INC/56849</t>
  </si>
  <si>
    <t>PRO/INC/52389</t>
  </si>
  <si>
    <t>JFL-Mohali-SCC-AP12</t>
  </si>
  <si>
    <t>Q3KG-9RDD-U5HG</t>
  </si>
  <si>
    <t>AP wents down due to power issue</t>
  </si>
  <si>
    <t>PRO/INC/49917</t>
  </si>
  <si>
    <t>PRO/INC/49941</t>
  </si>
  <si>
    <t>PRO/INC/57103</t>
  </si>
  <si>
    <t>PRO/INC/49435</t>
  </si>
  <si>
    <t>Device power issue</t>
  </si>
  <si>
    <t>PRO/INC/49441</t>
  </si>
  <si>
    <t>PRO/INC/49903</t>
  </si>
  <si>
    <t>JFL-GNSC-AP08</t>
  </si>
  <si>
    <t>Q5AA-63MW-78XL</t>
  </si>
  <si>
    <t>IOS upgrade activity ..</t>
  </si>
  <si>
    <t>PRO/INC/41658</t>
  </si>
  <si>
    <t>PRO/INC/53407</t>
  </si>
  <si>
    <t>power issue at client side</t>
  </si>
  <si>
    <t>PRO/INC/47335</t>
  </si>
  <si>
    <t>PRO/INC/49913</t>
  </si>
  <si>
    <t>PRO/INC/49907</t>
  </si>
  <si>
    <t>JFL-GNSC-AP69</t>
  </si>
  <si>
    <t>Q5AA-HV4L-P853</t>
  </si>
  <si>
    <t>PRO/INC/56863</t>
  </si>
  <si>
    <t>PRO/INC/50005</t>
  </si>
  <si>
    <t>PRO/INC/42155</t>
  </si>
  <si>
    <t>JFL-GNSC-AP49</t>
  </si>
  <si>
    <t>Q3KG-CFHX-4TRU</t>
  </si>
  <si>
    <t>PRO/INC/45373</t>
  </si>
  <si>
    <t>PRO/INC/53405</t>
  </si>
  <si>
    <t>JFL-Mohali-SCC-AP03</t>
  </si>
  <si>
    <t>Q5AA-KHJW-U94C</t>
  </si>
  <si>
    <t>PRO/INC/47069</t>
  </si>
  <si>
    <t>Q3AC-86YA-CET5</t>
  </si>
  <si>
    <t>PRO/INC/56847</t>
  </si>
  <si>
    <t>JFL-GNSC-AP67</t>
  </si>
  <si>
    <t>Q5AA-DEJD-R4N5</t>
  </si>
  <si>
    <t>PRO/INC/52758</t>
  </si>
  <si>
    <t>JFL-Mohali-SCC-AP15</t>
  </si>
  <si>
    <t>Q3KG-Y9ZZ-W8HK</t>
  </si>
  <si>
    <t>AP went down due to isp issue</t>
  </si>
  <si>
    <t>PRO/INC/45359</t>
  </si>
  <si>
    <t>Device Power Issue</t>
  </si>
  <si>
    <t>PRO/INC/49938</t>
  </si>
  <si>
    <t>PRO/INC/48471</t>
  </si>
  <si>
    <t>PRO/INC/48117</t>
  </si>
  <si>
    <t>Why all these AP went down -- Q3KG-XSEX-EG6A</t>
  </si>
  <si>
    <t>We reviewed the Meraki Dashboard event logs for the reported Access Point and observed a temporary device reboot event, after which the Ethernet uplink was successfully re-established and the MR came back online. As of now, the device is in an Online state and operating normally. Please find the attached dashboard snapshot for your reference, which confirms that the AP is currently reachable and functioning as expected. We will continue to monitor the device and will keep you informed if any further abnormal behavior is observed.</t>
  </si>
  <si>
    <t>PRO/INC/53806</t>
  </si>
  <si>
    <t>SEC-CAB-1F-AP02-R01-SW01-10P</t>
  </si>
  <si>
    <t>Q3AC-HV2N-AG28</t>
  </si>
  <si>
    <t>PRO/INC/50543</t>
  </si>
  <si>
    <t>GF-AP46-R02-SW01-26P</t>
  </si>
  <si>
    <t>Q3AC-MPDZ-UTHS</t>
  </si>
  <si>
    <t>PRO/INC/47339</t>
  </si>
  <si>
    <t>JFL-GNSC-AP05</t>
  </si>
  <si>
    <t>Q5AA-Z3WW-CY6C</t>
  </si>
  <si>
    <t>PRO/INC/53623</t>
  </si>
  <si>
    <t>Observation shared with customer, waiting for response.</t>
  </si>
  <si>
    <t>Thank you for the update. We have blocked the new DHCP server with the MAC address 06:ad:d8:38:b0:97. Please feel free to reach out if you require any further assistance.</t>
  </si>
  <si>
    <t>PRO/INC/47491</t>
  </si>
  <si>
    <t>Ethernet uplink speed degraded.need to replaced cable</t>
  </si>
  <si>
    <t>PRO/INC/49950</t>
  </si>
  <si>
    <t>JFL-GNSC-AP35</t>
  </si>
  <si>
    <t>Q5AA-U98X-3FD7</t>
  </si>
  <si>
    <t>core ios upgradation</t>
  </si>
  <si>
    <t>PRO/INC/51782</t>
  </si>
  <si>
    <t>IP Assign Issue | Nagpur-- Q5JG-TM9S-PLFP</t>
  </si>
  <si>
    <t>Configuration Errors</t>
  </si>
  <si>
    <t>checking on meraki dashboard</t>
  </si>
  <si>
    <t>we observed that the DHCP server MAC address was blocked. After unblocking the DHCP MAC address, the client was able to obtain an IP address successfully and is now functioning normally</t>
  </si>
  <si>
    <t>PRO/INC/47076</t>
  </si>
  <si>
    <t>new DHCP server detected (Client side activity)</t>
  </si>
  <si>
    <t>New DHCP server detcted , blocked the server with customer confirmation</t>
  </si>
  <si>
    <t>PRO/INC/56630</t>
  </si>
  <si>
    <t>PRO/INC/56679</t>
  </si>
  <si>
    <t>Client-side activity .</t>
  </si>
  <si>
    <t>AP went down due to client-side activity.</t>
  </si>
  <si>
    <t>PRO/INC/56180</t>
  </si>
  <si>
    <t>PRO/INC/47070</t>
  </si>
  <si>
    <t>PRO/INC/56853</t>
  </si>
  <si>
    <t>JFL-GNSC-AP58</t>
  </si>
  <si>
    <t>Q3KG-D56U-BSMY</t>
  </si>
  <si>
    <t>PRO/INC/46730</t>
  </si>
  <si>
    <t>PRO/INC/47426</t>
  </si>
  <si>
    <t>Device Firmware Upgrade</t>
  </si>
  <si>
    <t>PRO/INC/57064</t>
  </si>
  <si>
    <t>PRO/INC/51593</t>
  </si>
  <si>
    <t>Customer Delays or Unresponsiveness</t>
  </si>
  <si>
    <t>new device detected on network need customer confirmation to block</t>
  </si>
  <si>
    <t>no response from customer</t>
  </si>
  <si>
    <t>PRO/INC/52395</t>
  </si>
  <si>
    <t>ap wents down due to Power issue</t>
  </si>
  <si>
    <t>PRO/INC/46989</t>
  </si>
  <si>
    <t>PRO/INC/49443</t>
  </si>
  <si>
    <t>PRO/INC/48102</t>
  </si>
  <si>
    <t>JFL-GNSC-AP21</t>
  </si>
  <si>
    <t>Q5AA-AE34-NNBC</t>
  </si>
  <si>
    <t>PRO/INC/47431</t>
  </si>
  <si>
    <t>Device Upgradation activity</t>
  </si>
  <si>
    <t>device Firmware Upgrdation</t>
  </si>
  <si>
    <t>PRO/INC/56212</t>
  </si>
  <si>
    <t>PRO/INC/52388</t>
  </si>
  <si>
    <t>PRO/INC/51689</t>
  </si>
  <si>
    <t>need customer confirmation to proceed further</t>
  </si>
  <si>
    <t>new DHCP server detected blocked those as per customer confirmation</t>
  </si>
  <si>
    <t>PRO/INC/57057</t>
  </si>
  <si>
    <t>Client Side activity</t>
  </si>
  <si>
    <t>PRO/INC/44676</t>
  </si>
  <si>
    <t>Information has been shared with the customer. We are currently awaiting their response to proceed further.</t>
  </si>
  <si>
    <t>We have blocked the new DHCP server as per customer confirmation.</t>
  </si>
  <si>
    <t>PRO/INC/49905</t>
  </si>
  <si>
    <t>JFL-GNSC-AP03</t>
  </si>
  <si>
    <t>Q5AA-MRTL-AP9K</t>
  </si>
  <si>
    <t>PRO/INC/49946</t>
  </si>
  <si>
    <t>JFL-GNSC-AP40</t>
  </si>
  <si>
    <t>Q5AA-YF4N-2L5P</t>
  </si>
  <si>
    <t>PRO/INC/56675</t>
  </si>
  <si>
    <t>Client-side activity</t>
  </si>
  <si>
    <t>AP went down due to client side activity.</t>
  </si>
  <si>
    <t>PRO/INC/49949</t>
  </si>
  <si>
    <t>ios upgradation core switch</t>
  </si>
  <si>
    <t>PRO/INC/49658</t>
  </si>
  <si>
    <t>PRO/INC/45381</t>
  </si>
  <si>
    <t>isp issue or power issue</t>
  </si>
  <si>
    <t>PRO/INC/50014</t>
  </si>
  <si>
    <t>checking on the dashboard</t>
  </si>
  <si>
    <t>PRO/INC/56827</t>
  </si>
  <si>
    <t>PRO/INC/41932</t>
  </si>
  <si>
    <t>SEC-CAB-GF-AP03-R01-SW01-06P</t>
  </si>
  <si>
    <t>Q3AC-DTQ8-WQMM</t>
  </si>
  <si>
    <t>PRO/INC/51658</t>
  </si>
  <si>
    <t>new server detected blocked as per customer confirmation</t>
  </si>
  <si>
    <t>PRO/INC/41661</t>
  </si>
  <si>
    <t>PRO/INC/47474</t>
  </si>
  <si>
    <t>Device Boot Issue</t>
  </si>
  <si>
    <t>PRO/INC/49943</t>
  </si>
  <si>
    <t>PRO/INC/47240</t>
  </si>
  <si>
    <t>PRO/INC/49957</t>
  </si>
  <si>
    <t>ios upgradation at customer end</t>
  </si>
  <si>
    <t>PRO/INC/46310</t>
  </si>
  <si>
    <t>new DHCP server detected As per customer confirmation blocked that</t>
  </si>
  <si>
    <t>PRO/INC/56034</t>
  </si>
  <si>
    <t>PRO/INC/56188</t>
  </si>
  <si>
    <t>PRO/INC/44852</t>
  </si>
  <si>
    <t>PRO/INC/56668</t>
  </si>
  <si>
    <t>Ap went down due to client side activity</t>
  </si>
  <si>
    <t>PRO/INC/57109</t>
  </si>
  <si>
    <t>PRO/INC/52760</t>
  </si>
  <si>
    <t>PRO/INC/46986</t>
  </si>
  <si>
    <t>JFL-GNSC-AP33</t>
  </si>
  <si>
    <t>Q5AA-C4TF-5ZA8</t>
  </si>
  <si>
    <t>PRO/INC/45379</t>
  </si>
  <si>
    <t>PRO/INC/57027</t>
  </si>
  <si>
    <t>PRO/INC/48103</t>
  </si>
  <si>
    <t>PRO/INC/52400</t>
  </si>
  <si>
    <t>PRO/INC/52396</t>
  </si>
  <si>
    <t>PRO/INC/56843</t>
  </si>
  <si>
    <t>PRO/INC/56618</t>
  </si>
  <si>
    <t>ap came up..</t>
  </si>
  <si>
    <t>PRO/INC/51927</t>
  </si>
  <si>
    <t>new server detected</t>
  </si>
  <si>
    <t>PRO/INC/46951</t>
  </si>
  <si>
    <t>PRO/INC/45519</t>
  </si>
  <si>
    <t>Device boot issue</t>
  </si>
  <si>
    <t>PRO/INC/46990</t>
  </si>
  <si>
    <t>JFL-GNSC-AP59</t>
  </si>
  <si>
    <t>Q3KG-BTTL-HVZU</t>
  </si>
  <si>
    <t>PRO/INC/57035</t>
  </si>
  <si>
    <t>Ap went down due to Client-side activity (migration activity) issue</t>
  </si>
  <si>
    <t>PRO/INC/48136</t>
  </si>
  <si>
    <t>PRO/INC/52768</t>
  </si>
  <si>
    <t>PRO/INC/49459</t>
  </si>
  <si>
    <t>PRO/INC/49835</t>
  </si>
  <si>
    <t>PRO/INC/49937</t>
  </si>
  <si>
    <t>JFL-GNSC-AP38</t>
  </si>
  <si>
    <t>Q5AA-SKZM-8VYM</t>
  </si>
  <si>
    <t>PRO/INC/46800</t>
  </si>
  <si>
    <t>PRO/INC/56889</t>
  </si>
  <si>
    <t>Ap online</t>
  </si>
  <si>
    <t>PRO/INC/56851</t>
  </si>
  <si>
    <t>PRO/INC/45099</t>
  </si>
  <si>
    <t>PRO/INC/47432</t>
  </si>
  <si>
    <t>Device Upgradtion activity</t>
  </si>
  <si>
    <t>PRO/INC/42631</t>
  </si>
  <si>
    <t>PRO/INC/49953</t>
  </si>
  <si>
    <t>JFL-GNSC-AP64</t>
  </si>
  <si>
    <t>Q5AA-7VMH-YF9G</t>
  </si>
  <si>
    <t>ios upgradation at core switch</t>
  </si>
  <si>
    <t>PRO/INC/52992</t>
  </si>
  <si>
    <t>PRO/INC/49660</t>
  </si>
  <si>
    <t>PRO/INC/47366</t>
  </si>
  <si>
    <t>ethernet speed degraded; need to change ethernet cable</t>
  </si>
  <si>
    <t>PRO/INC/56829</t>
  </si>
  <si>
    <t>PRO/INC/49970</t>
  </si>
  <si>
    <t>dropped mail with customer</t>
  </si>
  <si>
    <t>customer is not responding , we are closing the case ..</t>
  </si>
  <si>
    <t>PRO/INC/52770</t>
  </si>
  <si>
    <t>PRO/INC/51181</t>
  </si>
  <si>
    <t>JFL-NAG-SSC-AP06</t>
  </si>
  <si>
    <t>Q3KG-MBCN-DSBC</t>
  </si>
  <si>
    <t>PRO/INC/53814</t>
  </si>
  <si>
    <t>Observation shared with customer awaiting for customer reply.</t>
  </si>
  <si>
    <t>Observation shared with customer</t>
  </si>
  <si>
    <t>PRO/INC/50541</t>
  </si>
  <si>
    <t>GF-AP12-R02-SW01-18P</t>
  </si>
  <si>
    <t>Q3AC-PV6N-6QRC</t>
  </si>
  <si>
    <t>PRO/INC/49952</t>
  </si>
  <si>
    <t>JFL-GNSC-AP19</t>
  </si>
  <si>
    <t>Q5AA-QK4J-4K9J</t>
  </si>
  <si>
    <t>core switch upgradation</t>
  </si>
  <si>
    <t>PRO/INC/56426</t>
  </si>
  <si>
    <t>PRO/INC/52757</t>
  </si>
  <si>
    <t>PRO/INC/52392</t>
  </si>
  <si>
    <t>PRO/INC/45518</t>
  </si>
  <si>
    <t>PRO/INC/47336</t>
  </si>
  <si>
    <t>PRO/INC/49976</t>
  </si>
  <si>
    <t>JFL-GNSC-AP45</t>
  </si>
  <si>
    <t>Q5AA-SFG2-7EPQ</t>
  </si>
  <si>
    <t>ios upgradation at client ite</t>
  </si>
  <si>
    <t>PRO/INC/56857</t>
  </si>
  <si>
    <t>PRO/INC/49948</t>
  </si>
  <si>
    <t>JFL-GNSC-AP46</t>
  </si>
  <si>
    <t>Q5AA-5L7V-QSYU</t>
  </si>
  <si>
    <t>PRO/INC/48132</t>
  </si>
  <si>
    <t>PRO/INC/53200</t>
  </si>
  <si>
    <t>PRO/INC/47488</t>
  </si>
  <si>
    <t>PRO/INC/56215</t>
  </si>
  <si>
    <t>PRO/INC/56629</t>
  </si>
  <si>
    <t>PRO/INC/48472</t>
  </si>
  <si>
    <t>PRO/INC/43792</t>
  </si>
  <si>
    <t>P3</t>
  </si>
  <si>
    <t>PRO/INC/56229</t>
  </si>
  <si>
    <t>Switch Faulty - For RMA - GNSC-NCK-AC-SW-01 -  Grater Noida</t>
  </si>
  <si>
    <t>Hardware</t>
  </si>
  <si>
    <t>FCW2110B27N</t>
  </si>
  <si>
    <t>Recovery</t>
  </si>
  <si>
    <t>Coordinate with the customer for shipping details</t>
  </si>
  <si>
    <t>Device has been replaced &amp; working fine</t>
  </si>
  <si>
    <t>PRO/INC/51196</t>
  </si>
  <si>
    <t>power supply came up</t>
  </si>
  <si>
    <t>IOS upgradation activity at customer site As the device came up , closing the case .</t>
  </si>
  <si>
    <t>PRO/INC/57069</t>
  </si>
  <si>
    <t>RMA Request for Faulty Access Point at JFL Noida Site</t>
  </si>
  <si>
    <t>FGL2708LJWX</t>
  </si>
  <si>
    <t>Creating  RMA</t>
  </si>
  <si>
    <t>Ap has been replaced &amp; working fine</t>
  </si>
  <si>
    <t>PRO/INC/50985</t>
  </si>
  <si>
    <t>1 AP Down at GNSC</t>
  </si>
  <si>
    <t>PRO/INC/51194</t>
  </si>
  <si>
    <t>PRO/INC/57045</t>
  </si>
  <si>
    <t>(Possibly forged)Not able to login in GNSC core switch</t>
  </si>
  <si>
    <t>FVH2836L5EQ</t>
  </si>
  <si>
    <t>On Hold</t>
  </si>
  <si>
    <t>Switch  is not login</t>
  </si>
  <si>
    <t>PRO/INC/42152</t>
  </si>
  <si>
    <t>Camera not Working -GF-UTILITY-SW1-28-jfl bngl</t>
  </si>
  <si>
    <t>Cable issue/RJ45 connector</t>
  </si>
  <si>
    <t>PRO/INC/51191</t>
  </si>
  <si>
    <t>The node automatically rebooted after the OS upgrade.</t>
  </si>
  <si>
    <t>PRO/INC/51198</t>
  </si>
  <si>
    <t>PRO/INC/53395</t>
  </si>
  <si>
    <t>PM activity at the JLF Banglore</t>
  </si>
  <si>
    <t>PM Activity</t>
  </si>
  <si>
    <t>P4</t>
  </si>
  <si>
    <t>PRO/INC/49255</t>
  </si>
  <si>
    <t>Need to enable Port 7,8,9 and 10 on HEALTHCARE switch ------ Q2QW-EY63-C2SF</t>
  </si>
  <si>
    <t>We enabled ports 7, 8, 9, and 10 under VLAN 9 on the Healthcare switch. After the changes were made, the customer connected the devices, and they successfully joined the network and are functioning as expected.</t>
  </si>
  <si>
    <t>PRO/INC/49652</t>
  </si>
  <si>
    <t>Need to Configure the new at JFL GNSC Noida</t>
  </si>
  <si>
    <t>Schedule activity</t>
  </si>
  <si>
    <t>We have successfully configured the new switch with serial number FOC2039V1JW, and the hostname has been configured as JFL-GNMC-LT-AC-SW-01. The hostname, management IP address on VLAN 1, and SSH access have been configured successfully. Additionally, all switch ports have been kept open as per your confirmation. As the requested activity has been completed successfully, we will proceed with closing this case.</t>
  </si>
  <si>
    <t>PRO/INC/49653</t>
  </si>
  <si>
    <t>Need to Configure the new switch at JFL GNSC NOida</t>
  </si>
  <si>
    <t>Schedule Activity</t>
  </si>
  <si>
    <t>We have successfully configured the new switch with serial number JIN2117106B, and the hostname has been configured as JFL-GNMC-EG-AC-SW-01 The hostname, management IP address on VLAN 1, TACACS authentication and SSH access have been configured successfully. Additionally, all switch ports have been kept open as per your confirmation.</t>
  </si>
  <si>
    <t>PRO/INC/44366</t>
  </si>
  <si>
    <t>Need to Enable VLan 100 -  SEC-CAB-SW2-Port 47</t>
  </si>
  <si>
    <t>Enabled VLan 100 - SEC-CAB-SW2-Port 47</t>
  </si>
  <si>
    <t>PRO/INC/57071</t>
  </si>
  <si>
    <t>Port Reset | JFL, Nagpur</t>
  </si>
  <si>
    <t>FVH2903L6L7</t>
  </si>
  <si>
    <t>Switch Port Enable</t>
  </si>
  <si>
    <t>Switch port 16 has been enabled under vlan 1 now device has been connected &amp; working fine</t>
  </si>
  <si>
    <t>PRO/INC/44364</t>
  </si>
  <si>
    <t>Need to Enable VLan 100 -  SEC-CAB-SW1-Port 31</t>
  </si>
  <si>
    <t>Enabled sec rack port 31 under vlan 100</t>
  </si>
  <si>
    <t>PRO/INC/46268</t>
  </si>
  <si>
    <t>Required changes has been made as per customer confirmation and its working fine. Same has been confirmed with customer.</t>
  </si>
  <si>
    <t>PRO/INC/49873</t>
  </si>
  <si>
    <t>Remove port security below the switch  - FJC290222SV</t>
  </si>
  <si>
    <t>FJC290222SV</t>
  </si>
  <si>
    <t>changing request</t>
  </si>
  <si>
    <t>I have removed the port security configuration on switch GNMC-TP-AC-SW-01, port number 4.Now i have close the case</t>
  </si>
  <si>
    <t>PRO/INC/52797</t>
  </si>
  <si>
    <t>PM activity at the JLF Mohali</t>
  </si>
  <si>
    <t>PRO/INC/51585</t>
  </si>
  <si>
    <t>RE: Request to Whitelist MAC Address</t>
  </si>
  <si>
    <t>IP WHITLISTING</t>
  </si>
  <si>
    <t>The device with IP address 10.168.94.226 has been successfully whitelisted. Post implementation, the device has successfully connected to the internet and is now working fine</t>
  </si>
  <si>
    <t>PRO/INC/45588</t>
  </si>
  <si>
    <t>Pls align Engineer at Greater Noida SCC || Power Maintenance Activity</t>
  </si>
  <si>
    <t>Tomorrow power shut down activity</t>
  </si>
  <si>
    <t>Power shutdown activity has been completed. We are now closing the case.</t>
  </si>
  <si>
    <t>PRO/INC/56409</t>
  </si>
  <si>
    <t>Need to enable V lan 9 on SEC-CAB-SW2 port 36--Q2QW-FCH3-EMVG</t>
  </si>
  <si>
    <t>we have enabled the vlan on port 36 and device is getting connected and getting IP</t>
  </si>
  <si>
    <t>PRO/INC/41597</t>
  </si>
  <si>
    <t>Need to Enable VLan 9 - GF-ETP-SW1-Port 45</t>
  </si>
  <si>
    <t>client site  activity</t>
  </si>
  <si>
    <t>I have Enabled VLan 9 - GF-ETP-SW1-Port 45</t>
  </si>
  <si>
    <t>PRO/INC/45342</t>
  </si>
  <si>
    <t>Request to Whitelist New MAC Address for Mohali SCC Desktop</t>
  </si>
  <si>
    <t>Q5JJ-3TZH-2HV5</t>
  </si>
  <si>
    <t>Required changes has been made successfully and same has been confirmed with customer.</t>
  </si>
  <si>
    <t>PRO/INC/47969</t>
  </si>
  <si>
    <t>RE: Scheduled maintenance for 1 network(s) in organization "Jubilant Foodworks Ltd" || GNSC -- Q3KG-6BJV-TZA3</t>
  </si>
  <si>
    <t>IOS Upgradation Activity</t>
  </si>
  <si>
    <t>The scheduled activity is planned for June 19, 2026</t>
  </si>
  <si>
    <t>PRO/INC/53219</t>
  </si>
  <si>
    <t>Q2GW-KK6C-3U9A</t>
  </si>
  <si>
    <t>New configuration</t>
  </si>
  <si>
    <t>Issue resolved</t>
  </si>
  <si>
    <t>PRO/INC/49258</t>
  </si>
  <si>
    <t>Need to enable vlan 9 on GF-ETP-SW 1 port 37</t>
  </si>
  <si>
    <t>need to add Vlan 9 on port 37 of switch -- added successfully and working fine</t>
  </si>
  <si>
    <t>PRO/INC/47970</t>
  </si>
  <si>
    <t>FW: Scheduled maintenance for 1 network(s) in organization "Jubilant Foodworks Ltd" -- Q3KG-FBVZ-2RBN</t>
  </si>
  <si>
    <t>The scheduled activity is planned for June 17, 2026</t>
  </si>
  <si>
    <t>PRO/INC/49453</t>
  </si>
  <si>
    <t>Add new AP at Greater Noida SCC</t>
  </si>
  <si>
    <t>New configuration(Add  new Device in N/w)</t>
  </si>
  <si>
    <t>JFL-GNSC-AP72 was successfully claimed and connected to the Meraki Cloud, operating as expected. As the device is functioning properly, we will proceed with closing the case.</t>
  </si>
  <si>
    <t>PRO/INC/49834</t>
  </si>
  <si>
    <t>Make one trunk port for AP72.- ----  FOC2218T3Z8</t>
  </si>
  <si>
    <t>FOC2218T3Z8</t>
  </si>
  <si>
    <t>Customer ask to schedule the meeting at 3:00 pm</t>
  </si>
  <si>
    <t>Required changes has been done and AP is connected and working fine.</t>
  </si>
  <si>
    <t>Q2QW-EY63-C2SF</t>
  </si>
  <si>
    <t>Q2QW-BWVG-Y4ZU</t>
  </si>
  <si>
    <t>FOC2039V1JW</t>
  </si>
  <si>
    <t>JIN2117106B</t>
  </si>
  <si>
    <t>Q2DW-EM6A-8GPL</t>
  </si>
  <si>
    <t>Device Type</t>
  </si>
  <si>
    <t>Hostname</t>
  </si>
  <si>
    <t>Model</t>
  </si>
  <si>
    <t>Current-FW Version</t>
  </si>
  <si>
    <t xml:space="preserve">Remark </t>
  </si>
  <si>
    <t>Total Minute in  7 Apr 2026 to 6 July - 90 Days X Minute</t>
  </si>
  <si>
    <t>Proactive -Uptime%</t>
  </si>
  <si>
    <t>Proactive Uptime Mins</t>
  </si>
  <si>
    <t>JFL -Uptime Mins</t>
  </si>
  <si>
    <t>JFL -Uptime %</t>
  </si>
  <si>
    <t xml:space="preserve">Total Proactive Downtime (Mins)- Actual resolution mint </t>
  </si>
  <si>
    <t xml:space="preserve">Total JFL Downtime (Mins)HOLD Minute </t>
  </si>
  <si>
    <t>Nagpur</t>
  </si>
  <si>
    <t>Greater Noida</t>
  </si>
  <si>
    <t>Noida</t>
  </si>
  <si>
    <t>Bangalore</t>
  </si>
  <si>
    <t>SW</t>
  </si>
  <si>
    <t>MS250-24P</t>
  </si>
  <si>
    <t>switch-17-1-4</t>
  </si>
  <si>
    <t>GF-ETP</t>
  </si>
  <si>
    <t>MS250-48FP</t>
  </si>
  <si>
    <t>Guwahati</t>
  </si>
  <si>
    <t>AP</t>
  </si>
  <si>
    <t>CW9162I</t>
  </si>
  <si>
    <t>MR 32.1.7</t>
  </si>
  <si>
    <t>RACK 1</t>
  </si>
  <si>
    <t>C9300L-48P-4X</t>
  </si>
  <si>
    <t>cs-17-2-2</t>
  </si>
  <si>
    <t>MR46</t>
  </si>
  <si>
    <t>wireless-31-1-8</t>
  </si>
  <si>
    <t>2F-R5</t>
  </si>
  <si>
    <t>switch-17-2-2</t>
  </si>
  <si>
    <t>2F-R4</t>
  </si>
  <si>
    <t>Mohali</t>
  </si>
  <si>
    <t>TRANSPORT ROOM</t>
  </si>
  <si>
    <t>MS130-12X</t>
  </si>
  <si>
    <t>switch-17-2-1</t>
  </si>
  <si>
    <t>SEC-CAB</t>
  </si>
  <si>
    <t>GF-UTILITY</t>
  </si>
  <si>
    <t>MR86</t>
  </si>
  <si>
    <t>wireless-31-1-7</t>
  </si>
  <si>
    <t>C9300L-24P-4X</t>
  </si>
  <si>
    <t>IOS XE 17.15.5</t>
  </si>
  <si>
    <t>C9300X-24Y</t>
  </si>
  <si>
    <t>ios-xe-17-15-4</t>
  </si>
  <si>
    <t>CW9166I</t>
  </si>
  <si>
    <t>JFL-MOHALI-CORE-01</t>
  </si>
  <si>
    <t>cs-17-2-1</t>
  </si>
  <si>
    <t>RACK 2</t>
  </si>
  <si>
    <t>WAREHOUSE</t>
  </si>
  <si>
    <t>JFL-MOHALI-ACC-SW-02</t>
  </si>
  <si>
    <t>MS130-8P</t>
  </si>
  <si>
    <t xml:space="preserve">CK Office </t>
  </si>
  <si>
    <t>1F-R4</t>
  </si>
  <si>
    <t>1F-R3</t>
  </si>
  <si>
    <t>JFL-GNMC-GF-AC-ST-01</t>
  </si>
  <si>
    <t>WS-C2960X-24PD-L</t>
  </si>
  <si>
    <t>CISCO IOS 15.2(7)E13</t>
  </si>
  <si>
    <t>HEALTHCARE</t>
  </si>
  <si>
    <t>JFL-GNMC-LT-AC-SW</t>
  </si>
  <si>
    <t>JFL-GNMC-LT-AC-SW-01</t>
  </si>
  <si>
    <t>JFL-GNMC-EG-AC-SW</t>
  </si>
  <si>
    <t>JFL-GNMC-EG-AC-SW-01</t>
  </si>
  <si>
    <t>JFL-GNMC-EG-AC-ST-01</t>
  </si>
  <si>
    <t>C1-C2960X-24PD-L</t>
  </si>
  <si>
    <t>JFL-GNSC-TP-AC-SW-01</t>
  </si>
  <si>
    <t>C9200CX-8P-2X2G</t>
  </si>
  <si>
    <t>ios-xe 17.12.05</t>
  </si>
  <si>
    <t>RACK 3</t>
  </si>
  <si>
    <t>MS425-32</t>
  </si>
  <si>
    <t>GF-R1</t>
  </si>
  <si>
    <t>MS350-48FP</t>
  </si>
  <si>
    <t>MZ-R2</t>
  </si>
  <si>
    <t>MZ-R2-SW1</t>
  </si>
  <si>
    <t>1F-R5</t>
  </si>
  <si>
    <t>CK QC Lab </t>
  </si>
  <si>
    <t>Not running configured version</t>
  </si>
  <si>
    <t>CORE-1</t>
  </si>
  <si>
    <t>JFL-GNMC-CK-AC-SW</t>
  </si>
  <si>
    <t>JFL-GNMC-CK-AC-SW-01</t>
  </si>
  <si>
    <t>JFL-GNMC-NEW-CK</t>
  </si>
  <si>
    <t>JFL-GNSC-GF-AC-ST-01 SW-2</t>
  </si>
  <si>
    <t xml:space="preserve">NO RACK </t>
  </si>
  <si>
    <t>RCA 2</t>
  </si>
  <si>
    <t>Grand Total</t>
  </si>
  <si>
    <t>Sum of Proactive Uptime Mins</t>
  </si>
  <si>
    <t>Sum of JFL -Uptime Mins</t>
  </si>
  <si>
    <t>Values</t>
  </si>
  <si>
    <t>Average of Proactive -Uptime%</t>
  </si>
  <si>
    <t>Average of JFL -Uptime %</t>
  </si>
  <si>
    <t>Q5AE-Y9U3-MTM2</t>
  </si>
  <si>
    <t>Q5AE-XQRM-Z6P2</t>
  </si>
  <si>
    <t>Q5AE-XMUU-7VL8</t>
  </si>
  <si>
    <t>Q5AE-VNZM-SECF</t>
  </si>
  <si>
    <t>Q5AE-ULJB-M9EQ</t>
  </si>
  <si>
    <t>Q5AE-SHZC-5QSP</t>
  </si>
  <si>
    <t>Q5AE-RFTG-FLJB</t>
  </si>
  <si>
    <t>Q5AE-RCEA-RL75</t>
  </si>
  <si>
    <t>Q5AE-PYMV-RZ5Y</t>
  </si>
  <si>
    <t>Q5AE-P2XG-J4BA</t>
  </si>
  <si>
    <t>Q5AE-JY3B-Q967</t>
  </si>
  <si>
    <t>Q5AE-ECWU-JBL5</t>
  </si>
  <si>
    <t>Q5AE-DRNC-Q8JM</t>
  </si>
  <si>
    <t>Q5AE-CZ63-5N3R</t>
  </si>
  <si>
    <t>Q5AE-C2BB-FR69</t>
  </si>
  <si>
    <t>Q5AE-BPE4-NTFW</t>
  </si>
  <si>
    <t>Q5AE-B5XG-EY4R</t>
  </si>
  <si>
    <t>Q5AE-8GP6-XQ63</t>
  </si>
  <si>
    <t>Q5AE-6ZST-KJTQ</t>
  </si>
  <si>
    <t>Q5AE-66KK-GPLP</t>
  </si>
  <si>
    <t>Q5AE-5HM3-5UFQ</t>
  </si>
  <si>
    <t>Q5AE-4AJX-9QNQ</t>
  </si>
  <si>
    <t>Q5AE-3DAZ-J39D</t>
  </si>
  <si>
    <t>Q5AE-36RN-AZWJ</t>
  </si>
  <si>
    <t>Q3AE-WGKL-3C27</t>
  </si>
  <si>
    <t>Q3AE-VET4-ADEA</t>
  </si>
  <si>
    <t>Q3AE-PGHB-B4B5</t>
  </si>
  <si>
    <t>Q3AE-HD3C-2C9C</t>
  </si>
  <si>
    <t>Q3KD-MNV6-9TD4</t>
  </si>
  <si>
    <t>Q3AE-GRCN-QXFW</t>
  </si>
  <si>
    <t>Q3AE-FT83-RWMH</t>
  </si>
  <si>
    <t>Q3AC-YWED-SL3W</t>
  </si>
  <si>
    <t>Q3AC-YEDW-G7SA</t>
  </si>
  <si>
    <t>Q3AC-Y7GE-YS64</t>
  </si>
  <si>
    <t>Q3AC-XXBM-8XSL</t>
  </si>
  <si>
    <t>Q3AC-X66Q-USCT</t>
  </si>
  <si>
    <t>Q3AC-X53T-GMNE</t>
  </si>
  <si>
    <t>Q3AC-WX2V-AT4T</t>
  </si>
  <si>
    <t>Q3AC-WRR3-U9YN</t>
  </si>
  <si>
    <t>Q3AC-W7XL-SNU2</t>
  </si>
  <si>
    <t>Q3AC-V7R5-ECG9</t>
  </si>
  <si>
    <t>Q3AC-UWPC-8RNF</t>
  </si>
  <si>
    <t>Q3AC-UPYY-PNVQ</t>
  </si>
  <si>
    <t>Q3AC-UEH2-JUNY</t>
  </si>
  <si>
    <t>Q3AC-TXSV-U4XB</t>
  </si>
  <si>
    <t>Q3AC-TVTD-S24W</t>
  </si>
  <si>
    <t>Q3AC-TQXL-MJ4E</t>
  </si>
  <si>
    <t>Q3AC-SFX9-92AT</t>
  </si>
  <si>
    <t>Q3AC-RTN3-EPKX</t>
  </si>
  <si>
    <t>Q3AC-RPEZ-GQKD</t>
  </si>
  <si>
    <t>Q3AC-QVDT-2CJX</t>
  </si>
  <si>
    <t>Q3AC-QRFZ-VLYY</t>
  </si>
  <si>
    <t>Q3AC-QPM8-AFTU</t>
  </si>
  <si>
    <t>Q3AC-QG3A-P7EA</t>
  </si>
  <si>
    <t>Q3AC-PZ4U-KKTC</t>
  </si>
  <si>
    <t>Q3AC-P4G8-N73U</t>
  </si>
  <si>
    <t>Q3AC-NQ8Z-VVTC</t>
  </si>
  <si>
    <t>Q3AC-N7C4-HEF5</t>
  </si>
  <si>
    <t>Q3AC-MTLV-H3EL</t>
  </si>
  <si>
    <t>Q3AC-MNA8-TMWD</t>
  </si>
  <si>
    <t>Q3AC-LJA3-YXHT</t>
  </si>
  <si>
    <t>Q3AC-KMBJ-UJFL</t>
  </si>
  <si>
    <t>Q3AC-K86Y-LU3D</t>
  </si>
  <si>
    <t>Q3AC-JCE4-MCMS</t>
  </si>
  <si>
    <t>Q3AC-J9AF-Y736</t>
  </si>
  <si>
    <t>Q3AC-J4UC-SDJU</t>
  </si>
  <si>
    <t>Q3AC-H9SR-3N44</t>
  </si>
  <si>
    <t>Q3AC-GK7K-PDN4</t>
  </si>
  <si>
    <t>Q3AC-FZXU-BF4E</t>
  </si>
  <si>
    <t>Q3AC-FAX6-YRJK</t>
  </si>
  <si>
    <t>Q3AC-ESTY-YK6L</t>
  </si>
  <si>
    <t>Q3AC-E984-BXYN</t>
  </si>
  <si>
    <t>Q3AC-E3JS-XN9C</t>
  </si>
  <si>
    <t>Q3AC-DFLX-KHLR</t>
  </si>
  <si>
    <t>Q3AC-CBFG-FY3U</t>
  </si>
  <si>
    <t>Q3AC-C3XA-8AX4</t>
  </si>
  <si>
    <t>Q3AC-B69P-5U94</t>
  </si>
  <si>
    <t>Q3AC-B3CZ-8UKC</t>
  </si>
  <si>
    <t>Q3AC-AUFV-SSNE</t>
  </si>
  <si>
    <t>Q3AC-AL42-99XK</t>
  </si>
  <si>
    <t>Q3AC-8RRH-Z8MA</t>
  </si>
  <si>
    <t>Q3AC-8RQX-XQUG</t>
  </si>
  <si>
    <t>Q3AC-8NA9-73L4</t>
  </si>
  <si>
    <t>Q3AC-8LZG-ZGWE</t>
  </si>
  <si>
    <t>Q3AC-7E9E-E8QQ</t>
  </si>
  <si>
    <t>Q3AC-75JU-8592</t>
  </si>
  <si>
    <t>Q3AC-6HKW-LC8E</t>
  </si>
  <si>
    <t>Q3AC-5ZQ2-UJWD</t>
  </si>
  <si>
    <t>Q3AC-5WMD-2PG2</t>
  </si>
  <si>
    <t>Q3AC-5CB9-8CUH</t>
  </si>
  <si>
    <t>Q3AC-3HWV-ECVT</t>
  </si>
  <si>
    <t>Q3AC-3HFB-L9N6</t>
  </si>
  <si>
    <t>Q3AC-3CVE-NZNV</t>
  </si>
  <si>
    <t>Q3AC-2W7H-MNPQ</t>
  </si>
  <si>
    <t>Q3AC-2Q7D-JCGF</t>
  </si>
  <si>
    <t>Q3AC-2DHR-W43S</t>
  </si>
  <si>
    <t>Q3AC-23KQ-U6HE</t>
  </si>
  <si>
    <t>Q2ZP-D47G-NGKY</t>
  </si>
  <si>
    <t>Q2ZP-D2D2-VFQK</t>
  </si>
  <si>
    <t>Q2ZP-AYJY-GU4V</t>
  </si>
  <si>
    <t>Q2ZP-AVUV-W7QU</t>
  </si>
  <si>
    <t>Q2ZP-AP5E-Z83L</t>
  </si>
  <si>
    <t>Q2ZP-A3JU-5GR5</t>
  </si>
  <si>
    <t>Q2QW-H6CN-W8LR</t>
  </si>
  <si>
    <t>Q2QW-GVT2-QANK</t>
  </si>
  <si>
    <t>Q2QW-GUDX-25NY</t>
  </si>
  <si>
    <t>Q2QW-GPCV-Z8W9</t>
  </si>
  <si>
    <t>Q2QW-FGVW-W6XW</t>
  </si>
  <si>
    <t>Q2QW-FB9E-UCQL</t>
  </si>
  <si>
    <t>Q2QW-EY8T-HNGL</t>
  </si>
  <si>
    <t>Q2QW-EXJY-SE64</t>
  </si>
  <si>
    <t>Q2QW-CAKR-LDFB</t>
  </si>
  <si>
    <t>Q2QW-D8UN-JHM7</t>
  </si>
  <si>
    <t>Q2QW-CTG2-RX56</t>
  </si>
  <si>
    <t>Q2QW-CTDD-3Z86</t>
  </si>
  <si>
    <t>Q2QW-CQR4-DPMQ</t>
  </si>
  <si>
    <t>Q2QW-CQPR-WJYV</t>
  </si>
  <si>
    <t>Q2QW-CLQ3-BXHC</t>
  </si>
  <si>
    <t>Q2QW-CLPB-MZPN</t>
  </si>
  <si>
    <t>Q2QW-983F-LNQL</t>
  </si>
  <si>
    <t>Q2QW-BZ2C-GWN7</t>
  </si>
  <si>
    <t>Q2QW-BYNP-CGVJ</t>
  </si>
  <si>
    <t>Q2QW-BWWB-HTLP</t>
  </si>
  <si>
    <t>Q2QW-ATN2-HDQK</t>
  </si>
  <si>
    <t>Q2MW-DSWB-43BC</t>
  </si>
  <si>
    <t>Q2MW-CRVX-WJD3</t>
  </si>
  <si>
    <t>Q2MW-CC67-WVEU</t>
  </si>
  <si>
    <t>Q2EW-78HY-BNUV</t>
  </si>
  <si>
    <t>Q2EW-68N6-HTZ7</t>
  </si>
  <si>
    <t>Q2EW-5R5B-HEY9</t>
  </si>
  <si>
    <t>Q2EW-3S9C-VJRW</t>
  </si>
  <si>
    <t>FOC2714Z4NF</t>
  </si>
  <si>
    <t>FOC2714Z5B8</t>
  </si>
  <si>
    <t>FOC2716YHHL</t>
  </si>
  <si>
    <t>FOC2716YNCF</t>
  </si>
  <si>
    <t>FOC2716YLM7</t>
  </si>
  <si>
    <t>FOC2716YLLY</t>
  </si>
  <si>
    <t>FOC2716YN3W</t>
  </si>
  <si>
    <t>FOC2716YNBE</t>
  </si>
  <si>
    <t>FOC2716YNFC</t>
  </si>
  <si>
    <t>FOC2716YN69</t>
  </si>
  <si>
    <t>FOC2716YN4M</t>
  </si>
  <si>
    <t>FOC2716YNBW</t>
  </si>
  <si>
    <t>FOC2716YNBN</t>
  </si>
  <si>
    <t>FOC2716YND7</t>
  </si>
  <si>
    <t>FOC2715Y1VV</t>
  </si>
  <si>
    <t>FOC2714Z5AU</t>
  </si>
  <si>
    <t>FOC2715Y1W3</t>
  </si>
  <si>
    <t>FOC2714Z681</t>
  </si>
  <si>
    <t>FOC2715Y1CJ</t>
  </si>
  <si>
    <t>FOC2714Z69M</t>
  </si>
  <si>
    <t>FOC2715Y1J7</t>
  </si>
  <si>
    <t>FOC2715Y1KM</t>
  </si>
  <si>
    <t>FOC2714Z4JS</t>
  </si>
  <si>
    <t>FOC2714Z50L</t>
  </si>
  <si>
    <t>FGL2708LJUR</t>
  </si>
  <si>
    <t>FJC283311U3</t>
  </si>
  <si>
    <t>FGL2708LJUQ</t>
  </si>
  <si>
    <t>FGL2708LJV5</t>
  </si>
  <si>
    <t>FGL2708LJTX</t>
  </si>
  <si>
    <t>FGL2708LJTY</t>
  </si>
  <si>
    <t>FGL2708LJWM</t>
  </si>
  <si>
    <t>FGL2708LJU5</t>
  </si>
  <si>
    <t>FGL2708LJUA</t>
  </si>
  <si>
    <t>FGL2708LJVX</t>
  </si>
  <si>
    <t>FJC2649217U</t>
  </si>
  <si>
    <t>FGL2717ME1K</t>
  </si>
  <si>
    <t>FGL2708LJX1</t>
  </si>
  <si>
    <t>FGL2708LJU6</t>
  </si>
  <si>
    <t>FGL2708LJU0</t>
  </si>
  <si>
    <t>FGL2708LJWV</t>
  </si>
  <si>
    <t>FGL2708LJVK</t>
  </si>
  <si>
    <t>FGL2708LJUL</t>
  </si>
  <si>
    <t>FGL2708LJUM</t>
  </si>
  <si>
    <t>FGL2708LJY4</t>
  </si>
  <si>
    <t>FGL2708LJV0</t>
  </si>
  <si>
    <t>FGL2717MEB1</t>
  </si>
  <si>
    <t>FJC283311U5</t>
  </si>
  <si>
    <t>FGL2708LJY0</t>
  </si>
  <si>
    <t>FGL2708LJY5</t>
  </si>
  <si>
    <t>FGL2708LJXE</t>
  </si>
  <si>
    <t>FGL2708LJXW</t>
  </si>
  <si>
    <t>FGL2708LJXG</t>
  </si>
  <si>
    <t>FGL2708LJY2</t>
  </si>
  <si>
    <t>FGL2708LJV6</t>
  </si>
  <si>
    <t>FGL2708LJXT</t>
  </si>
  <si>
    <t>FGL2708LJVN</t>
  </si>
  <si>
    <t>FGL2708LJYF</t>
  </si>
  <si>
    <t>FGL2708LJXN</t>
  </si>
  <si>
    <t>FGL2708LJVS</t>
  </si>
  <si>
    <t>FGL2708LJUC</t>
  </si>
  <si>
    <t>FGL2708LJVZ</t>
  </si>
  <si>
    <t>FGL2708LJUZ</t>
  </si>
  <si>
    <t>FGL2708LJW4</t>
  </si>
  <si>
    <t>WLC</t>
  </si>
  <si>
    <t>FCL2645003S</t>
  </si>
  <si>
    <t>Cisco ISE</t>
  </si>
  <si>
    <t>WZP23460YYF</t>
  </si>
  <si>
    <t>WMP27030033</t>
  </si>
  <si>
    <t>Router</t>
  </si>
  <si>
    <t>FDO2649M0JT</t>
  </si>
  <si>
    <t>FDO2649M0JU</t>
  </si>
  <si>
    <t>FOC2710Y261</t>
  </si>
  <si>
    <t>FOC2710Y54N</t>
  </si>
  <si>
    <t>FOC2710Y54F</t>
  </si>
  <si>
    <t>FOC2710Y540</t>
  </si>
  <si>
    <t>FOC2708YFGS</t>
  </si>
  <si>
    <t>FOC2704Y3AY</t>
  </si>
  <si>
    <t>FOC2704Y1N8</t>
  </si>
  <si>
    <t>FCL264500LZ</t>
  </si>
  <si>
    <t>FOC2646YCRH</t>
  </si>
  <si>
    <t>FOC2647Y151</t>
  </si>
  <si>
    <t>FOC2635Y89T</t>
  </si>
  <si>
    <t>FOC2635Y89M</t>
  </si>
  <si>
    <t>FCW2010A2G1</t>
  </si>
  <si>
    <t>FOC2646YCXZ</t>
  </si>
  <si>
    <t>FCW2116A4SD</t>
  </si>
  <si>
    <t>FCW2646YCXZ</t>
  </si>
  <si>
    <t>FOC2441L0ET</t>
  </si>
  <si>
    <t>FCW2303A6BS</t>
  </si>
  <si>
    <t>FCW2218B4Z2</t>
  </si>
  <si>
    <t>FOC2017S0QN</t>
  </si>
  <si>
    <t>FCW2113E10E</t>
  </si>
  <si>
    <t>FCW2110B27U</t>
  </si>
  <si>
    <t>FCW2112A20E</t>
  </si>
  <si>
    <t>FCW2038B1H6</t>
  </si>
  <si>
    <t>FOC2113V20D</t>
  </si>
  <si>
    <t>FCW2111E0AU</t>
  </si>
  <si>
    <t>FOC2646YCX2</t>
  </si>
  <si>
    <t>FOC2536Y0JD</t>
  </si>
  <si>
    <t>FCW2126A4XT</t>
  </si>
  <si>
    <t>FOC2113S2M3</t>
  </si>
  <si>
    <t>FCW2110B27A</t>
  </si>
  <si>
    <t>FOC2113S2MD</t>
  </si>
  <si>
    <t>FOC2113S2LY</t>
  </si>
  <si>
    <t>FOC2113V20F</t>
  </si>
  <si>
    <t>FCW2110B27F</t>
  </si>
  <si>
    <t>FCW2110B28C</t>
  </si>
  <si>
    <t>FJC29021TNP</t>
  </si>
  <si>
    <t>FJC29021TPQ</t>
  </si>
  <si>
    <t>FJC29021TTW</t>
  </si>
  <si>
    <t>FJC290222AL</t>
  </si>
  <si>
    <t>FJC29021TWN</t>
  </si>
  <si>
    <t>Q5AR-U92E-8268</t>
  </si>
  <si>
    <t>Q5AR-DAMQ-NUE2</t>
  </si>
  <si>
    <t>Q5AR-DA7D-L9PN</t>
  </si>
  <si>
    <t>Q5AR-8UTU-MX6B</t>
  </si>
  <si>
    <t>Q5AR-894G-VGNX</t>
  </si>
  <si>
    <t>Q5AR-6ZPA-KEDB</t>
  </si>
  <si>
    <t>Q5AR-4HHE-SHRQ</t>
  </si>
  <si>
    <t>Q5AR-29J7-8Q63</t>
  </si>
  <si>
    <t>Q5AA-ZJ3S-NUDX</t>
  </si>
  <si>
    <t>Q5AA-WZA9-XYK8</t>
  </si>
  <si>
    <t>Q5AA-VEJP-CVJ6</t>
  </si>
  <si>
    <t>Q5AA-SK8J-GRTZ</t>
  </si>
  <si>
    <t>Q5AA-HBAV-ACSS</t>
  </si>
  <si>
    <t>Q5AA-EYB5-JQCK</t>
  </si>
  <si>
    <t>Q5AA-5HRM-897H</t>
  </si>
  <si>
    <t>Q5AA-32YH-Q43U</t>
  </si>
  <si>
    <t>Q3KG-V5M8-92SS</t>
  </si>
  <si>
    <t>Q3KG-A7BY-55YX</t>
  </si>
  <si>
    <t>FCW2302DHTU</t>
  </si>
  <si>
    <t>Mumbai</t>
  </si>
  <si>
    <t>FOC2302U0WY</t>
  </si>
  <si>
    <t>FCW2302DHGQ</t>
  </si>
  <si>
    <t>FCW2302AHDZ</t>
  </si>
  <si>
    <t>FCW2302D0Z7</t>
  </si>
  <si>
    <t>FCW2302D0ZJ</t>
  </si>
  <si>
    <t>FCW2302G0TL</t>
  </si>
  <si>
    <t>FCW2302L13B</t>
  </si>
  <si>
    <t>Q5AR-9UF6-M73Y</t>
  </si>
  <si>
    <t>Q5AA-XH9E-KZRJ</t>
  </si>
  <si>
    <t>Q5JJ-Q88T-6XC7</t>
  </si>
  <si>
    <t>Hyderabad</t>
  </si>
  <si>
    <t>Q5JJ-GEWQ-X3MG</t>
  </si>
  <si>
    <t>Q5AR-PZ39-USUZ</t>
  </si>
  <si>
    <t>Q5AR-LXCJ-F26L</t>
  </si>
  <si>
    <t>Q5AA-YR33-H6HL</t>
  </si>
  <si>
    <t>Q5AA-TRMY-596Z</t>
  </si>
  <si>
    <t>Q5AA-R4B3-WH9P</t>
  </si>
  <si>
    <t>Q5AA-QLUG-NSPB</t>
  </si>
  <si>
    <t>Q5AA-Q8AL-KHWV</t>
  </si>
  <si>
    <t>Q5AA-GAFW-R58M</t>
  </si>
  <si>
    <t>Q5AA-6EJ5-AG7V</t>
  </si>
  <si>
    <t>Q5AA-46QV-Z3ZC</t>
  </si>
  <si>
    <t>Q5AA-23YU-R3GZ</t>
  </si>
  <si>
    <t>Q3KG-UKZ7-TA5X</t>
  </si>
  <si>
    <t>Q3KG-U9M3-9GEC</t>
  </si>
  <si>
    <t>Q3KG-TLUW-VDX7</t>
  </si>
  <si>
    <t>Q5AA-GBHE-WVEQ</t>
  </si>
  <si>
    <t>Q3KG-LYY3-LR6R</t>
  </si>
  <si>
    <t>Q5AR-T7UY-LJRT</t>
  </si>
  <si>
    <t>Serial No.</t>
  </si>
  <si>
    <t>Location</t>
  </si>
  <si>
    <t>S.N</t>
  </si>
  <si>
    <t>Row Labels</t>
  </si>
  <si>
    <t>Average of Average of Proactive -Uptime%</t>
  </si>
  <si>
    <t>Average of Average of JFL -Uptime %</t>
  </si>
  <si>
    <t>(blank)</t>
  </si>
  <si>
    <t>Column Labels</t>
  </si>
  <si>
    <t>Count of Device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</si>
</sst>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x14ac:knownFonts="1">
    <font>
      <sz val="11"/>
      <color theme="1"/>
      <name val="Aptos Narrow"/>
      <family val="2"/>
      <scheme val="minor"/>
    </font>
    <font>
      <b/>
      <sz val="10"/>
      <color rgb="FFFF0000"/>
      <name val="Calibri"/>
      <family val="2"/>
    </font>
    <font>
      <sz val="10"/>
      <color theme="1"/>
      <name val="Calibri"/>
      <family val="2"/>
    </font>
    <font>
      <b/>
      <sz val="10"/>
      <color theme="1"/>
      <name val="Calibri"/>
      <family val="2"/>
    </font>
    <font>
      <b/>
      <sz val="10"/>
      <color theme="0"/>
      <name val="Calibri"/>
      <family val="2"/>
    </font>
    <font>
      <b/>
      <sz val="11"/>
      <color theme="1"/>
      <name val="Aptos Narrow"/>
      <family val="2"/>
      <scheme val="minor"/>
    </font>
    <font>
      <sz val="10"/>
      <color rgb="FF000000"/>
      <name val="Calibri"/>
      <family val="2"/>
    </font>
    <font>
      <sz val="10"/>
      <color rgb="FFFF0000"/>
      <name val="Calibri"/>
      <family val="2"/>
    </font>
  </fonts>
  <fills count="8">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rgb="FF00B05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3" fontId="2" fillId="0" borderId="0" xfId="0" applyNumberFormat="1" applyFont="1" applyAlignment="1">
      <alignment horizontal="center" vertical="center"/>
    </xf>
    <xf numFmtId="2" fontId="2" fillId="0" borderId="0" xfId="0" applyNumberFormat="1" applyFont="1" applyAlignment="1">
      <alignment horizontal="center" vertical="center"/>
    </xf>
    <xf numFmtId="0" fontId="2" fillId="0" borderId="1" xfId="0" applyFont="1" applyBorder="1" applyAlignment="1">
      <alignment vertical="center"/>
    </xf>
    <xf numFmtId="0" fontId="0" fillId="0" borderId="0" xfId="0" applyAlignment="1">
      <alignment horizontal="center"/>
    </xf>
    <xf numFmtId="0" fontId="1" fillId="3" borderId="1" xfId="0" applyFont="1" applyFill="1" applyBorder="1" applyAlignment="1">
      <alignment horizontal="center" vertical="center" wrapText="1"/>
    </xf>
    <xf numFmtId="2" fontId="1" fillId="3" borderId="1" xfId="0" applyNumberFormat="1" applyFont="1" applyFill="1" applyBorder="1" applyAlignment="1">
      <alignment horizontal="center" vertical="center" wrapText="1"/>
    </xf>
    <xf numFmtId="0" fontId="0" fillId="0" borderId="0" xfId="0" applyAlignment="1">
      <alignment wrapText="1"/>
    </xf>
    <xf numFmtId="2" fontId="3" fillId="2" borderId="1" xfId="0" applyNumberFormat="1" applyFont="1" applyFill="1" applyBorder="1" applyAlignment="1">
      <alignment horizontal="center" vertical="center" wrapText="1"/>
    </xf>
    <xf numFmtId="3" fontId="0" fillId="0" borderId="0" xfId="0" applyNumberFormat="1" applyAlignment="1">
      <alignment horizontal="center"/>
    </xf>
    <xf numFmtId="0" fontId="2" fillId="0" borderId="0" xfId="0" applyFont="1" applyAlignment="1">
      <alignment wrapText="1"/>
    </xf>
    <xf numFmtId="0" fontId="3" fillId="2" borderId="1" xfId="0" applyFont="1" applyFill="1" applyBorder="1" applyAlignment="1">
      <alignment vertical="center" wrapText="1"/>
    </xf>
    <xf numFmtId="0" fontId="4" fillId="5" borderId="0" xfId="0" applyFont="1" applyFill="1" applyAlignment="1">
      <alignment horizontal="center" vertical="center" wrapText="1"/>
    </xf>
    <xf numFmtId="0" fontId="4" fillId="4" borderId="0" xfId="0" applyFont="1" applyFill="1" applyAlignment="1">
      <alignment horizontal="center" wrapText="1"/>
    </xf>
    <xf numFmtId="0" fontId="2" fillId="0" borderId="0" xfId="0" applyFont="1"/>
    <xf numFmtId="0" fontId="2" fillId="0" borderId="0" xfId="0" applyFont="1" applyAlignment="1">
      <alignment horizontal="center"/>
    </xf>
    <xf numFmtId="3" fontId="2" fillId="0" borderId="0" xfId="0" applyNumberFormat="1" applyFont="1" applyAlignment="1">
      <alignment horizontal="center"/>
    </xf>
    <xf numFmtId="0" fontId="2" fillId="0" borderId="0" xfId="0" applyFont="1" applyAlignment="1">
      <alignment horizontal="center" wrapText="1"/>
    </xf>
    <xf numFmtId="0" fontId="0" fillId="0" borderId="0" xfId="0" pivotButton="1"/>
    <xf numFmtId="0" fontId="0" fillId="0" borderId="0" xfId="0" pivotButton="1" applyAlignment="1">
      <alignment horizontal="center"/>
    </xf>
    <xf numFmtId="2" fontId="0" fillId="0" borderId="0" xfId="0" applyNumberFormat="1" applyAlignment="1">
      <alignment horizontal="center"/>
    </xf>
    <xf numFmtId="164" fontId="0" fillId="0" borderId="0" xfId="0" applyNumberFormat="1"/>
    <xf numFmtId="22" fontId="2" fillId="0" borderId="0" xfId="0" applyNumberFormat="1" applyFont="1" applyAlignment="1">
      <alignment horizontal="center"/>
    </xf>
    <xf numFmtId="2" fontId="2" fillId="0" borderId="0" xfId="0" applyNumberFormat="1" applyFont="1" applyAlignment="1">
      <alignment horizontal="center"/>
    </xf>
    <xf numFmtId="1" fontId="2" fillId="0" borderId="1" xfId="0" applyNumberFormat="1" applyFont="1" applyBorder="1" applyAlignment="1">
      <alignment horizontal="center" vertical="center"/>
    </xf>
    <xf numFmtId="0" fontId="2" fillId="0" borderId="1" xfId="0" applyFont="1" applyBorder="1" applyAlignment="1">
      <alignment horizontal="center" vertical="center"/>
    </xf>
    <xf numFmtId="2" fontId="2"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6" fillId="0" borderId="1" xfId="0" applyFont="1" applyBorder="1" applyAlignment="1">
      <alignment horizontal="center" vertical="center"/>
    </xf>
    <xf numFmtId="2" fontId="5" fillId="6" borderId="1" xfId="0" applyNumberFormat="1" applyFont="1" applyFill="1" applyBorder="1" applyAlignment="1">
      <alignment horizontal="center" vertical="center"/>
    </xf>
    <xf numFmtId="0" fontId="3" fillId="7" borderId="1" xfId="0" applyFont="1" applyFill="1" applyBorder="1" applyAlignment="1">
      <alignment horizontal="center" vertical="center"/>
    </xf>
    <xf numFmtId="0" fontId="0" fillId="0" borderId="0" xfId="0" applyAlignment="1">
      <alignment horizontal="left"/>
    </xf>
    <xf numFmtId="0" fontId="0" fillId="0" borderId="0" xfId="0" applyNumberFormat="1" applyAlignment="1">
      <alignment horizontal="center"/>
    </xf>
    <xf numFmtId="0" fontId="0" fillId="0" borderId="0" xfId="0" pivotButton="1" applyAlignment="1">
      <alignment horizontal="left"/>
    </xf>
    <xf numFmtId="0" fontId="0" fillId="0" borderId="0" xfId="0" pivotButton="1" applyAlignment="1"/>
    <xf numFmtId="0" fontId="0" fillId="0" borderId="0" xfId="0" applyAlignment="1"/>
  </cellXfs>
  <cellStyles count="1">
    <cellStyle name="Normal" xfId="0" builtinId="0"/>
  </cellStyles>
  <dxfs count="538">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general"/>
    </dxf>
    <dxf>
      <alignment horizontal="left"/>
    </dxf>
    <dxf>
      <alignment horizontal="left"/>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general"/>
    </dxf>
    <dxf>
      <alignment horizontal="left"/>
    </dxf>
    <dxf>
      <alignment horizontal="left"/>
    </dxf>
    <dxf>
      <alignment horizontal="left"/>
    </dxf>
    <dxf>
      <alignment horizontal="left"/>
    </dxf>
    <dxf>
      <alignment horizontal="left"/>
    </dxf>
    <dxf>
      <alignment horizontal="left"/>
    </dxf>
    <dxf>
      <alignment horizontal="left"/>
    </dxf>
    <dxf>
      <alignment horizontal="general"/>
    </dxf>
    <dxf>
      <alignment horizontal="left"/>
    </dxf>
    <dxf>
      <alignment horizontal="general"/>
    </dxf>
    <dxf>
      <alignment horizontal="left"/>
    </dxf>
    <dxf>
      <alignment horizontal="general"/>
    </dxf>
    <dxf>
      <alignment horizontal="left"/>
    </dxf>
    <dxf>
      <alignment horizontal="general"/>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general"/>
    </dxf>
    <dxf>
      <alignment horizontal="general"/>
    </dxf>
    <dxf>
      <alignment horizontal="general"/>
    </dxf>
    <dxf>
      <alignment horizontal="general"/>
    </dxf>
    <dxf>
      <alignment horizontal="genera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genera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general"/>
    </dxf>
    <dxf>
      <alignment horizontal="general"/>
    </dxf>
    <dxf>
      <alignment horizontal="general"/>
    </dxf>
    <dxf>
      <alignment horizontal="general"/>
    </dxf>
    <dxf>
      <alignment horizontal="genera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general"/>
    </dxf>
    <dxf>
      <alignment horizontal="general"/>
    </dxf>
    <dxf>
      <alignment horizontal="general"/>
    </dxf>
    <dxf>
      <alignment horizontal="general"/>
    </dxf>
    <dxf>
      <alignment horizontal="genera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general"/>
    </dxf>
    <dxf>
      <alignment horizontal="general"/>
    </dxf>
    <dxf>
      <alignment horizontal="general"/>
    </dxf>
    <dxf>
      <alignment horizontal="general"/>
    </dxf>
    <dxf>
      <alignment horizontal="genera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general"/>
    </dxf>
    <dxf>
      <alignment horizontal="general"/>
    </dxf>
    <dxf>
      <alignment horizontal="general"/>
    </dxf>
    <dxf>
      <alignment horizontal="general"/>
    </dxf>
    <dxf>
      <alignment horizontal="general"/>
    </dxf>
    <dxf>
      <alignment horizontal="general"/>
    </dxf>
    <dxf>
      <alignment horizontal="left"/>
    </dxf>
    <dxf>
      <alignment horizontal="general"/>
    </dxf>
    <dxf>
      <alignment horizontal="left"/>
    </dxf>
    <dxf>
      <alignment horizontal="general"/>
    </dxf>
    <dxf>
      <alignment horizontal="left"/>
    </dxf>
    <dxf>
      <alignment horizontal="general"/>
    </dxf>
    <dxf>
      <alignment horizontal="left"/>
    </dxf>
    <dxf>
      <alignment horizontal="genera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hata Sharma" refreshedDate="46223.564132175925" createdVersion="8" refreshedVersion="8" minRefreshableVersion="3" recordCount="363" xr:uid="{B439921A-D9FE-4E11-8DB1-06BD77D775A2}">
  <cacheSource type="worksheet">
    <worksheetSource ref="A1:AN364" sheet="Raw"/>
  </cacheSource>
  <cacheFields count="40">
    <cacheField name="Account Name" numFmtId="0">
      <sharedItems/>
    </cacheField>
    <cacheField name="Channel" numFmtId="0">
      <sharedItems/>
    </cacheField>
    <cacheField name="Ticket Owner" numFmtId="0">
      <sharedItems/>
    </cacheField>
    <cacheField name="Ticket Number" numFmtId="0">
      <sharedItems/>
    </cacheField>
    <cacheField name="Subject" numFmtId="0">
      <sharedItems/>
    </cacheField>
    <cacheField name="Category" numFmtId="0">
      <sharedItems/>
    </cacheField>
    <cacheField name="Sub Category" numFmtId="0">
      <sharedItems/>
    </cacheField>
    <cacheField name="Device Name" numFmtId="0">
      <sharedItems/>
    </cacheField>
    <cacheField name="Serial/Subscription" numFmtId="0">
      <sharedItems containsBlank="1"/>
    </cacheField>
    <cacheField name="Device Serial" numFmtId="0">
      <sharedItems count="151">
        <s v="Q2MW-DT66-3HKL"/>
        <s v="Q2QW-CAJU-QVKD"/>
        <s v="Q5AA-RM28-C2R8"/>
        <s v="Q5JJ-68KZ-MXAS"/>
        <s v="Q3AC-9EFV-95CH"/>
        <s v="Q3AC-C4P4-JNC9"/>
        <s v="Q3AC-PGZ6-YM5F"/>
        <s v="Q2QW-CTCG-QKDE"/>
        <s v="Q2QW-CTMF-ZXMF"/>
        <s v="Q3AC-JN66-PSGV"/>
        <s v="Q2QW-ARKH-HCRT"/>
        <s v="Q3LP-2PSJ-6DLB"/>
        <s v="Q3AC-YHHC-Q634"/>
        <s v="Q3AC-DTQ8-WQMM"/>
        <s v="Q2QW-FCJL-LJS8"/>
        <s v="Q2QW-FCH3-EMVG"/>
        <s v="Q2QW-BAYV-J6K5"/>
        <s v="Q2QW-EXXK-QDZ3"/>
        <s v="Q3KG-CFHX-4TRU"/>
        <s v="Q5AA-J9A9-ZJ2B"/>
        <s v="Q3KG-ZJZJ-WWH5"/>
        <s v="Q5JG-ECTW-5MN7"/>
        <s v="Q5TN-DGC5-M8QZ"/>
        <s v="Q5AE-KNH9-5GV8"/>
        <s v="Q3KG-JH9T-FL7Z"/>
        <s v="Q3AC-Y2HS-V29M"/>
        <s v="Q3AC-RQJS-FY3M"/>
        <s v="Q3AC-DZAX-3FNP"/>
        <s v="Q3AC-E8LA-PVD4"/>
        <s v="Q5TN-NF5F-N32X"/>
        <s v="Q5AR-A7VQ-MZJM"/>
        <s v="Q5JJ-3TZH-2HV5"/>
        <s v="Q3KG-Y2PU-4DWW"/>
        <s v="Q3KG-GWW5-CHJC"/>
        <s v="Q3KG-XSEX-EG6A"/>
        <s v="Q3KG-8U94-FMUC"/>
        <s v="FVH2836L5EQ"/>
        <s v="Q5JG-AQNW-P9FB"/>
        <s v="Q5JG-TM9S-PLFP"/>
        <s v="Q5JG-NJW9-ABBQ"/>
        <s v="Q5AA-MHPW-2YA8"/>
        <s v="Q3KG-9RDD-U5HG"/>
        <s v="Q3LM-TGAF-Q97P"/>
        <s v="Q5AA-E8FN-53RX"/>
        <s v="Q5AA-8PQC-7V98"/>
        <s v="Q5AA-JYZN-6KKB"/>
        <s v="Q3KG-J4EF-KZ54"/>
        <s v="Q5AA-FRBE-94N5"/>
        <s v="Q5AA-C4TF-5ZA8"/>
        <s v="Q5AA-4792-7HZC"/>
        <s v="Q5AA-U98X-3FD7"/>
        <s v="Q3KG-BTTL-HVZU"/>
        <s v="Q3AC-ZNCZ-HDNM"/>
        <s v="Q3AC-86YA-CET5"/>
        <s v="Q2QW-CTFM-KEQZ"/>
        <s v="Q2QW-CTFE-E2WF"/>
        <s v="Q2QW-CAKK-KNXD"/>
        <s v="Q2QW-CTFW-5KJ6"/>
        <s v="Q5AA-5TRP-EJMF"/>
        <s v="Q5AR-6LBA-42SM"/>
        <s v="Q5AA-Z3WW-CY6C"/>
        <s v="Q5AA-TSZZ-HUFQ"/>
        <s v="Q3AC-NC4G-DUA2"/>
        <s v="Q3AC-59QF-LNTG"/>
        <s v="Q3AC-W6MK-P7AJ"/>
        <s v="Q2QW-DC3Q-MPWQ"/>
        <s v="Q2QW-CNV8-9Q8Y"/>
        <s v="Q5AA-NVD9-AZTY"/>
        <s v="Q3KG-6BJV-TZA3"/>
        <s v="Q3KG-FBVZ-2RBN"/>
        <s v="Q5AA-AE34-NNBC"/>
        <s v="Q5AA-XGDL-V7JB"/>
        <s v="FCW2110B25A"/>
        <s v="Q3KG-A9R2-ATYY"/>
        <s v="Q5AA-V3D8-DKEG"/>
        <s v="Q5AA-S8HG-F6YT"/>
        <s v="Q2QW-EY63-C2SF"/>
        <s v="Q5AA-LCK3-FDNW"/>
        <s v="Q5AA-GHXM-TRTK"/>
        <s v="Q5AA-9N3T-MZGU"/>
        <s v="Q5AA-FTAU-94AS"/>
        <s v="FOC2039V1JW"/>
        <s v="JIN2117106B"/>
        <s v="Q5AA-JKR4-S9MX"/>
        <s v="Q5AA-EZ6A-S56Y"/>
        <s v="Q5AA-ASYH-AKEA"/>
        <s v="FOC2218T3Z8"/>
        <s v="FJC290222SV"/>
        <s v="Q5AA-63MW-78XL"/>
        <s v="Q5AA-MRTL-AP9K"/>
        <s v="Q5AA-HV4L-P853"/>
        <s v="Q5AA-JPYJ-YC9M"/>
        <s v="Q5AA-XDV9-FKTX"/>
        <s v="Q5AA-3BVV-VQUU"/>
        <s v="Q3MV-6XWK-TVUP"/>
        <s v="Q5AA-GJ47-DK5X"/>
        <s v="Q5AA-94E5-2UFU"/>
        <s v="Q5AA-Y9EX-GL7E"/>
        <s v="Q5AA-V3B6-RSQX"/>
        <s v="Q5AA-DEJD-R4N5"/>
        <s v="Q5AA-SKZM-8VYM"/>
        <s v="Q5AA-YF4N-2L5P"/>
        <s v="Q5AA-8AST-YPV4"/>
        <s v="Q5AA-5L7V-QSYU"/>
        <s v="Q5AA-SK3L-NVFH"/>
        <s v="Q5AA-7VMH-YF9G"/>
        <s v="Q5AA-QK4J-4K9J"/>
        <s v="Q5AA-H6R3-LUMM"/>
        <s v="Q5AA-SFG2-7EPQ"/>
        <s v="Q5AA-A6S6-XG3H"/>
        <s v="Q3AC-PV6N-6QRC"/>
        <s v="Q3AC-DK8K-8UBR"/>
        <s v="Q3AC-MPDZ-UTHS"/>
        <s v="Q5JG-SL55-CZ9Z"/>
        <s v="Q3KG-P7GS-UMEQ"/>
        <s v="Q3KG-MBCN-DSBC"/>
        <s v="Q5JG-STQ9-EUPF"/>
        <s v="Q5AR-4FGW-G4PW"/>
        <s v="Q5AA-GMN6-UE62"/>
        <s v="Q2QW-BWS8-7ULR"/>
        <s v="Q2DW-FPMF-3AL6"/>
        <s v="Q2ZP-D487-83QR"/>
        <s v="Q2ZP-AZ5F-V97Y"/>
        <s v="Q5AE-C77W-8YW3"/>
        <s v="Q3KG-Y9ZZ-W8HK"/>
        <s v="Q5AR-56BZ-6TSR"/>
        <s v="Q5AR-TEZ8-EZVW"/>
        <s v="Q5AA-KHJW-U94C"/>
        <s v="Q5AA-43RJ-JQUD"/>
        <s v="Q2QW-BWVG-Y4ZU"/>
        <s v="Q2GW-KK6C-3U9A"/>
        <s v="Q2QW-CANP-QCYR"/>
        <s v="Q2QW-GPBW-SLG9"/>
        <s v="Q2QW-EX7M-X9M6"/>
        <s v="Q2QW-CQSG-6X85"/>
        <s v="Q3AC-QSJ4-9L25"/>
        <s v="Q3AC-HG28-SMQY"/>
        <s v="Q2DW-EM6A-8GPL"/>
        <s v="Q3AC-HV2N-AG28"/>
        <s v="Q3AC-RDT3-Y62C"/>
        <s v="FCW2211B365"/>
        <s v="Q5AA-7TFR-X7ZG"/>
        <s v="FCW2110B27N"/>
        <s v="Q3AC-MPKF-FE8T"/>
        <s v="Q5AR-527V-Z8YR"/>
        <s v="Q5AA-PHPN-4452"/>
        <s v="Q3KG-X73V-EYFZ"/>
        <s v="Q3KG-D56U-BSMY"/>
        <s v="Q3KG-DGB7-HMVP"/>
        <s v="FGL2708LJWX"/>
        <s v="FVH2903L6L7"/>
      </sharedItems>
    </cacheField>
    <cacheField name="Rack Number" numFmtId="0">
      <sharedItems/>
    </cacheField>
    <cacheField name="Device Type" numFmtId="0">
      <sharedItems/>
    </cacheField>
    <cacheField name="Hostname" numFmtId="0">
      <sharedItems containsMixedTypes="1" containsNumber="1" containsInteger="1" minValue="0" maxValue="1"/>
    </cacheField>
    <cacheField name="Model" numFmtId="0">
      <sharedItems/>
    </cacheField>
    <cacheField name="Current-FW Version" numFmtId="0">
      <sharedItems/>
    </cacheField>
    <cacheField name="Replaced Serial Number" numFmtId="0">
      <sharedItems containsBlank="1"/>
    </cacheField>
    <cacheField name="Priority" numFmtId="0">
      <sharedItems/>
    </cacheField>
    <cacheField name="Status" numFmtId="0">
      <sharedItems/>
    </cacheField>
    <cacheField name="RCA 2" numFmtId="0">
      <sharedItems containsBlank="1" count="11">
        <s v="Device Power Issues"/>
        <s v="New Configuration"/>
        <s v="Client Side Activity"/>
        <s v="Third Party Device issue"/>
        <s v="Others"/>
        <s v="Device Boot Issues"/>
        <s v="Configuration Errors"/>
        <s v="Firmware or Software Bugs"/>
        <s v="Hardware Component Failures"/>
        <s v="Customer Delays or Unresponsiveness"/>
        <m/>
      </sharedItems>
    </cacheField>
    <cacheField name="Hold Reason" numFmtId="0">
      <sharedItems containsBlank="1"/>
    </cacheField>
    <cacheField name="Resolution" numFmtId="0">
      <sharedItems containsBlank="1" longText="1"/>
    </cacheField>
    <cacheField name="Created Time" numFmtId="22">
      <sharedItems containsSemiMixedTypes="0" containsNonDate="0" containsDate="1" containsString="0" minDate="2026-04-07T13:10:49" maxDate="2026-07-06T23:06:12"/>
    </cacheField>
    <cacheField name="Resolution Time (min)" numFmtId="0">
      <sharedItems containsNonDate="0" containsDate="1" containsString="0" containsBlank="1" minDate="2026-04-07T15:16:00" maxDate="2026-07-17T13:11:00"/>
    </cacheField>
    <cacheField name="Total Resolution Time (min)" numFmtId="0">
      <sharedItems containsString="0" containsBlank="1" containsNumber="1" minValue="7.57" maxValue="64382.65"/>
    </cacheField>
    <cacheField name="Response Time" numFmtId="22">
      <sharedItems containsSemiMixedTypes="0" containsNonDate="0" containsDate="1" containsString="0" minDate="2026-04-07T13:10:50" maxDate="2026-07-06T23:06:14"/>
    </cacheField>
    <cacheField name="Actual Response Time (min)" numFmtId="0">
      <sharedItems containsSemiMixedTypes="0" containsString="0" containsNumber="1" minValue="0" maxValue="0.05"/>
    </cacheField>
    <cacheField name="Agreed Response SLA (min)" numFmtId="0">
      <sharedItems containsSemiMixedTypes="0" containsString="0" containsNumber="1" containsInteger="1" minValue="30" maxValue="30"/>
    </cacheField>
    <cacheField name="Response SLA Status" numFmtId="0">
      <sharedItems containsBlank="1"/>
    </cacheField>
    <cacheField name="First Hold Time" numFmtId="0">
      <sharedItems containsNonDate="0" containsDate="1" containsString="0" containsBlank="1" minDate="2026-04-07T13:19:21" maxDate="2026-07-06T23:07:50"/>
    </cacheField>
    <cacheField name="Last Hold Time" numFmtId="0">
      <sharedItems containsNonDate="0" containsDate="1" containsString="0" containsBlank="1" minDate="2026-04-07T15:06:56" maxDate="2026-07-17T13:09:48"/>
    </cacheField>
    <cacheField name="Total JFL Downtime (Mins)HOLD Minute " numFmtId="0">
      <sharedItems containsSemiMixedTypes="0" containsString="0" containsNumber="1" minValue="0" maxValue="64378.73"/>
    </cacheField>
    <cacheField name="Total Proactive Downtime (Mins)- Actual resolution mint " numFmtId="0">
      <sharedItems containsString="0" containsBlank="1" containsNumber="1" minValue="-709.82" maxValue="10302.4"/>
    </cacheField>
    <cacheField name="Agreed Resolution SLA (min)" numFmtId="0">
      <sharedItems containsSemiMixedTypes="0" containsString="0" containsNumber="1" containsInteger="1" minValue="120" maxValue="2880"/>
    </cacheField>
    <cacheField name="Resolution SLA Status" numFmtId="0">
      <sharedItems containsBlank="1"/>
    </cacheField>
    <cacheField name="Remark " numFmtId="0">
      <sharedItems containsNonDate="0" containsString="0" containsBlank="1"/>
    </cacheField>
    <cacheField name="Total Minute in  7 Apr 2026 to 6 July - 90 Days X Minute" numFmtId="3">
      <sharedItems containsSemiMixedTypes="0" containsString="0" containsNumber="1" containsInteger="1" minValue="129600" maxValue="129600"/>
    </cacheField>
    <cacheField name="Proactive Uptime Mins" numFmtId="3">
      <sharedItems containsSemiMixedTypes="0" containsString="0" containsNumber="1" minValue="119297.60000000001" maxValue="130309.82"/>
    </cacheField>
    <cacheField name="Proactive -Uptime%" numFmtId="2">
      <sharedItems containsSemiMixedTypes="0" containsString="0" containsNumber="1" minValue="92.050617283950615" maxValue="100.54770061728395"/>
    </cacheField>
    <cacheField name="JFL -Uptime Mins" numFmtId="3">
      <sharedItems containsSemiMixedTypes="0" containsString="0" containsNumber="1" minValue="65221.27" maxValue="129600"/>
    </cacheField>
    <cacheField name="JFL -Uptime %" numFmtId="2">
      <sharedItems containsSemiMixedTypes="0" containsString="0" containsNumber="1" minValue="50.325054012345674" maxValue="1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hata Sharma" refreshedDate="46223.64937835648" createdVersion="8" refreshedVersion="8" minRefreshableVersion="3" recordCount="434" xr:uid="{B0BDDE6B-A562-407D-9681-85FD0FD04634}">
  <cacheSource type="worksheet">
    <worksheetSource ref="A1:F435" sheet="All Location "/>
  </cacheSource>
  <cacheFields count="6">
    <cacheField name="S.N" numFmtId="0">
      <sharedItems containsSemiMixedTypes="0" containsString="0" containsNumber="1" containsInteger="1" minValue="1" maxValue="434"/>
    </cacheField>
    <cacheField name="Location" numFmtId="0">
      <sharedItems count="8">
        <s v="Guwahati"/>
        <s v="Mohali"/>
        <s v="Hyderabad"/>
        <s v="Nagpur"/>
        <s v="Mumbai"/>
        <s v="Greater Noida"/>
        <s v="Noida"/>
        <s v="Bangalore"/>
      </sharedItems>
    </cacheField>
    <cacheField name="Serial No." numFmtId="0">
      <sharedItems count="434">
        <s v="Q3KG-ZJZJ-WWH5"/>
        <s v="Q5AA-RM28-C2R8"/>
        <s v="Q5AR-T7UY-LJRT"/>
        <s v="Q5JG-AQNW-P9FB"/>
        <s v="Q5JG-ECTW-5MN7"/>
        <s v="Q3KG-9RDD-U5HG"/>
        <s v="Q3KG-LYY3-LR6R"/>
        <s v="Q3KG-Y9ZZ-W8HK"/>
        <s v="Q3LM-TGAF-Q97P"/>
        <s v="Q3LP-2PSJ-6DLB"/>
        <s v="Q5AA-43RJ-JQUD"/>
        <s v="Q5AA-8PQC-7V98"/>
        <s v="Q5AA-E8FN-53RX"/>
        <s v="Q5AA-GBHE-WVEQ"/>
        <s v="Q5AA-GMN6-UE62"/>
        <s v="Q5AA-KHJW-U94C"/>
        <s v="Q5AA-MHPW-2YA8"/>
        <s v="Q5AA-PHPN-4452"/>
        <s v="Q5AA-V3D8-DKEG"/>
        <s v="Q5AR-56BZ-6TSR"/>
        <s v="Q5AR-A7VQ-MZJM"/>
        <s v="Q5AR-TEZ8-EZVW"/>
        <s v="Q5JG-NJW9-ABBQ"/>
        <s v="Q5JJ-3TZH-2HV5"/>
        <s v="Q3KG-TLUW-VDX7"/>
        <s v="Q3KG-U9M3-9GEC"/>
        <s v="Q3KG-UKZ7-TA5X"/>
        <s v="Q5AA-23YU-R3GZ"/>
        <s v="Q5AA-46QV-Z3ZC"/>
        <s v="Q5AA-6EJ5-AG7V"/>
        <s v="Q5AA-GAFW-R58M"/>
        <s v="Q5AA-Q8AL-KHWV"/>
        <s v="Q5AA-QLUG-NSPB"/>
        <s v="Q5AA-R4B3-WH9P"/>
        <s v="Q5AA-TRMY-596Z"/>
        <s v="Q5AA-YR33-H6HL"/>
        <s v="Q5AR-LXCJ-F26L"/>
        <s v="Q5AR-PZ39-USUZ"/>
        <s v="Q5JJ-GEWQ-X3MG"/>
        <s v="Q5JJ-Q88T-6XC7"/>
        <s v="Q3KG-FBVZ-2RBN"/>
        <s v="Q3KG-MBCN-DSBC"/>
        <s v="Q3KG-P7GS-UMEQ"/>
        <s v="Q5AA-XH9E-KZRJ"/>
        <s v="Q5AR-4FGW-G4PW"/>
        <s v="Q5AR-9UF6-M73Y"/>
        <s v="Q5JG-SL55-CZ9Z"/>
        <s v="Q5JG-STQ9-EUPF"/>
        <s v="Q5JG-TM9S-PLFP"/>
        <s v="Q5JJ-68KZ-MXAS"/>
        <s v="FCW2302L13B"/>
        <s v="FCW2302G0TL"/>
        <s v="FCW2302D0ZJ"/>
        <s v="FCW2302D0Z7"/>
        <s v="FCW2302AHDZ"/>
        <s v="FCW2302DHGQ"/>
        <s v="FOC2302U0WY"/>
        <s v="FCW2302DHTU"/>
        <s v="Q3KG-6BJV-TZA3"/>
        <s v="Q3KG-8U94-FMUC"/>
        <s v="Q3KG-A7BY-55YX"/>
        <s v="Q3KG-A9R2-ATYY"/>
        <s v="Q3KG-BTTL-HVZU"/>
        <s v="Q3KG-CFHX-4TRU"/>
        <s v="Q3KG-D56U-BSMY"/>
        <s v="Q3KG-DGB7-HMVP"/>
        <s v="Q3KG-GWW5-CHJC"/>
        <s v="Q3KG-J4EF-KZ54"/>
        <s v="Q3KG-JH9T-FL7Z"/>
        <s v="Q3KG-V5M8-92SS"/>
        <s v="Q3KG-X73V-EYFZ"/>
        <s v="Q3KG-XSEX-EG6A"/>
        <s v="Q3KG-Y2PU-4DWW"/>
        <s v="Q3MV-6XWK-TVUP"/>
        <s v="Q5AA-32YH-Q43U"/>
        <s v="Q5AA-3BVV-VQUU"/>
        <s v="Q5AA-4792-7HZC"/>
        <s v="Q5AA-5HRM-897H"/>
        <s v="Q5AA-5L7V-QSYU"/>
        <s v="Q5AA-5TRP-EJMF"/>
        <s v="Q5AA-63MW-78XL"/>
        <s v="Q5AA-7TFR-X7ZG"/>
        <s v="Q5AA-7VMH-YF9G"/>
        <s v="Q5AA-8AST-YPV4"/>
        <s v="Q5AA-94E5-2UFU"/>
        <s v="Q5AA-9N3T-MZGU"/>
        <s v="Q5AA-A6S6-XG3H"/>
        <s v="Q5AA-AE34-NNBC"/>
        <s v="Q5AA-ASYH-AKEA"/>
        <s v="Q5AA-C4TF-5ZA8"/>
        <s v="Q5AA-DEJD-R4N5"/>
        <s v="Q5AA-EYB5-JQCK"/>
        <s v="Q5AA-EZ6A-S56Y"/>
        <s v="Q5AA-FRBE-94N5"/>
        <s v="Q5AA-FTAU-94AS"/>
        <s v="Q5AA-GHXM-TRTK"/>
        <s v="Q5AA-GJ47-DK5X"/>
        <s v="Q5AA-H6R3-LUMM"/>
        <s v="Q5AA-HBAV-ACSS"/>
        <s v="Q5AA-HV4L-P853"/>
        <s v="Q5AA-J9A9-ZJ2B"/>
        <s v="Q5AA-JKR4-S9MX"/>
        <s v="Q5AA-JPYJ-YC9M"/>
        <s v="Q5AA-JYZN-6KKB"/>
        <s v="Q5AA-LCK3-FDNW"/>
        <s v="Q5AA-MRTL-AP9K"/>
        <s v="Q5AA-NVD9-AZTY"/>
        <s v="Q5AA-QK4J-4K9J"/>
        <s v="Q5AA-SFG2-7EPQ"/>
        <s v="Q5AA-SK3L-NVFH"/>
        <s v="Q5AA-SK8J-GRTZ"/>
        <s v="Q5AA-SKZM-8VYM"/>
        <s v="Q5AA-TSZZ-HUFQ"/>
        <s v="Q5AA-U98X-3FD7"/>
        <s v="Q5AA-V3B6-RSQX"/>
        <s v="Q5AA-VEJP-CVJ6"/>
        <s v="Q5AA-WZA9-XYK8"/>
        <s v="Q5AA-XDV9-FKTX"/>
        <s v="Q5AA-XGDL-V7JB"/>
        <s v="Q5AA-Y9EX-GL7E"/>
        <s v="Q5AA-YF4N-2L5P"/>
        <s v="Q5AA-Z3WW-CY6C"/>
        <s v="Q5AA-ZJ3S-NUDX"/>
        <s v="Q5AR-29J7-8Q63"/>
        <s v="Q5AR-4HHE-SHRQ"/>
        <s v="Q5AR-527V-Z8YR"/>
        <s v="Q5AR-6LBA-42SM"/>
        <s v="Q5AR-6ZPA-KEDB"/>
        <s v="Q5AR-894G-VGNX"/>
        <s v="Q5AR-8UTU-MX6B"/>
        <s v="Q5AR-DA7D-L9PN"/>
        <s v="Q5AR-DAMQ-NUE2"/>
        <s v="Q5AR-U92E-8268"/>
        <s v="Q5TN-DGC5-M8QZ"/>
        <s v="Q5TN-NF5F-N32X"/>
        <s v="FJC29021TWN"/>
        <s v="FJC290222AL"/>
        <s v="FJC290222SV"/>
        <s v="FJC29021TTW"/>
        <s v="FJC29021TPQ"/>
        <s v="FJC29021TNP"/>
        <s v="FCW2110B28C"/>
        <s v="FCW2110B27F"/>
        <s v="FOC2113V20F"/>
        <s v="FOC2113S2LY"/>
        <s v="FOC2113S2MD"/>
        <s v="FCW2110B27A"/>
        <s v="FCW2110B25A"/>
        <s v="FOC2113S2M3"/>
        <s v="FOC2218T3Z8"/>
        <s v="FCW2126A4XT"/>
        <s v="FOC2536Y0JD"/>
        <s v="FOC2646YCX2"/>
        <s v="FCW2111E0AU"/>
        <s v="FOC2113V20D"/>
        <s v="FCW2038B1H6"/>
        <s v="FCW2110B27N"/>
        <s v="FCW2112A20E"/>
        <s v="FCW2110B27U"/>
        <s v="FCW2211B365"/>
        <s v="FCW2113E10E"/>
        <s v="JIN2117106B"/>
        <s v="FOC2039V1JW"/>
        <s v="FOC2017S0QN"/>
        <s v="FCW2218B4Z2"/>
        <s v="FCW2303A6BS"/>
        <s v="FOC2441L0ET"/>
        <s v="FCW2646YCXZ"/>
        <s v="FCW2116A4SD"/>
        <s v="FOC2646YCXZ"/>
        <s v="FCW2010A2G1"/>
        <s v="FOC2635Y89M"/>
        <s v="FOC2635Y89T"/>
        <s v="FOC2647Y151"/>
        <s v="FOC2646YCRH"/>
        <s v="FCL264500LZ"/>
        <s v="FOC2704Y1N8"/>
        <s v="FOC2704Y3AY"/>
        <s v="FOC2708YFGS"/>
        <s v="FOC2710Y540"/>
        <s v="FOC2710Y54F"/>
        <s v="FOC2710Y54N"/>
        <s v="FOC2710Y261"/>
        <s v="FDO2649M0JU"/>
        <s v="FDO2649M0JT"/>
        <s v="WMP27030033"/>
        <s v="WZP23460YYF"/>
        <s v="FCL2645003S"/>
        <s v="FGL2708LJW4"/>
        <s v="FGL2708LJUZ"/>
        <s v="FGL2708LJVZ"/>
        <s v="FGL2708LJUC"/>
        <s v="FGL2708LJVS"/>
        <s v="FGL2708LJXN"/>
        <s v="FGL2708LJYF"/>
        <s v="FGL2708LJVN"/>
        <s v="FGL2708LJXT"/>
        <s v="FGL2708LJV6"/>
        <s v="FGL2708LJWX"/>
        <s v="FGL2708LJY2"/>
        <s v="FGL2708LJXG"/>
        <s v="FGL2708LJXW"/>
        <s v="FGL2708LJXE"/>
        <s v="FGL2708LJY5"/>
        <s v="FGL2708LJY0"/>
        <s v="FJC283311U5"/>
        <s v="FGL2717MEB1"/>
        <s v="FGL2708LJV0"/>
        <s v="FGL2708LJY4"/>
        <s v="FGL2708LJUM"/>
        <s v="FGL2708LJUL"/>
        <s v="FGL2708LJVK"/>
        <s v="FGL2708LJWV"/>
        <s v="FGL2708LJU0"/>
        <s v="FGL2708LJU6"/>
        <s v="FGL2708LJX1"/>
        <s v="FGL2717ME1K"/>
        <s v="FJC2649217U"/>
        <s v="FGL2708LJVX"/>
        <s v="FGL2708LJUA"/>
        <s v="FGL2708LJU5"/>
        <s v="FGL2708LJWM"/>
        <s v="FGL2708LJTY"/>
        <s v="FGL2708LJTX"/>
        <s v="FGL2708LJV5"/>
        <s v="FGL2708LJUQ"/>
        <s v="FJC283311U3"/>
        <s v="FGL2708LJUR"/>
        <s v="FOC2714Z50L"/>
        <s v="FOC2714Z4JS"/>
        <s v="FOC2715Y1KM"/>
        <s v="FOC2715Y1J7"/>
        <s v="FOC2714Z69M"/>
        <s v="FOC2715Y1CJ"/>
        <s v="FOC2714Z681"/>
        <s v="FOC2715Y1W3"/>
        <s v="FOC2714Z5AU"/>
        <s v="FOC2715Y1VV"/>
        <s v="FOC2716YND7"/>
        <s v="FOC2716YNBN"/>
        <s v="FOC2716YNBW"/>
        <s v="FOC2716YN4M"/>
        <s v="FOC2716YN69"/>
        <s v="FOC2716YNFC"/>
        <s v="FOC2716YNBE"/>
        <s v="FOC2716YN3W"/>
        <s v="FOC2716YLLY"/>
        <s v="FOC2716YLM7"/>
        <s v="FOC2716YNCF"/>
        <s v="FOC2716YHHL"/>
        <s v="FOC2714Z5B8"/>
        <s v="FOC2714Z4NF"/>
        <s v="Q2DW-EM6A-8GPL"/>
        <s v="Q2DW-FPMF-3AL6"/>
        <s v="Q2EW-3S9C-VJRW"/>
        <s v="Q2EW-5R5B-HEY9"/>
        <s v="Q2EW-68N6-HTZ7"/>
        <s v="Q2EW-78HY-BNUV"/>
        <s v="Q2MW-CC67-WVEU"/>
        <s v="Q2MW-CRVX-WJD3"/>
        <s v="Q2MW-DSWB-43BC"/>
        <s v="Q2MW-DT66-3HKL"/>
        <s v="Q2QW-ARKH-HCRT"/>
        <s v="Q2QW-ATN2-HDQK"/>
        <s v="Q2QW-BAYV-J6K5"/>
        <s v="Q2QW-BWS8-7ULR"/>
        <s v="Q2QW-BWVG-Y4ZU"/>
        <s v="Q2QW-BWWB-HTLP"/>
        <s v="Q2QW-BYNP-CGVJ"/>
        <s v="Q2QW-BZ2C-GWN7"/>
        <s v="Q2QW-CAJU-QVKD"/>
        <s v="Q2QW-CAKK-KNXD"/>
        <s v="Q2QW-983F-LNQL"/>
        <s v="Q2QW-CANP-QCYR"/>
        <s v="Q2QW-CLPB-MZPN"/>
        <s v="Q2QW-CLQ3-BXHC"/>
        <s v="Q2QW-CNV8-9Q8Y"/>
        <s v="Q2QW-CQPR-WJYV"/>
        <s v="Q2QW-CQR4-DPMQ"/>
        <s v="Q2QW-CQSG-6X85"/>
        <s v="Q2QW-CTCG-QKDE"/>
        <s v="Q2QW-CTDD-3Z86"/>
        <s v="Q2QW-CTFE-E2WF"/>
        <s v="Q2QW-CTFM-KEQZ"/>
        <s v="Q2QW-CTFW-5KJ6"/>
        <s v="Q2QW-CTG2-RX56"/>
        <s v="Q2QW-CTMF-ZXMF"/>
        <s v="Q2QW-D8UN-JHM7"/>
        <s v="Q2QW-DC3Q-MPWQ"/>
        <s v="Q2QW-EX7M-X9M6"/>
        <s v="Q2QW-CAKR-LDFB"/>
        <s v="Q2QW-EXJY-SE64"/>
        <s v="Q2QW-EXXK-QDZ3"/>
        <s v="Q2QW-EY63-C2SF"/>
        <s v="Q2QW-EY8T-HNGL"/>
        <s v="Q2QW-FB9E-UCQL"/>
        <s v="Q2QW-FCH3-EMVG"/>
        <s v="Q2QW-FCJL-LJS8"/>
        <s v="Q2QW-FGVW-W6XW"/>
        <s v="Q2QW-GPBW-SLG9"/>
        <s v="Q2QW-GPCV-Z8W9"/>
        <s v="Q2QW-GUDX-25NY"/>
        <s v="Q2QW-GVT2-QANK"/>
        <s v="Q2QW-H6CN-W8LR"/>
        <s v="Q2ZP-A3JU-5GR5"/>
        <s v="Q2ZP-AP5E-Z83L"/>
        <s v="Q2ZP-AVUV-W7QU"/>
        <s v="Q2ZP-AYJY-GU4V"/>
        <s v="Q2ZP-AZ5F-V97Y"/>
        <s v="Q2ZP-D2D2-VFQK"/>
        <s v="Q2ZP-D47G-NGKY"/>
        <s v="Q2ZP-D487-83QR"/>
        <s v="Q3AC-23KQ-U6HE"/>
        <s v="Q3AC-2DHR-W43S"/>
        <s v="Q3AC-2Q7D-JCGF"/>
        <s v="Q3AC-2W7H-MNPQ"/>
        <s v="Q3AC-3CVE-NZNV"/>
        <s v="Q3AC-3HFB-L9N6"/>
        <s v="Q3AC-3HWV-ECVT"/>
        <s v="Q3AC-59QF-LNTG"/>
        <s v="Q3AC-5CB9-8CUH"/>
        <s v="Q3AC-5WMD-2PG2"/>
        <s v="Q3AC-5ZQ2-UJWD"/>
        <s v="Q3AC-6HKW-LC8E"/>
        <s v="Q3AC-75JU-8592"/>
        <s v="Q3AC-7E9E-E8QQ"/>
        <s v="Q3AC-8LZG-ZGWE"/>
        <s v="Q3AC-8NA9-73L4"/>
        <s v="Q3AC-8RQX-XQUG"/>
        <s v="Q3AC-8RRH-Z8MA"/>
        <s v="Q3AC-9EFV-95CH"/>
        <s v="Q3AC-AL42-99XK"/>
        <s v="Q3AC-AUFV-SSNE"/>
        <s v="Q3AC-B3CZ-8UKC"/>
        <s v="Q3AC-B69P-5U94"/>
        <s v="Q3AC-C3XA-8AX4"/>
        <s v="Q3AC-C4P4-JNC9"/>
        <s v="Q3AC-CBFG-FY3U"/>
        <s v="Q3AC-DFLX-KHLR"/>
        <s v="Q3AC-DK8K-8UBR"/>
        <s v="Q3AC-DTQ8-WQMM"/>
        <s v="Q3AC-DZAX-3FNP"/>
        <s v="Q3AC-E3JS-XN9C"/>
        <s v="Q3AC-E8LA-PVD4"/>
        <s v="Q3AC-E984-BXYN"/>
        <s v="Q3AC-ESTY-YK6L"/>
        <s v="Q3AC-FAX6-YRJK"/>
        <s v="Q3AC-FZXU-BF4E"/>
        <s v="Q3AC-GK7K-PDN4"/>
        <s v="Q3AC-H9SR-3N44"/>
        <s v="Q3AC-HG28-SMQY"/>
        <s v="Q3AC-HV2N-AG28"/>
        <s v="Q3AC-J4UC-SDJU"/>
        <s v="Q3AC-J9AF-Y736"/>
        <s v="Q3AC-JCE4-MCMS"/>
        <s v="Q3AC-JN66-PSGV"/>
        <s v="Q3AC-K86Y-LU3D"/>
        <s v="Q3AC-KMBJ-UJFL"/>
        <s v="Q3AC-LJA3-YXHT"/>
        <s v="Q3AC-MNA8-TMWD"/>
        <s v="Q3AC-MPDZ-UTHS"/>
        <s v="Q3AC-MPKF-FE8T"/>
        <s v="Q3AC-MTLV-H3EL"/>
        <s v="Q3AC-N7C4-HEF5"/>
        <s v="Q3AC-NC4G-DUA2"/>
        <s v="Q3AC-NQ8Z-VVTC"/>
        <s v="Q3AC-P4G8-N73U"/>
        <s v="Q3AC-PGZ6-YM5F"/>
        <s v="Q3AC-PV6N-6QRC"/>
        <s v="Q3AC-PZ4U-KKTC"/>
        <s v="Q3AC-QG3A-P7EA"/>
        <s v="Q3AC-QPM8-AFTU"/>
        <s v="Q3AC-QRFZ-VLYY"/>
        <s v="Q3AC-QSJ4-9L25"/>
        <s v="Q3AC-QVDT-2CJX"/>
        <s v="Q3AC-RDT3-Y62C"/>
        <s v="Q3AC-RPEZ-GQKD"/>
        <s v="Q3AC-RQJS-FY3M"/>
        <s v="Q3AC-RTN3-EPKX"/>
        <s v="Q3AC-SFX9-92AT"/>
        <s v="Q3AC-TQXL-MJ4E"/>
        <s v="Q3AC-TVTD-S24W"/>
        <s v="Q3AC-TXSV-U4XB"/>
        <s v="Q3AC-UEH2-JUNY"/>
        <s v="Q3AC-UPYY-PNVQ"/>
        <s v="Q3AC-UWPC-8RNF"/>
        <s v="Q3AC-V7R5-ECG9"/>
        <s v="Q3AC-W6MK-P7AJ"/>
        <s v="Q3AC-W7XL-SNU2"/>
        <s v="Q3AC-WRR3-U9YN"/>
        <s v="Q3AC-WX2V-AT4T"/>
        <s v="Q3AC-X53T-GMNE"/>
        <s v="Q3AC-X66Q-USCT"/>
        <s v="Q3AC-XXBM-8XSL"/>
        <s v="Q3AC-Y2HS-V29M"/>
        <s v="Q3AC-Y7GE-YS64"/>
        <s v="Q3AC-YEDW-G7SA"/>
        <s v="Q3AC-YHHC-Q634"/>
        <s v="Q3AC-YWED-SL3W"/>
        <s v="Q3AC-ZNCZ-HDNM"/>
        <s v="Q3AE-FT83-RWMH"/>
        <s v="Q3AE-GRCN-QXFW"/>
        <s v="Q3AC-86YA-CET5"/>
        <s v="Q3KD-MNV6-9TD4"/>
        <s v="Q3AE-HD3C-2C9C"/>
        <s v="Q3AE-PGHB-B4B5"/>
        <s v="Q3AE-VET4-ADEA"/>
        <s v="Q3AE-WGKL-3C27"/>
        <s v="Q5AE-36RN-AZWJ"/>
        <s v="Q5AE-3DAZ-J39D"/>
        <s v="Q5AE-4AJX-9QNQ"/>
        <s v="Q5AE-5HM3-5UFQ"/>
        <s v="Q5AE-66KK-GPLP"/>
        <s v="Q5AE-6ZST-KJTQ"/>
        <s v="Q5AE-8GP6-XQ63"/>
        <s v="Q5AE-B5XG-EY4R"/>
        <s v="Q5AE-BPE4-NTFW"/>
        <s v="Q5AE-C2BB-FR69"/>
        <s v="Q5AE-C77W-8YW3"/>
        <s v="Q5AE-CZ63-5N3R"/>
        <s v="Q5AE-DRNC-Q8JM"/>
        <s v="Q5AE-ECWU-JBL5"/>
        <s v="Q5AE-JY3B-Q967"/>
        <s v="Q5AE-KNH9-5GV8"/>
        <s v="Q5AE-P2XG-J4BA"/>
        <s v="Q5AE-PYMV-RZ5Y"/>
        <s v="Q5AE-RCEA-RL75"/>
        <s v="Q5AE-RFTG-FLJB"/>
        <s v="Q5AE-SHZC-5QSP"/>
        <s v="Q5AE-ULJB-M9EQ"/>
        <s v="Q5AE-VNZM-SECF"/>
        <s v="Q5AE-XMUU-7VL8"/>
        <s v="Q5AE-XQRM-Z6P2"/>
        <s v="Q5AE-Y9U3-MTM2"/>
      </sharedItems>
    </cacheField>
    <cacheField name="Device Type" numFmtId="0">
      <sharedItems/>
    </cacheField>
    <cacheField name="Average of Proactive -Uptime%" numFmtId="0">
      <sharedItems containsSemiMixedTypes="0" containsString="0" containsNumber="1" minValue="92.050617283950615" maxValue="100.53787037037037"/>
    </cacheField>
    <cacheField name="Average of JFL -Uptime %" numFmtId="0">
      <sharedItems containsSemiMixedTypes="0" containsString="0" containsNumber="1" minValue="75.047114197530874" maxValue="1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hata Sharma" refreshedDate="46223.650274884261" createdVersion="8" refreshedVersion="8" minRefreshableVersion="3" recordCount="364" xr:uid="{768F472B-2EAF-4BAF-8F28-58D3847988F6}">
  <cacheSource type="worksheet">
    <worksheetSource ref="A1:AN1048576" sheet="Raw"/>
  </cacheSource>
  <cacheFields count="40">
    <cacheField name="Account Name" numFmtId="0">
      <sharedItems containsBlank="1"/>
    </cacheField>
    <cacheField name="Channel" numFmtId="0">
      <sharedItems containsBlank="1"/>
    </cacheField>
    <cacheField name="Ticket Owner" numFmtId="0">
      <sharedItems containsBlank="1"/>
    </cacheField>
    <cacheField name="Ticket Number" numFmtId="0">
      <sharedItems containsBlank="1"/>
    </cacheField>
    <cacheField name="Subject" numFmtId="0">
      <sharedItems containsBlank="1"/>
    </cacheField>
    <cacheField name="Category" numFmtId="0">
      <sharedItems containsBlank="1"/>
    </cacheField>
    <cacheField name="Sub Category" numFmtId="0">
      <sharedItems containsBlank="1"/>
    </cacheField>
    <cacheField name="Device Name" numFmtId="0">
      <sharedItems containsBlank="1" count="7">
        <s v="Bangalore"/>
        <s v="Guwahati"/>
        <s v="Nagpur"/>
        <s v="Mohali"/>
        <s v="Greater Noida"/>
        <s v="Noida"/>
        <m/>
      </sharedItems>
    </cacheField>
    <cacheField name="Serial/Subscription" numFmtId="0">
      <sharedItems containsBlank="1"/>
    </cacheField>
    <cacheField name="Device Serial" numFmtId="0">
      <sharedItems containsBlank="1"/>
    </cacheField>
    <cacheField name="Rack Number" numFmtId="0">
      <sharedItems containsBlank="1"/>
    </cacheField>
    <cacheField name="Device Type" numFmtId="0">
      <sharedItems containsBlank="1" count="3">
        <s v="SW"/>
        <s v="AP"/>
        <m/>
      </sharedItems>
    </cacheField>
    <cacheField name="Hostname" numFmtId="0">
      <sharedItems containsBlank="1" containsMixedTypes="1" containsNumber="1" containsInteger="1" minValue="0" maxValue="1"/>
    </cacheField>
    <cacheField name="Model" numFmtId="0">
      <sharedItems containsBlank="1"/>
    </cacheField>
    <cacheField name="Current-FW Version" numFmtId="0">
      <sharedItems containsBlank="1"/>
    </cacheField>
    <cacheField name="Replaced Serial Number" numFmtId="0">
      <sharedItems containsBlank="1"/>
    </cacheField>
    <cacheField name="Priority" numFmtId="0">
      <sharedItems containsBlank="1"/>
    </cacheField>
    <cacheField name="Status" numFmtId="0">
      <sharedItems containsBlank="1"/>
    </cacheField>
    <cacheField name="RCA 2" numFmtId="0">
      <sharedItems containsBlank="1" count="11">
        <s v="Device Power Issues"/>
        <s v="New Configuration"/>
        <s v="Client Side Activity"/>
        <s v="Third Party Device issue"/>
        <s v="Others"/>
        <s v="Device Boot Issues"/>
        <s v="Configuration Errors"/>
        <s v="Firmware or Software Bugs"/>
        <s v="Hardware Component Failures"/>
        <s v="Customer Delays or Unresponsiveness"/>
        <m/>
      </sharedItems>
    </cacheField>
    <cacheField name="Hold Reason" numFmtId="0">
      <sharedItems containsBlank="1"/>
    </cacheField>
    <cacheField name="Resolution" numFmtId="0">
      <sharedItems containsBlank="1" longText="1"/>
    </cacheField>
    <cacheField name="Created Time" numFmtId="0">
      <sharedItems containsNonDate="0" containsDate="1" containsString="0" containsBlank="1" minDate="2026-04-07T13:10:49" maxDate="2026-07-06T23:06:12"/>
    </cacheField>
    <cacheField name="Resolution Time (min)" numFmtId="0">
      <sharedItems containsNonDate="0" containsDate="1" containsString="0" containsBlank="1" minDate="2026-04-07T15:16:00" maxDate="2026-07-17T13:11:00"/>
    </cacheField>
    <cacheField name="Total Resolution Time (min)" numFmtId="0">
      <sharedItems containsString="0" containsBlank="1" containsNumber="1" minValue="7.57" maxValue="64382.65"/>
    </cacheField>
    <cacheField name="Response Time" numFmtId="0">
      <sharedItems containsNonDate="0" containsDate="1" containsString="0" containsBlank="1" minDate="2026-04-07T13:10:50" maxDate="2026-07-06T23:06:14"/>
    </cacheField>
    <cacheField name="Actual Response Time (min)" numFmtId="0">
      <sharedItems containsString="0" containsBlank="1" containsNumber="1" minValue="0" maxValue="0.05"/>
    </cacheField>
    <cacheField name="Agreed Response SLA (min)" numFmtId="0">
      <sharedItems containsString="0" containsBlank="1" containsNumber="1" containsInteger="1" minValue="30" maxValue="30"/>
    </cacheField>
    <cacheField name="Response SLA Status" numFmtId="0">
      <sharedItems containsBlank="1"/>
    </cacheField>
    <cacheField name="First Hold Time" numFmtId="0">
      <sharedItems containsNonDate="0" containsDate="1" containsString="0" containsBlank="1" minDate="2026-04-07T13:19:21" maxDate="2026-07-06T23:07:50"/>
    </cacheField>
    <cacheField name="Last Hold Time" numFmtId="0">
      <sharedItems containsNonDate="0" containsDate="1" containsString="0" containsBlank="1" minDate="2026-04-07T15:06:56" maxDate="2026-07-17T13:09:48"/>
    </cacheField>
    <cacheField name="Total JFL Downtime (Mins)HOLD Minute " numFmtId="0">
      <sharedItems containsString="0" containsBlank="1" containsNumber="1" minValue="0" maxValue="64378.73"/>
    </cacheField>
    <cacheField name="Total Proactive Downtime (Mins)- Actual resolution mint " numFmtId="0">
      <sharedItems containsString="0" containsBlank="1" containsNumber="1" minValue="-709.82" maxValue="10302.4"/>
    </cacheField>
    <cacheField name="Agreed Resolution SLA (min)" numFmtId="0">
      <sharedItems containsString="0" containsBlank="1" containsNumber="1" containsInteger="1" minValue="120" maxValue="2880"/>
    </cacheField>
    <cacheField name="Resolution SLA Status" numFmtId="0">
      <sharedItems containsBlank="1"/>
    </cacheField>
    <cacheField name="Remark " numFmtId="0">
      <sharedItems containsNonDate="0" containsString="0" containsBlank="1"/>
    </cacheField>
    <cacheField name="Total Minute in  7 Apr 2026 to 6 July - 90 Days X Minute" numFmtId="0">
      <sharedItems containsString="0" containsBlank="1" containsNumber="1" containsInteger="1" minValue="129600" maxValue="129600"/>
    </cacheField>
    <cacheField name="Proactive Uptime Mins" numFmtId="0">
      <sharedItems containsString="0" containsBlank="1" containsNumber="1" minValue="119297.60000000001" maxValue="130309.82"/>
    </cacheField>
    <cacheField name="Proactive -Uptime%" numFmtId="0">
      <sharedItems containsString="0" containsBlank="1" containsNumber="1" minValue="92.050617283950615" maxValue="100.54770061728395"/>
    </cacheField>
    <cacheField name="JFL -Uptime Mins" numFmtId="0">
      <sharedItems containsString="0" containsBlank="1" containsNumber="1" minValue="65221.27" maxValue="129600"/>
    </cacheField>
    <cacheField name="JFL -Uptime %" numFmtId="0">
      <sharedItems containsString="0" containsBlank="1" containsNumber="1" minValue="50.325054012345674"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
  <r>
    <s v="Jubilant Foodworks Ltd (JFL)"/>
    <s v="Alert"/>
    <s v="Dheerendra Maurya"/>
    <s v="PRO/INC/41590"/>
    <s v="switches went down"/>
    <s v="Meraki Managed Services"/>
    <s v="Software / Configuration"/>
    <s v="Bangalore"/>
    <s v="Q2MW-DT66-3HKL"/>
    <x v="0"/>
    <s v="SIDE-PLANT1"/>
    <s v="SW"/>
    <s v="SIDE-PLANT1"/>
    <s v="MS250-24P"/>
    <s v="switch-17-1-4"/>
    <m/>
    <s v="Core"/>
    <s v="Closed"/>
    <x v="0"/>
    <s v="power issue"/>
    <s v="Switch went down due to power issue"/>
    <d v="2026-04-07T13:10:49"/>
    <d v="2026-04-07T16:23:00"/>
    <n v="192.18"/>
    <d v="2026-04-07T13:10:50"/>
    <n v="0.02"/>
    <n v="30"/>
    <s v="SLA Met"/>
    <d v="2026-04-07T13:19:21"/>
    <d v="2026-04-07T16:20:10"/>
    <n v="180.82"/>
    <n v="11.37"/>
    <n v="120"/>
    <s v="SLA Met"/>
    <m/>
    <n v="129600"/>
    <n v="129588.63"/>
    <n v="99.991226851851849"/>
    <n v="129419.18"/>
    <n v="99.860478395061719"/>
  </r>
  <r>
    <s v="Jubilant Foodworks Ltd (JFL)"/>
    <s v="Alert"/>
    <s v="Dheerendra Maurya"/>
    <s v="PRO/INC/41597"/>
    <s v="Need to Enable VLan 9 - GF-ETP-SW1-Port 45"/>
    <s v="Meraki Managed Services"/>
    <s v="Change Request"/>
    <s v="Bangalore"/>
    <m/>
    <x v="1"/>
    <s v="GF-ETP"/>
    <s v="SW"/>
    <s v="GF-ETP-SW1"/>
    <s v="MS250-48FP"/>
    <s v="switch-17-1-4"/>
    <m/>
    <s v="P4"/>
    <s v="Closed"/>
    <x v="1"/>
    <s v="client site  activity"/>
    <s v="I have Enabled VLan 9 - GF-ETP-SW1-Port 45"/>
    <d v="2026-04-07T14:28:55"/>
    <d v="2026-04-07T15:16:00"/>
    <n v="47.08"/>
    <d v="2026-04-07T14:28:55"/>
    <n v="0"/>
    <n v="30"/>
    <s v="SLA Met"/>
    <d v="2026-04-07T14:31:14"/>
    <d v="2026-04-07T15:06:56"/>
    <n v="35.700000000000003"/>
    <n v="11.38"/>
    <n v="2880"/>
    <s v="SLA Met"/>
    <m/>
    <n v="129600"/>
    <n v="129588.62"/>
    <n v="99.991219135802467"/>
    <n v="129564.3"/>
    <n v="99.972453703703707"/>
  </r>
  <r>
    <s v="Jubilant Foodworks Ltd (JFL)"/>
    <s v="Alert"/>
    <s v="John Ashis Roy"/>
    <s v="PRO/INC/41621"/>
    <s v="aps went down"/>
    <s v="Meraki Managed Services"/>
    <s v="Software / Configuration"/>
    <s v="Guwahati"/>
    <s v="Q5AA-RM28-C2R8"/>
    <x v="2"/>
    <s v="NA"/>
    <s v="AP"/>
    <s v="JFL-Guwahati-SSC-AP-03"/>
    <s v="CW9162I"/>
    <s v="MR 32.1.7"/>
    <m/>
    <s v="Non-Core"/>
    <s v="Closed"/>
    <x v="2"/>
    <s v="Client Side Activity"/>
    <s v="AP firmware activity going on due to that AP went down, So now firmware has been upgraded successfully and AP came online."/>
    <d v="2026-04-07T21:07:37"/>
    <d v="2026-04-07T23:29:00"/>
    <n v="141.38"/>
    <d v="2026-04-07T21:07:37"/>
    <n v="0"/>
    <n v="30"/>
    <s v="SLA Met"/>
    <d v="2026-04-07T21:09:12"/>
    <d v="2026-04-07T23:24:20"/>
    <n v="135.13"/>
    <n v="6.25"/>
    <n v="120"/>
    <s v="SLA Met"/>
    <m/>
    <n v="129600"/>
    <n v="129593.75"/>
    <n v="99.995177469135797"/>
    <n v="129464.87"/>
    <n v="99.895733024691353"/>
  </r>
  <r>
    <s v="Jubilant Foodworks Ltd (JFL)"/>
    <s v="Alert"/>
    <s v="Kartik Choudhary"/>
    <s v="PRO/INC/41635"/>
    <s v="new dhcp server detected"/>
    <s v="Meraki Managed Services"/>
    <s v="Software / Configuration"/>
    <s v="Nagpur"/>
    <s v="Q5JJ-68KZ-MXAS"/>
    <x v="3"/>
    <s v="RACK 1"/>
    <s v="SW"/>
    <s v="JFL-NAG-SSC-SW01"/>
    <s v="C9300L-48P-4X"/>
    <s v="cs-17-2-2"/>
    <m/>
    <s v="Non-Core"/>
    <s v="Closed"/>
    <x v="3"/>
    <s v="observation with customer, Customer reply awaiting."/>
    <s v="new DHCP server blocked"/>
    <d v="2026-04-08T05:41:47"/>
    <d v="2026-04-13T12:09:00"/>
    <n v="7587.22"/>
    <d v="2026-04-08T05:41:48"/>
    <n v="0.02"/>
    <n v="30"/>
    <s v="SLA Met"/>
    <d v="2026-04-08T05:48:25"/>
    <d v="2026-04-13T12:07:09"/>
    <n v="7578.73"/>
    <n v="8.48"/>
    <n v="120"/>
    <s v="SLA Met"/>
    <m/>
    <n v="129600"/>
    <n v="129591.52"/>
    <n v="99.99345679012346"/>
    <n v="122021.27"/>
    <n v="94.152214506172839"/>
  </r>
  <r>
    <s v="Jubilant Foodworks Ltd (JFL)"/>
    <s v="Alert"/>
    <s v="Dheerendra Maurya"/>
    <s v="PRO/INC/41650"/>
    <s v="aps went down"/>
    <s v="Meraki Managed Services"/>
    <s v="Software / Configuration"/>
    <s v="Bangalore"/>
    <s v="Q3AC-9EFV-95CH"/>
    <x v="4"/>
    <s v="NA"/>
    <s v="AP"/>
    <s v="2F-AP20-R4-SW2-45P"/>
    <s v="MR46"/>
    <s v="wireless-31-1-8"/>
    <m/>
    <s v="Non-Core"/>
    <s v="Closed"/>
    <x v="0"/>
    <s v="power issue"/>
    <s v="AP went down due to power issue"/>
    <d v="2026-04-08T13:01:06"/>
    <d v="2026-04-08T14:18:00"/>
    <n v="76.900000000000006"/>
    <d v="2026-04-08T13:01:07"/>
    <n v="0.02"/>
    <n v="30"/>
    <s v="SLA Met"/>
    <d v="2026-04-08T13:05:03"/>
    <d v="2026-04-08T14:16:40"/>
    <n v="71.62"/>
    <n v="5.28"/>
    <n v="120"/>
    <s v="SLA Met"/>
    <m/>
    <n v="129600"/>
    <n v="129594.72"/>
    <n v="99.995925925925917"/>
    <n v="129528.38"/>
    <n v="99.944737654320988"/>
  </r>
  <r>
    <s v="Jubilant Foodworks Ltd (JFL)"/>
    <s v="Alert"/>
    <s v="Dheerendra Maurya"/>
    <s v="PRO/INC/41649"/>
    <s v="aps went down"/>
    <s v="Meraki Managed Services"/>
    <s v="Software / Configuration"/>
    <s v="Bangalore"/>
    <s v="Q3AC-C4P4-JNC9"/>
    <x v="5"/>
    <s v="NA"/>
    <s v="AP"/>
    <s v="2F-AP18-R4-SW2-8P"/>
    <s v="MR46"/>
    <s v="wireless-31-1-8"/>
    <m/>
    <s v="Non-Core"/>
    <s v="Closed"/>
    <x v="0"/>
    <s v="power issue"/>
    <s v="AP went down due to power issue"/>
    <d v="2026-04-08T13:01:06"/>
    <d v="2026-04-08T14:16:00"/>
    <n v="74.900000000000006"/>
    <d v="2026-04-08T13:01:06"/>
    <n v="0"/>
    <n v="30"/>
    <s v="SLA Met"/>
    <d v="2026-04-08T13:06:05"/>
    <d v="2026-04-08T14:15:10"/>
    <n v="69.08"/>
    <n v="5.82"/>
    <n v="120"/>
    <s v="SLA Met"/>
    <m/>
    <n v="129600"/>
    <n v="129594.18"/>
    <n v="99.995509259259251"/>
    <n v="129530.92"/>
    <n v="99.946697530864199"/>
  </r>
  <r>
    <s v="Jubilant Foodworks Ltd (JFL)"/>
    <s v="Alert"/>
    <s v="Dheerendra Maurya"/>
    <s v="PRO/INC/41651"/>
    <s v="aps went down"/>
    <s v="Meraki Managed Services"/>
    <s v="Software / Configuration"/>
    <s v="Bangalore"/>
    <s v="Q3AC-PGZ6-YM5F"/>
    <x v="6"/>
    <s v="NA"/>
    <s v="AP"/>
    <s v="2F-AP12-R5-SW2-4P"/>
    <s v="MR46"/>
    <s v="wireless-31-1-8"/>
    <m/>
    <s v="Non-Core"/>
    <s v="Closed"/>
    <x v="0"/>
    <s v="power issue"/>
    <s v="AP went down due to power issue"/>
    <d v="2026-04-08T13:01:09"/>
    <d v="2026-04-08T14:20:00"/>
    <n v="78.849999999999994"/>
    <d v="2026-04-08T13:01:09"/>
    <n v="0"/>
    <n v="30"/>
    <s v="SLA Met"/>
    <d v="2026-04-08T13:06:50"/>
    <d v="2026-04-08T14:18:57"/>
    <n v="72.12"/>
    <n v="6.73"/>
    <n v="120"/>
    <s v="SLA Met"/>
    <m/>
    <n v="129600"/>
    <n v="129593.27"/>
    <n v="99.994807098765435"/>
    <n v="129527.88"/>
    <n v="99.944351851851849"/>
  </r>
  <r>
    <s v="Jubilant Foodworks Ltd (JFL)"/>
    <s v="Alert"/>
    <s v="Aneesh P S"/>
    <s v="PRO/INC/41652"/>
    <s v="switches went down"/>
    <s v="Meraki Managed Services"/>
    <s v="Software / Configuration"/>
    <s v="Bangalore"/>
    <s v="Q2QW-CTCG-QKDE"/>
    <x v="7"/>
    <s v="2F-R5"/>
    <s v="SW"/>
    <s v="2F-R5-SW1"/>
    <s v="MS250-48FP"/>
    <s v="switch-17-1-4"/>
    <m/>
    <s v="Core"/>
    <s v="Closed"/>
    <x v="0"/>
    <s v="power issue"/>
    <s v="Device Power issues"/>
    <d v="2026-04-08T13:03:16"/>
    <d v="2026-04-08T14:37:00"/>
    <n v="93.73"/>
    <d v="2026-04-08T13:03:17"/>
    <n v="0.02"/>
    <n v="30"/>
    <s v="SLA Met"/>
    <d v="2026-04-08T13:07:35"/>
    <d v="2026-04-08T14:27:04"/>
    <n v="79.48"/>
    <n v="14.25"/>
    <n v="120"/>
    <s v="SLA Met"/>
    <m/>
    <n v="129600"/>
    <n v="129585.75"/>
    <n v="99.989004629629633"/>
    <n v="129520.52"/>
    <n v="99.938672839506168"/>
  </r>
  <r>
    <s v="Jubilant Foodworks Ltd (JFL)"/>
    <s v="Alert"/>
    <s v="Dheerendra Maurya"/>
    <s v="PRO/INC/41653"/>
    <s v="switches went down"/>
    <s v="Meraki Managed Services"/>
    <s v="Software / Configuration"/>
    <s v="Bangalore"/>
    <s v="Q2QW-CTMF-ZXMF"/>
    <x v="8"/>
    <s v="2F-R5"/>
    <s v="SW"/>
    <s v="2F-R5-SW2"/>
    <s v="MS250-48FP"/>
    <s v="switch-17-2-2"/>
    <m/>
    <s v="Core"/>
    <s v="Closed"/>
    <x v="0"/>
    <s v="power issue"/>
    <s v="Switch went down due to power issue"/>
    <d v="2026-04-08T13:03:19"/>
    <d v="2026-04-08T14:22:00"/>
    <n v="78.680000000000007"/>
    <d v="2026-04-08T13:03:19"/>
    <n v="0"/>
    <n v="30"/>
    <s v="SLA Met"/>
    <d v="2026-04-08T13:08:28"/>
    <d v="2026-04-08T14:21:12"/>
    <n v="72.73"/>
    <n v="5.95"/>
    <n v="120"/>
    <s v="SLA Met"/>
    <m/>
    <n v="129600"/>
    <n v="129594.05"/>
    <n v="99.995408950617275"/>
    <n v="129527.27"/>
    <n v="99.943881172839511"/>
  </r>
  <r>
    <s v="Jubilant Foodworks Ltd (JFL)"/>
    <s v="Alert"/>
    <s v="Dheerendra Maurya"/>
    <s v="PRO/INC/41657"/>
    <s v="aps went down"/>
    <s v="Meraki Managed Services"/>
    <s v="Software / Configuration"/>
    <s v="Bangalore"/>
    <s v="Q3AC-JN66-PSGV"/>
    <x v="9"/>
    <s v="NA"/>
    <s v="AP"/>
    <s v="2F-AP04-R4-SW3-24P"/>
    <s v="MR46"/>
    <s v="wireless-31-1-8"/>
    <m/>
    <s v="Non-Core"/>
    <s v="Closed"/>
    <x v="0"/>
    <s v="power issue"/>
    <s v="AP went down due to power issue"/>
    <d v="2026-04-08T15:22:03"/>
    <d v="2026-04-08T16:46:00"/>
    <n v="83.95"/>
    <d v="2026-04-08T15:22:04"/>
    <n v="0.02"/>
    <n v="30"/>
    <s v="SLA Met"/>
    <d v="2026-04-08T15:25:37"/>
    <d v="2026-04-08T16:44:54"/>
    <n v="79.28"/>
    <n v="4.67"/>
    <n v="120"/>
    <s v="SLA Met"/>
    <m/>
    <n v="129600"/>
    <n v="129595.33"/>
    <n v="99.996396604938269"/>
    <n v="129520.72"/>
    <n v="99.93882716049383"/>
  </r>
  <r>
    <s v="Jubilant Foodworks Ltd (JFL)"/>
    <s v="Alert"/>
    <s v="Dheerendra Maurya"/>
    <s v="PRO/INC/41658"/>
    <s v="aps went down"/>
    <s v="Meraki Managed Services"/>
    <s v="Software / Configuration"/>
    <s v="Bangalore"/>
    <s v="Q3AC-9EFV-95CH"/>
    <x v="4"/>
    <s v="NA"/>
    <s v="AP"/>
    <s v="2F-AP20-R4-SW2-45P"/>
    <s v="MR46"/>
    <s v="wireless-31-1-8"/>
    <m/>
    <s v="Non-Core"/>
    <s v="Closed"/>
    <x v="0"/>
    <s v="power issue"/>
    <s v="AP went down due to power issue"/>
    <d v="2026-04-08T15:22:04"/>
    <d v="2026-04-08T16:40:00"/>
    <n v="77.930000000000007"/>
    <d v="2026-04-08T15:22:04"/>
    <n v="0"/>
    <n v="30"/>
    <s v="SLA Met"/>
    <d v="2026-04-08T15:28:53"/>
    <d v="2026-04-08T16:37:37"/>
    <n v="68.73"/>
    <n v="9.1999999999999993"/>
    <n v="120"/>
    <s v="SLA Met"/>
    <m/>
    <n v="129600"/>
    <n v="129590.8"/>
    <n v="99.992901234567896"/>
    <n v="129531.27"/>
    <n v="99.9469675925926"/>
  </r>
  <r>
    <s v="Jubilant Foodworks Ltd (JFL)"/>
    <s v="Alert"/>
    <s v="Dheerendra Maurya"/>
    <s v="PRO/INC/41659"/>
    <s v="switches went down"/>
    <s v="Meraki Managed Services"/>
    <s v="Software / Configuration"/>
    <s v="Bangalore"/>
    <s v="Q2QW-ARKH-HCRT"/>
    <x v="10"/>
    <s v="2F-R4"/>
    <s v="SW"/>
    <s v="2F-R4-SW2"/>
    <s v="MS250-48FP"/>
    <s v="switch-17-1-4"/>
    <m/>
    <s v="Core"/>
    <s v="Closed"/>
    <x v="0"/>
    <s v="power issue"/>
    <s v="Switch went down due to power issue"/>
    <d v="2026-04-08T15:23:56"/>
    <d v="2026-04-08T16:31:00"/>
    <n v="67.069999999999993"/>
    <d v="2026-04-08T15:23:57"/>
    <n v="0.02"/>
    <n v="30"/>
    <s v="SLA Met"/>
    <d v="2026-04-08T15:26:41"/>
    <d v="2026-04-08T16:24:57"/>
    <n v="58.27"/>
    <n v="8.8000000000000007"/>
    <n v="120"/>
    <s v="SLA Met"/>
    <m/>
    <n v="129600"/>
    <n v="129591.2"/>
    <n v="99.993209876543204"/>
    <n v="129541.73"/>
    <n v="99.955038580246907"/>
  </r>
  <r>
    <s v="Jubilant Foodworks Ltd (JFL)"/>
    <s v="Alert"/>
    <s v="Dheerendra Maurya"/>
    <s v="PRO/INC/41660"/>
    <s v="aps went down"/>
    <s v="Meraki Managed Services"/>
    <s v="Software / Configuration"/>
    <s v="Bangalore"/>
    <s v="Q3AC-PGZ6-YM5F"/>
    <x v="6"/>
    <s v="NA"/>
    <s v="AP"/>
    <s v="2F-AP12-R5-SW2-4P"/>
    <s v="MR46"/>
    <s v="wireless-31-1-8"/>
    <m/>
    <s v="Non-Core"/>
    <s v="Closed"/>
    <x v="0"/>
    <s v="power issue"/>
    <s v="AP went down due to power issue"/>
    <d v="2026-04-08T16:03:19"/>
    <d v="2026-04-08T17:06:00"/>
    <n v="62.68"/>
    <d v="2026-04-08T16:03:20"/>
    <n v="0.02"/>
    <n v="30"/>
    <s v="SLA Met"/>
    <d v="2026-04-08T16:17:00"/>
    <d v="2026-04-08T17:04:10"/>
    <n v="47.17"/>
    <n v="15.52"/>
    <n v="120"/>
    <s v="SLA Met"/>
    <m/>
    <n v="129600"/>
    <n v="129584.48"/>
    <n v="99.988024691358021"/>
    <n v="129552.83"/>
    <n v="99.963603395061725"/>
  </r>
  <r>
    <s v="Jubilant Foodworks Ltd (JFL)"/>
    <s v="Alert"/>
    <s v="Dheerendra Maurya"/>
    <s v="PRO/INC/41661"/>
    <s v="aps went down"/>
    <s v="Meraki Managed Services"/>
    <s v="Software / Configuration"/>
    <s v="Bangalore"/>
    <s v="Q3AC-C4P4-JNC9"/>
    <x v="5"/>
    <s v="NA"/>
    <s v="AP"/>
    <s v="2F-AP18-R4-SW2-8P"/>
    <s v="MR46"/>
    <s v="wireless-31-1-8"/>
    <m/>
    <s v="Non-Core"/>
    <s v="Closed"/>
    <x v="0"/>
    <s v="power issue"/>
    <s v="AP went down due to power issue"/>
    <d v="2026-04-08T16:03:19"/>
    <d v="2026-04-08T17:04:00"/>
    <n v="60.68"/>
    <d v="2026-04-08T16:03:20"/>
    <n v="0.02"/>
    <n v="30"/>
    <s v="SLA Met"/>
    <d v="2026-04-08T16:17:54"/>
    <d v="2026-04-08T17:02:54"/>
    <n v="45"/>
    <n v="15.68"/>
    <n v="120"/>
    <s v="SLA Met"/>
    <m/>
    <n v="129600"/>
    <n v="129584.32000000001"/>
    <n v="99.987901234567914"/>
    <n v="129555"/>
    <n v="99.965277777777771"/>
  </r>
  <r>
    <s v="Jubilant Foodworks Ltd (JFL)"/>
    <s v="Alert"/>
    <s v="Abhishek Satish Pawar"/>
    <s v="PRO/INC/41715"/>
    <s v="new dhcp server detected"/>
    <s v="Meraki Managed Services"/>
    <s v="Software / Configuration"/>
    <s v="Nagpur"/>
    <s v="Q5JJ-68KZ-MXAS"/>
    <x v="3"/>
    <s v="RACK 1"/>
    <s v="SW"/>
    <s v="JFL-NAG-SSC-SW01"/>
    <s v="C9300L-48P-4X"/>
    <s v="cs-17-2-2"/>
    <m/>
    <s v="Non-Core"/>
    <s v="Closed"/>
    <x v="3"/>
    <s v="Third Party Device issue"/>
    <s v="issue resolved"/>
    <d v="2026-04-10T16:45:36"/>
    <d v="2026-04-13T12:10:00"/>
    <n v="4044.4"/>
    <d v="2026-04-10T16:45:37"/>
    <n v="0.02"/>
    <n v="30"/>
    <s v="SLA Met"/>
    <d v="2026-04-10T16:48:45"/>
    <d v="2026-04-13T12:04:00"/>
    <n v="4035.25"/>
    <n v="9.15"/>
    <n v="120"/>
    <s v="SLA Met"/>
    <m/>
    <n v="129600"/>
    <n v="129590.85"/>
    <n v="99.992939814814818"/>
    <n v="125564.75"/>
    <n v="96.886381172839506"/>
  </r>
  <r>
    <s v="Jubilant Foodworks Ltd (JFL)"/>
    <s v="Alert"/>
    <s v="Shresth Kushwaha"/>
    <s v="PRO/INC/41803"/>
    <s v="Alert for JFL-MOHALI-SCC - Devices operating at critical temperature"/>
    <s v="Meraki Managed Services"/>
    <s v="Software / Configuration"/>
    <s v="Mohali"/>
    <s v="6c:7f:0c:c7:d8:02"/>
    <x v="11"/>
    <s v="TRANSPORT ROOM"/>
    <s v="SW"/>
    <s v="JFL-MOHALI-ACC-SW-01(Transport Room)"/>
    <s v="MS130-12X"/>
    <s v="switch-17-2-1"/>
    <m/>
    <s v="Non-Core"/>
    <s v="Closed"/>
    <x v="4"/>
    <s v="I have already informed the customer and am waiting for the customer's response."/>
    <s v="As confirmed with the client, the AC was not powered on due to holiday."/>
    <d v="2026-04-12T14:35:56"/>
    <d v="2026-04-16T12:42:00"/>
    <n v="5646.07"/>
    <d v="2026-04-12T14:35:56"/>
    <n v="0"/>
    <n v="30"/>
    <s v="SLA Met"/>
    <d v="2026-04-12T14:39:43"/>
    <d v="2026-04-16T12:36:25"/>
    <n v="5636.7"/>
    <n v="9.3699999999999992"/>
    <n v="120"/>
    <s v="SLA Met"/>
    <m/>
    <n v="129600"/>
    <n v="129590.63"/>
    <n v="99.992770061728393"/>
    <n v="123963.3"/>
    <n v="95.650694444444454"/>
  </r>
  <r>
    <s v="Jubilant Foodworks Ltd (JFL)"/>
    <s v="Alert"/>
    <s v="Kartik Choudhary"/>
    <s v="PRO/INC/41933"/>
    <s v="aps went down"/>
    <s v="Meraki Managed Services"/>
    <s v="Software / Configuration"/>
    <s v="Bangalore"/>
    <s v="Q3AC-YHHC-Q634"/>
    <x v="12"/>
    <s v="NA"/>
    <s v="AP"/>
    <s v="SEC-CAB-GF-AP02-R01-SW01-04P"/>
    <s v="MR46"/>
    <s v="wireless-31-1-8"/>
    <m/>
    <s v="Non-Core"/>
    <s v="Closed"/>
    <x v="0"/>
    <s v="As discussed with Mr. Uday, there is a power issue, and their team is currently working to resolve it."/>
    <s v="power issue"/>
    <d v="2026-04-13T16:50:51"/>
    <d v="2026-04-13T18:23:00"/>
    <n v="92.15"/>
    <d v="2026-04-13T16:50:51"/>
    <n v="0"/>
    <n v="30"/>
    <s v="SLA Met"/>
    <d v="2026-04-13T16:56:46"/>
    <d v="2026-04-13T18:20:57"/>
    <n v="84.18"/>
    <n v="7.97"/>
    <n v="120"/>
    <s v="SLA Met"/>
    <m/>
    <n v="129600"/>
    <n v="129592.03"/>
    <n v="99.993850308641967"/>
    <n v="129515.82"/>
    <n v="99.935046296296306"/>
  </r>
  <r>
    <s v="Jubilant Foodworks Ltd (JFL)"/>
    <s v="Alert"/>
    <s v="Kartik Choudhary"/>
    <s v="PRO/INC/41932"/>
    <s v="aps went down"/>
    <s v="Meraki Managed Services"/>
    <s v="Software / Configuration"/>
    <s v="Bangalore"/>
    <s v="Q3AC-DTQ8-WQMM"/>
    <x v="13"/>
    <s v="NA"/>
    <s v="AP"/>
    <s v="SEC-CAB-GF-AP03-R01-SW01-06P"/>
    <s v="MR46"/>
    <s v="wireless-31-1-8"/>
    <m/>
    <s v="Non-Core"/>
    <s v="Closed"/>
    <x v="0"/>
    <s v="As discussed with Mr. Uday, there is a power issue, and their team is currently working to resolve it."/>
    <s v="power issue"/>
    <d v="2026-04-13T16:50:51"/>
    <d v="2026-04-13T18:22:00"/>
    <n v="91.15"/>
    <d v="2026-04-13T16:50:52"/>
    <n v="0.02"/>
    <n v="30"/>
    <s v="SLA Met"/>
    <d v="2026-04-13T16:57:02"/>
    <d v="2026-04-13T18:20:06"/>
    <n v="83.07"/>
    <n v="8.08"/>
    <n v="120"/>
    <s v="SLA Met"/>
    <m/>
    <n v="129600"/>
    <n v="129591.92"/>
    <n v="99.993765432098769"/>
    <n v="129516.93"/>
    <n v="99.93590277777777"/>
  </r>
  <r>
    <s v="Jubilant Foodworks Ltd (JFL)"/>
    <s v="Alert"/>
    <s v="Kartik Choudhary"/>
    <s v="PRO/INC/41934"/>
    <s v="switches went down"/>
    <s v="Meraki Managed Services"/>
    <s v="Software / Configuration"/>
    <s v="Bangalore"/>
    <s v="Q2QW-FCJL-LJS8"/>
    <x v="14"/>
    <s v="SEC-CAB"/>
    <s v="SW"/>
    <s v="SEC-CAB-SW1"/>
    <s v="MS250-48FP"/>
    <s v="switch-17-2-2"/>
    <m/>
    <s v="Core"/>
    <s v="Closed"/>
    <x v="0"/>
    <s v="As discussed with Mr. Uday there is Power issue and their team is working on to fix it."/>
    <s v="power issue"/>
    <d v="2026-04-13T16:52:46"/>
    <d v="2026-04-13T18:24:00"/>
    <n v="91.23"/>
    <d v="2026-04-13T16:52:46"/>
    <n v="0"/>
    <n v="30"/>
    <s v="SLA Met"/>
    <d v="2026-04-13T16:55:28"/>
    <d v="2026-04-13T18:21:59"/>
    <n v="86.52"/>
    <n v="4.72"/>
    <n v="120"/>
    <s v="SLA Met"/>
    <m/>
    <n v="129600"/>
    <n v="129595.28"/>
    <n v="99.996358024691361"/>
    <n v="129513.48"/>
    <n v="99.933240740740743"/>
  </r>
  <r>
    <s v="Jubilant Foodworks Ltd (JFL)"/>
    <s v="Alert"/>
    <s v="Kartik Choudhary"/>
    <s v="PRO/INC/41935"/>
    <s v="switches went down"/>
    <s v="Meraki Managed Services"/>
    <s v="Software / Configuration"/>
    <s v="Bangalore"/>
    <s v="Q2QW-FCH3-EMVG"/>
    <x v="15"/>
    <s v="SEC-CAB"/>
    <s v="SW"/>
    <s v="SEC-CAB-SW2"/>
    <s v="MS250-48FP"/>
    <s v="switch-17-2-2"/>
    <m/>
    <s v="Core"/>
    <s v="Closed"/>
    <x v="0"/>
    <s v="As discussed with Mr. Uday, there is a power issue, and their team is currently working to resolve it."/>
    <s v="power issue"/>
    <d v="2026-04-13T16:52:56"/>
    <d v="2026-04-13T18:25:00"/>
    <n v="92.07"/>
    <d v="2026-04-13T16:52:57"/>
    <n v="0.02"/>
    <n v="30"/>
    <s v="SLA Met"/>
    <d v="2026-04-13T16:56:29"/>
    <d v="2026-04-13T18:22:56"/>
    <n v="86.45"/>
    <n v="5.62"/>
    <n v="120"/>
    <s v="SLA Met"/>
    <m/>
    <n v="129600"/>
    <n v="129594.38"/>
    <n v="99.995663580246912"/>
    <n v="129513.55"/>
    <n v="99.933294753086415"/>
  </r>
  <r>
    <s v="Jubilant Foodworks Ltd (JFL)"/>
    <s v="Alert"/>
    <s v="Shresth Kushwaha"/>
    <s v="PRO/INC/41992"/>
    <s v="switches went down"/>
    <s v="Meraki Managed Services"/>
    <s v="Software / Configuration"/>
    <s v="Bangalore"/>
    <s v="Q2QW-BAYV-J6K5"/>
    <x v="16"/>
    <s v="2F-R4"/>
    <s v="SW"/>
    <s v="2F-R4-SW3"/>
    <s v="MS250-48FP"/>
    <s v="switch-17-1-4"/>
    <m/>
    <s v="Core"/>
    <s v="Closed"/>
    <x v="0"/>
    <s v="power issue"/>
    <s v="power issue"/>
    <d v="2026-04-16T07:40:02"/>
    <d v="2026-04-16T12:47:00"/>
    <n v="306.97000000000003"/>
    <d v="2026-04-16T07:40:02"/>
    <n v="0"/>
    <n v="30"/>
    <s v="SLA Met"/>
    <d v="2026-04-16T07:48:02"/>
    <d v="2026-04-16T12:45:44"/>
    <n v="297.7"/>
    <n v="9.27"/>
    <n v="120"/>
    <s v="SLA Met"/>
    <m/>
    <n v="129600"/>
    <n v="129590.73"/>
    <n v="99.99284722222221"/>
    <n v="129302.3"/>
    <n v="99.770293209876542"/>
  </r>
  <r>
    <s v="Jubilant Foodworks Ltd (JFL)"/>
    <s v="Alert"/>
    <s v="Shresth Kushwaha"/>
    <s v="PRO/INC/41993"/>
    <s v="switches went down"/>
    <s v="Meraki Managed Services"/>
    <s v="Software / Configuration"/>
    <s v="Bangalore"/>
    <s v="Q2QW-EXXK-QDZ3"/>
    <x v="17"/>
    <s v="GF-UTILITY"/>
    <s v="SW"/>
    <s v="GF-UTILITY-SW1"/>
    <s v="MS250-48FP"/>
    <s v="switch-17-2-2"/>
    <m/>
    <s v="Core"/>
    <s v="Closed"/>
    <x v="0"/>
    <s v="power issue"/>
    <s v="power issue"/>
    <d v="2026-04-16T07:40:19"/>
    <d v="2026-04-16T12:48:00"/>
    <n v="307.68"/>
    <d v="2026-04-16T07:40:19"/>
    <n v="0"/>
    <n v="30"/>
    <s v="SLA Met"/>
    <d v="2026-04-16T07:47:36"/>
    <d v="2026-04-16T12:46:45"/>
    <n v="299.14999999999998"/>
    <n v="8.5299999999999994"/>
    <n v="120"/>
    <s v="SLA Met"/>
    <m/>
    <n v="129600"/>
    <n v="129591.47"/>
    <n v="99.993418209876538"/>
    <n v="129300.85"/>
    <n v="99.769174382716059"/>
  </r>
  <r>
    <s v="Jubilant Foodworks Ltd (JFL)"/>
    <s v="Alert"/>
    <s v="Dharmendra Bhadoriya"/>
    <s v="PRO/INC/42152"/>
    <s v="Camera not Working -GF-UTILITY-SW1-28-jfl bngl"/>
    <s v="Meraki Managed Services"/>
    <s v="Software / Configuration"/>
    <s v="Bangalore"/>
    <s v="Q2QW-EXXK-QDZ3"/>
    <x v="17"/>
    <s v="GF-UTILITY"/>
    <s v="SW"/>
    <s v="GF-UTILITY-SW1"/>
    <s v="MS250-48FP"/>
    <s v="switch-17-2-2"/>
    <m/>
    <s v="P3"/>
    <s v="Closed"/>
    <x v="2"/>
    <s v="Cable issue/RJ45 connector"/>
    <s v="client side activity"/>
    <d v="2026-04-18T16:24:21"/>
    <d v="2026-06-02T09:27:00"/>
    <n v="64382.65"/>
    <d v="2026-04-18T16:24:21"/>
    <n v="0"/>
    <n v="30"/>
    <s v="SLA Met"/>
    <d v="2026-04-18T16:25:37"/>
    <d v="2026-06-02T09:24:21"/>
    <n v="64378.73"/>
    <n v="3.92"/>
    <n v="1440"/>
    <s v="SLA Met"/>
    <m/>
    <n v="129600"/>
    <n v="129596.08"/>
    <n v="99.996975308641979"/>
    <n v="65221.27"/>
    <n v="50.325054012345674"/>
  </r>
  <r>
    <s v="Jubilant Foodworks Ltd (JFL)"/>
    <s v="Alert"/>
    <s v="Kartik Choudhary"/>
    <s v="PRO/INC/42155"/>
    <s v="aps went down"/>
    <s v="Meraki Managed Services"/>
    <s v="Software / Configuration"/>
    <s v="Greater Noida"/>
    <s v="Q3KG-CFHX-4TRU"/>
    <x v="18"/>
    <s v="NA"/>
    <s v="AP"/>
    <s v="JFL-GNSC-AP49"/>
    <s v="MR86"/>
    <s v="wireless-31-1-7"/>
    <m/>
    <s v="Non-Core"/>
    <s v="Closed"/>
    <x v="0"/>
    <s v="power issue"/>
    <s v="power issue"/>
    <d v="2026-04-18T17:06:57"/>
    <d v="2026-04-18T20:21:00"/>
    <n v="194.05"/>
    <d v="2026-04-18T17:06:57"/>
    <n v="0"/>
    <n v="30"/>
    <s v="SLA Met"/>
    <d v="2026-04-18T17:13:12"/>
    <d v="2026-04-18T20:19:19"/>
    <n v="186.12"/>
    <n v="7.93"/>
    <n v="120"/>
    <s v="SLA Met"/>
    <m/>
    <n v="129600"/>
    <n v="129592.07"/>
    <n v="99.993881172839522"/>
    <n v="129413.88"/>
    <n v="99.856388888888887"/>
  </r>
  <r>
    <s v="Jubilant Foodworks Ltd (JFL)"/>
    <s v="Alert"/>
    <s v="Kartik Choudhary"/>
    <s v="PRO/INC/42157"/>
    <s v="aps went down"/>
    <s v="Meraki Managed Services"/>
    <s v="Software / Configuration"/>
    <s v="Greater Noida"/>
    <s v="Q5AA-J9A9-ZJ2B"/>
    <x v="19"/>
    <s v="NA"/>
    <s v="AP"/>
    <s v="JFL-GNSC-AP30"/>
    <s v="CW9162I"/>
    <s v="wireless-31-1-7"/>
    <m/>
    <s v="Non-Core"/>
    <s v="Closed"/>
    <x v="0"/>
    <s v="power issue"/>
    <s v="power issue"/>
    <d v="2026-04-18T17:07:06"/>
    <d v="2026-04-18T20:22:00"/>
    <n v="194.9"/>
    <d v="2026-04-18T17:07:06"/>
    <n v="0"/>
    <n v="30"/>
    <s v="SLA Met"/>
    <d v="2026-04-18T17:14:32"/>
    <d v="2026-04-18T20:20:04"/>
    <n v="185.53"/>
    <n v="9.3699999999999992"/>
    <n v="120"/>
    <s v="SLA Met"/>
    <m/>
    <n v="129600"/>
    <n v="129590.63"/>
    <n v="99.992770061728393"/>
    <n v="129414.47"/>
    <n v="99.856844135802476"/>
  </r>
  <r>
    <s v="Jubilant Foodworks Ltd (JFL)"/>
    <s v="Alert"/>
    <s v="Rohit Mourya"/>
    <s v="PRO/INC/42631"/>
    <s v="aps went down"/>
    <s v="Meraki Managed Services"/>
    <s v="Software / Configuration"/>
    <s v="Guwahati"/>
    <s v="Q3KG-ZJZJ-WWH5"/>
    <x v="20"/>
    <s v="NA"/>
    <s v="AP"/>
    <s v="JFL-Guwahati-SSC-AP-02"/>
    <s v="MR86"/>
    <s v="MR 32.1.7"/>
    <m/>
    <s v="Non-Core"/>
    <s v="Closed"/>
    <x v="0"/>
    <s v="power issue"/>
    <s v="power issue"/>
    <d v="2026-04-20T00:26:57"/>
    <d v="2026-04-20T08:39:00"/>
    <n v="492.05"/>
    <d v="2026-04-20T00:26:57"/>
    <n v="0"/>
    <n v="30"/>
    <s v="SLA Met"/>
    <d v="2026-04-20T00:29:19"/>
    <d v="2026-04-20T08:37:54"/>
    <n v="488.58"/>
    <n v="3.47"/>
    <n v="120"/>
    <s v="SLA Met"/>
    <m/>
    <n v="129600"/>
    <n v="129596.53"/>
    <n v="99.997322530864196"/>
    <n v="129111.42"/>
    <n v="99.623009259259248"/>
  </r>
  <r>
    <s v="Jubilant Foodworks Ltd (JFL)"/>
    <s v="Alert"/>
    <s v="Rohit Mourya"/>
    <s v="PRO/INC/42633"/>
    <s v="switches went down"/>
    <s v="Meraki Managed Services"/>
    <s v="Software / Configuration"/>
    <s v="Guwahati"/>
    <s v="Q5JG-ECTW-5MN7"/>
    <x v="21"/>
    <s v="CORE"/>
    <s v="SW"/>
    <s v="JFL-Guwahati-CORE-01"/>
    <s v="C9300L-24P-4X"/>
    <s v="IOS XE 17.15.5"/>
    <m/>
    <s v="Core"/>
    <s v="Closed"/>
    <x v="0"/>
    <s v="power issue"/>
    <s v="power issue"/>
    <d v="2026-04-20T00:27:06"/>
    <d v="2026-04-20T08:40:00"/>
    <n v="492.9"/>
    <d v="2026-04-20T00:27:06"/>
    <n v="0"/>
    <n v="30"/>
    <s v="SLA Met"/>
    <d v="2026-04-20T00:29:58"/>
    <d v="2026-04-20T08:38:44"/>
    <n v="488.77"/>
    <n v="4.13"/>
    <n v="120"/>
    <s v="SLA Met"/>
    <m/>
    <n v="129600"/>
    <n v="129595.87"/>
    <n v="99.996813271604935"/>
    <n v="129111.23"/>
    <n v="99.622862654320983"/>
  </r>
  <r>
    <s v="Jubilant Foodworks Ltd (JFL)"/>
    <s v="Alert"/>
    <s v="Rohit Mourya"/>
    <s v="PRO/INC/42634"/>
    <s v="aps went down"/>
    <s v="Meraki Managed Services"/>
    <s v="Software / Configuration"/>
    <s v="Guwahati"/>
    <s v="Q5AA-RM28-C2R8"/>
    <x v="2"/>
    <s v="NA"/>
    <s v="AP"/>
    <s v="JFL-Guwahati-SSC-AP-03"/>
    <s v="CW9162I"/>
    <s v="MR 32.1.7"/>
    <m/>
    <s v="Non-Core"/>
    <s v="Closed"/>
    <x v="0"/>
    <s v="power issue"/>
    <s v="power issue"/>
    <d v="2026-04-20T00:27:06"/>
    <d v="2026-04-20T08:40:47"/>
    <n v="493.68"/>
    <d v="2026-04-20T00:27:06"/>
    <n v="0"/>
    <n v="30"/>
    <s v="SLA Met"/>
    <d v="2026-04-20T00:30:43"/>
    <d v="2026-04-20T08:39:37"/>
    <n v="488.9"/>
    <n v="4.78"/>
    <n v="120"/>
    <s v="SLA Met"/>
    <m/>
    <n v="129600"/>
    <n v="129595.22"/>
    <n v="99.996311728395057"/>
    <n v="129111.1"/>
    <n v="99.622762345679021"/>
  </r>
  <r>
    <s v="Jubilant Foodworks Ltd (JFL)"/>
    <s v="Alert"/>
    <s v="Dharmendra Bhadoriya"/>
    <s v="PRO/INC/42933"/>
    <s v="switches went down"/>
    <s v="Meraki Managed Services"/>
    <s v="Software / Configuration"/>
    <s v="Greater Noida"/>
    <s v="Q5TN-DGC5-M8QZ"/>
    <x v="22"/>
    <s v="CORE"/>
    <s v="SW"/>
    <s v="JFL-GNSC-CORE-SW-ST-01 [2]"/>
    <s v="C9300X-24Y"/>
    <s v="ios-xe-17-15-4"/>
    <m/>
    <s v="Core"/>
    <s v="Closed"/>
    <x v="0"/>
    <s v="power issue"/>
    <s v="After Restore issue has been resolved"/>
    <d v="2026-04-24T02:31:53"/>
    <d v="2026-04-26T07:46:00"/>
    <n v="3194.12"/>
    <d v="2026-04-24T02:31:54"/>
    <n v="0.02"/>
    <n v="30"/>
    <s v="SLA Met"/>
    <d v="2026-04-24T02:33:16"/>
    <d v="2026-04-26T07:43:51"/>
    <n v="3190.58"/>
    <n v="3.53"/>
    <n v="120"/>
    <s v="SLA Met"/>
    <m/>
    <n v="129600"/>
    <n v="129596.47"/>
    <n v="99.997276234567906"/>
    <n v="126409.42"/>
    <n v="97.53813271604939"/>
  </r>
  <r>
    <s v="Jubilant Foodworks Ltd (JFL)"/>
    <s v="Alert"/>
    <s v="Dharmendra Bhadoriya"/>
    <s v="PRO/INC/43076"/>
    <s v="switches went down"/>
    <s v="Meraki Managed Services"/>
    <s v="Software / Configuration"/>
    <s v="Mohali"/>
    <s v="Q3LP-2PSJ-6DLB"/>
    <x v="11"/>
    <s v="TRANSPORT ROOM"/>
    <s v="SW"/>
    <s v="JFL-MOHALI-ACC-SW-01(Transport Room)"/>
    <s v="MS130-12X"/>
    <s v="switch-17-2-1"/>
    <m/>
    <s v="Core"/>
    <s v="Closed"/>
    <x v="0"/>
    <s v="power issue"/>
    <s v="After Restore issue has been resolved"/>
    <d v="2026-04-24T20:11:53"/>
    <d v="2026-04-26T07:40:00"/>
    <n v="2128.12"/>
    <d v="2026-04-24T20:11:54"/>
    <n v="0.02"/>
    <n v="30"/>
    <s v="SLA Met"/>
    <d v="2026-04-24T20:16:31"/>
    <d v="2026-04-26T07:37:51"/>
    <n v="2121.33"/>
    <n v="6.78"/>
    <n v="120"/>
    <s v="SLA Met"/>
    <m/>
    <n v="129600"/>
    <n v="129593.22"/>
    <n v="99.994768518518512"/>
    <n v="127478.67"/>
    <n v="98.363171296296287"/>
  </r>
  <r>
    <s v="Jubilant Foodworks Ltd (JFL)"/>
    <s v="Alert"/>
    <s v="John Ashis Roy"/>
    <s v="PRO/INC/43792"/>
    <s v="aps went down"/>
    <s v="Meraki Managed Services"/>
    <s v="Software / Configuration"/>
    <s v="Bangalore"/>
    <s v="Q5AE-KNH9-5GV8"/>
    <x v="23"/>
    <s v="NA"/>
    <s v="AP"/>
    <s v="GF-AP01-ETP-SW1-10P"/>
    <s v="CW9166I"/>
    <s v="wireless-31-1-8"/>
    <m/>
    <s v="P3"/>
    <s v="Closed"/>
    <x v="0"/>
    <s v="power issue"/>
    <s v="Resolved"/>
    <d v="2026-04-26T15:49:05"/>
    <d v="2026-04-29T12:00:00"/>
    <n v="4090.92"/>
    <d v="2026-04-26T15:49:06"/>
    <n v="0.02"/>
    <n v="30"/>
    <s v="SLA Met"/>
    <d v="2026-04-26T15:55:11"/>
    <d v="2026-04-29T12:03:39"/>
    <n v="4088.47"/>
    <n v="2.4500000000000002"/>
    <n v="1440"/>
    <s v="SLA Met"/>
    <m/>
    <n v="129600"/>
    <n v="129597.55"/>
    <n v="99.998109567901238"/>
    <n v="125511.53"/>
    <n v="96.845316358024689"/>
  </r>
  <r>
    <s v="Jubilant Foodworks Ltd (JFL)"/>
    <s v="Alert"/>
    <s v="John Ashis Roy"/>
    <s v="PRO/INC/43795"/>
    <s v="switches went down"/>
    <s v="Meraki Managed Services"/>
    <s v="Software / Configuration"/>
    <s v="Bangalore"/>
    <s v="Q2QW-CAJU-QVKD"/>
    <x v="1"/>
    <s v="GF-ETP"/>
    <s v="SW"/>
    <s v="GF-ETP-SW1"/>
    <s v="MS250-48FP"/>
    <s v="switch-17-1-4"/>
    <m/>
    <s v="Core"/>
    <s v="Closed"/>
    <x v="0"/>
    <s v="power issue"/>
    <s v="Resolved"/>
    <d v="2026-04-26T15:50:52"/>
    <d v="2026-04-29T12:00:00"/>
    <n v="4089.13"/>
    <d v="2026-04-26T15:50:53"/>
    <n v="0.02"/>
    <n v="30"/>
    <s v="SLA Met"/>
    <d v="2026-04-26T15:53:12"/>
    <d v="2026-04-29T12:05:12"/>
    <n v="4092"/>
    <n v="-2.87"/>
    <n v="120"/>
    <s v="SLA Met"/>
    <m/>
    <n v="129600"/>
    <n v="129602.87"/>
    <n v="100.00221450617283"/>
    <n v="125508"/>
    <n v="96.842592592592595"/>
  </r>
  <r>
    <s v="Jubilant Foodworks Ltd (JFL)"/>
    <s v="Alert"/>
    <s v="Dheerendra Maurya"/>
    <s v="PRO/INC/44364"/>
    <s v="Need to Enable VLan 100 -  SEC-CAB-SW1-Port 31"/>
    <s v="Meraki Managed Services"/>
    <s v="Change Request"/>
    <s v="Bangalore"/>
    <m/>
    <x v="14"/>
    <s v="SEC-CAB"/>
    <s v="SW"/>
    <s v="SEC-CAB-SW1"/>
    <s v="MS250-48FP"/>
    <s v="switch-17-2-2"/>
    <m/>
    <s v="P4"/>
    <s v="Closed"/>
    <x v="1"/>
    <m/>
    <s v="Enabled sec rack port 31 under vlan 100"/>
    <d v="2026-04-27T16:35:37"/>
    <d v="2026-04-27T16:57:00"/>
    <n v="21.38"/>
    <d v="2026-04-27T16:35:38"/>
    <n v="0.02"/>
    <n v="30"/>
    <s v="SLA Met"/>
    <m/>
    <m/>
    <n v="0"/>
    <n v="21.38"/>
    <n v="2880"/>
    <s v="SLA Met"/>
    <m/>
    <n v="129600"/>
    <n v="129578.62"/>
    <n v="99.983503086419745"/>
    <n v="129600"/>
    <n v="100"/>
  </r>
  <r>
    <s v="Jubilant Foodworks Ltd (JFL)"/>
    <s v="Alert"/>
    <s v="Shresth Kushwaha"/>
    <s v="PRO/INC/44366"/>
    <s v="Need to Enable VLan 100 -  SEC-CAB-SW2-Port 47"/>
    <s v="Meraki Managed Services"/>
    <s v="Change Request"/>
    <s v="Bangalore"/>
    <m/>
    <x v="15"/>
    <s v="SEC-CAB"/>
    <s v="SW"/>
    <s v="SEC-CAB-SW2"/>
    <s v="MS250-48FP"/>
    <s v="switch-17-2-2"/>
    <m/>
    <s v="P4"/>
    <s v="Closed"/>
    <x v="1"/>
    <m/>
    <s v="Enabled VLan 100 - SEC-CAB-SW2-Port 47"/>
    <d v="2026-04-27T16:47:22"/>
    <d v="2026-04-27T17:03:00"/>
    <n v="15.63"/>
    <d v="2026-04-27T16:47:23"/>
    <n v="0.02"/>
    <n v="30"/>
    <s v="SLA Met"/>
    <m/>
    <m/>
    <n v="0"/>
    <n v="15.63"/>
    <n v="2880"/>
    <s v="SLA Met"/>
    <m/>
    <n v="129600"/>
    <n v="129584.37"/>
    <n v="99.987939814814808"/>
    <n v="129600"/>
    <n v="100"/>
  </r>
  <r>
    <s v="Jubilant Foodworks Ltd (JFL)"/>
    <s v="Alert"/>
    <s v="Kartik Choudhary"/>
    <s v="PRO/INC/44555"/>
    <s v="aps went down"/>
    <s v="Meraki Managed Services"/>
    <s v="Software / Configuration"/>
    <s v="Greater Noida"/>
    <s v="Q5AA-J9A9-ZJ2B"/>
    <x v="19"/>
    <s v="NA"/>
    <s v="AP"/>
    <s v="JFL-GNSC-AP30"/>
    <s v="CW9162I"/>
    <s v="wireless-31-1-7"/>
    <m/>
    <s v="Non-Core"/>
    <s v="Closed"/>
    <x v="0"/>
    <m/>
    <s v="power issue"/>
    <d v="2026-04-30T12:57:26"/>
    <d v="2026-04-30T13:05:00"/>
    <n v="7.57"/>
    <d v="2026-04-30T12:57:27"/>
    <n v="0.02"/>
    <n v="30"/>
    <s v="SLA Met"/>
    <m/>
    <m/>
    <n v="0"/>
    <n v="7.57"/>
    <n v="120"/>
    <s v="SLA Met"/>
    <m/>
    <n v="129600"/>
    <n v="129592.43"/>
    <n v="99.994158950617276"/>
    <n v="129600"/>
    <n v="100"/>
  </r>
  <r>
    <s v="Jubilant Foodworks Ltd (JFL)"/>
    <s v="Alert"/>
    <s v="Kartik Choudhary"/>
    <s v="PRO/INC/44676"/>
    <s v="new dhcp server detected"/>
    <s v="Meraki Managed Services"/>
    <s v="Software / Configuration"/>
    <s v="Nagpur"/>
    <s v="Q5JJ-68KZ-MXAS"/>
    <x v="3"/>
    <s v="RACK 1"/>
    <s v="SW"/>
    <s v="JFL-NAG-SSC-SW01"/>
    <s v="C9300L-48P-4X"/>
    <s v="cs-17-2-2"/>
    <m/>
    <s v="Non-Core"/>
    <s v="Closed"/>
    <x v="3"/>
    <s v="Information has been shared with the customer. We are currently awaiting their response to proceed further."/>
    <s v="We have blocked the new DHCP server as per customer confirmation."/>
    <d v="2026-05-02T19:17:19"/>
    <d v="2026-05-02T20:02:00"/>
    <n v="44.68"/>
    <d v="2026-05-02T19:17:20"/>
    <n v="0.02"/>
    <n v="30"/>
    <s v="SLA Met"/>
    <d v="2026-05-02T19:22:39"/>
    <d v="2026-05-02T19:59:54"/>
    <n v="37.25"/>
    <n v="7.43"/>
    <n v="120"/>
    <s v="SLA Met"/>
    <m/>
    <n v="129600"/>
    <n v="129592.57"/>
    <n v="99.994266975308648"/>
    <n v="129562.75"/>
    <n v="99.971257716049379"/>
  </r>
  <r>
    <s v="Jubilant Foodworks Ltd (JFL)"/>
    <s v="Alert"/>
    <s v="Shresth Kushwaha"/>
    <s v="PRO/INC/44719"/>
    <s v="aps went down"/>
    <s v="Meraki Managed Services"/>
    <s v="Software / Configuration"/>
    <s v="Greater Noida"/>
    <s v="Q3KG-JH9T-FL7Z"/>
    <x v="24"/>
    <s v="NA"/>
    <s v="AP"/>
    <s v="JFL-GNSC-AP48"/>
    <s v="MR86"/>
    <s v="wireless-31-1-7"/>
    <m/>
    <s v="Non-Core"/>
    <s v="Closed"/>
    <x v="0"/>
    <s v="power issue"/>
    <s v="power issue"/>
    <d v="2026-05-04T02:11:12"/>
    <d v="2026-05-13T20:32:00"/>
    <n v="14060.8"/>
    <d v="2026-05-04T02:11:12"/>
    <n v="0"/>
    <n v="30"/>
    <s v="SLA Met"/>
    <d v="2026-05-04T02:14:04"/>
    <d v="2026-05-13T20:29:27"/>
    <n v="14055.38"/>
    <n v="5.42"/>
    <n v="120"/>
    <s v="SLA Met"/>
    <m/>
    <n v="129600"/>
    <n v="129594.58"/>
    <n v="99.995817901234574"/>
    <n v="115544.62"/>
    <n v="89.15479938271605"/>
  </r>
  <r>
    <s v="Jubilant Foodworks Ltd (JFL)"/>
    <s v="Alert"/>
    <s v="Shresth Kushwaha"/>
    <s v="PRO/INC/44727"/>
    <s v="aps went down"/>
    <s v="Meraki Managed Services"/>
    <s v="Software / Configuration"/>
    <s v="Greater Noida"/>
    <s v="Q3KG-JH9T-FL7Z"/>
    <x v="24"/>
    <s v="NA"/>
    <s v="AP"/>
    <s v="JFL-GNSC-AP48"/>
    <s v="MR86"/>
    <s v="wireless-31-1-7"/>
    <m/>
    <s v="Non-Core"/>
    <s v="Closed"/>
    <x v="0"/>
    <s v="power issue"/>
    <s v="power issue"/>
    <d v="2026-05-04T04:07:48"/>
    <d v="2026-05-13T20:34:00"/>
    <n v="13946.2"/>
    <d v="2026-05-04T04:07:48"/>
    <n v="0"/>
    <n v="30"/>
    <s v="SLA Met"/>
    <d v="2026-05-04T04:09:32"/>
    <d v="2026-05-13T20:30:27"/>
    <n v="13940.92"/>
    <n v="5.28"/>
    <n v="120"/>
    <s v="SLA Met"/>
    <m/>
    <n v="129600"/>
    <n v="129594.72"/>
    <n v="99.995925925925917"/>
    <n v="115659.08"/>
    <n v="89.243117283950625"/>
  </r>
  <r>
    <s v="Jubilant Foodworks Ltd (JFL)"/>
    <s v="Alert"/>
    <s v="Aneesh P S"/>
    <s v="PRO/INC/44814"/>
    <s v="aps went down"/>
    <s v="Meraki Managed Services"/>
    <s v="Software / Configuration"/>
    <s v="Bangalore"/>
    <s v="Q5AE-KNH9-5GV8"/>
    <x v="23"/>
    <s v="NA"/>
    <s v="AP"/>
    <s v="GF-AP01-ETP-SW1-10P"/>
    <s v="CW9166I"/>
    <s v="wireless-31-1-8"/>
    <m/>
    <s v="Non-Core"/>
    <s v="Closed"/>
    <x v="0"/>
    <s v="Device Power issues"/>
    <s v="Device Power issues"/>
    <d v="2026-05-05T11:33:56"/>
    <d v="2026-05-05T11:59:00"/>
    <n v="25.07"/>
    <d v="2026-05-05T11:33:57"/>
    <n v="0.02"/>
    <n v="30"/>
    <s v="SLA Met"/>
    <d v="2026-05-05T11:39:59"/>
    <d v="2026-05-05T11:56:15"/>
    <n v="16.27"/>
    <n v="8.8000000000000007"/>
    <n v="120"/>
    <s v="SLA Met"/>
    <m/>
    <n v="129600"/>
    <n v="129591.2"/>
    <n v="99.993209876543204"/>
    <n v="129583.73"/>
    <n v="99.987445987654326"/>
  </r>
  <r>
    <s v="Jubilant Foodworks Ltd (JFL)"/>
    <s v="Alert"/>
    <s v="Aneesh P S"/>
    <s v="PRO/INC/44815"/>
    <s v="switches went down"/>
    <s v="Meraki Managed Services"/>
    <s v="Software / Configuration"/>
    <s v="Bangalore"/>
    <s v="Q2QW-CAJU-QVKD"/>
    <x v="1"/>
    <s v="GF-ETP"/>
    <s v="SW"/>
    <s v="GF-ETP-SW1"/>
    <s v="MS250-48FP"/>
    <s v="switch-17-1-4"/>
    <m/>
    <s v="Core"/>
    <s v="Closed"/>
    <x v="0"/>
    <s v="Device Power issues"/>
    <s v="Device Power issues"/>
    <d v="2026-05-05T11:36:03"/>
    <d v="2026-05-05T11:58:00"/>
    <n v="21.95"/>
    <d v="2026-05-05T11:36:03"/>
    <n v="0"/>
    <n v="30"/>
    <s v="SLA Met"/>
    <d v="2026-05-05T11:39:22"/>
    <d v="2026-05-05T11:55:25"/>
    <n v="16.05"/>
    <n v="5.9"/>
    <n v="120"/>
    <s v="SLA Met"/>
    <m/>
    <n v="129600"/>
    <n v="129594.1"/>
    <n v="99.995447530864197"/>
    <n v="129583.95"/>
    <n v="99.987615740740736"/>
  </r>
  <r>
    <s v="Jubilant Foodworks Ltd (JFL)"/>
    <s v="Alert"/>
    <s v="Dheerendra Maurya"/>
    <s v="PRO/INC/44824"/>
    <s v="new dhcp server detected"/>
    <s v="Meraki Managed Services"/>
    <s v="Software / Configuration"/>
    <s v="Nagpur"/>
    <s v="Q5JJ-68KZ-MXAS"/>
    <x v="3"/>
    <s v="RACK 1"/>
    <s v="SW"/>
    <s v="JFL-NAG-SSC-SW01"/>
    <s v="C9300L-48P-4X"/>
    <s v="cs-17-2-2"/>
    <m/>
    <s v="Non-Core"/>
    <s v="Closed"/>
    <x v="3"/>
    <s v="DHCP New device detected"/>
    <s v="We have blocked Mac address.New dhcp server detected issue has been resolved. . now closed the case"/>
    <d v="2026-05-05T14:00:23"/>
    <d v="2026-05-05T19:42:00"/>
    <n v="341.62"/>
    <d v="2026-05-05T14:00:24"/>
    <n v="0.02"/>
    <n v="30"/>
    <s v="SLA Met"/>
    <d v="2026-05-05T14:27:24"/>
    <d v="2026-05-05T19:38:36"/>
    <n v="311.2"/>
    <n v="30.42"/>
    <n v="120"/>
    <s v="SLA Met"/>
    <m/>
    <n v="129600"/>
    <n v="129569.58"/>
    <n v="99.976527777777775"/>
    <n v="129288.8"/>
    <n v="99.759876543209884"/>
  </r>
  <r>
    <s v="Jubilant Foodworks Ltd (JFL)"/>
    <s v="Alert"/>
    <s v="Abhishek Satish Pawar"/>
    <s v="PRO/INC/44850"/>
    <s v="aps went down"/>
    <s v="Meraki Managed Services"/>
    <s v="Software / Configuration"/>
    <s v="Bangalore"/>
    <s v="Q3AC-Y2HS-V29M"/>
    <x v="25"/>
    <s v="NA"/>
    <s v="AP"/>
    <s v="1F-AP26-R5-SW02-34P"/>
    <s v="MR46"/>
    <s v="wireless-31-1-8"/>
    <m/>
    <s v="Non-Core"/>
    <s v="Closed"/>
    <x v="0"/>
    <s v="power issue"/>
    <s v="Resolved"/>
    <d v="2026-05-05T23:32:38"/>
    <d v="2026-05-14T12:05:00"/>
    <n v="12272.37"/>
    <d v="2026-05-05T23:32:39"/>
    <n v="0.02"/>
    <n v="30"/>
    <s v="SLA Met"/>
    <d v="2026-05-05T23:34:46"/>
    <d v="2026-05-14T12:01:30"/>
    <n v="12266.73"/>
    <n v="5.63"/>
    <n v="120"/>
    <s v="SLA Met"/>
    <m/>
    <n v="129600"/>
    <n v="129594.37"/>
    <n v="99.995655864197531"/>
    <n v="117333.27"/>
    <n v="90.534930555555562"/>
  </r>
  <r>
    <s v="Jubilant Foodworks Ltd (JFL)"/>
    <s v="Alert"/>
    <s v="Abhishek Satish Pawar"/>
    <s v="PRO/INC/44851"/>
    <s v="aps went down"/>
    <s v="Meraki Managed Services"/>
    <s v="Software / Configuration"/>
    <s v="Bangalore"/>
    <s v="Q3AC-RQJS-FY3M"/>
    <x v="26"/>
    <s v="NA"/>
    <s v="AP"/>
    <s v="1F-AP14-R04-SW02-11P"/>
    <s v="MR46"/>
    <s v="wireless-31-1-8"/>
    <m/>
    <s v="Non-Core"/>
    <s v="Closed"/>
    <x v="0"/>
    <s v="power issue"/>
    <s v="Resolved"/>
    <d v="2026-05-05T23:32:41"/>
    <d v="2026-05-14T12:05:00"/>
    <n v="12272.32"/>
    <d v="2026-05-05T23:32:41"/>
    <n v="0"/>
    <n v="30"/>
    <s v="SLA Met"/>
    <d v="2026-05-05T23:36:17"/>
    <d v="2026-05-14T12:03:06"/>
    <n v="12266.82"/>
    <n v="5.5"/>
    <n v="120"/>
    <s v="SLA Met"/>
    <m/>
    <n v="129600"/>
    <n v="129594.5"/>
    <n v="99.995756172839506"/>
    <n v="117333.18"/>
    <n v="90.534861111111113"/>
  </r>
  <r>
    <s v="Jubilant Foodworks Ltd (JFL)"/>
    <s v="Alert"/>
    <s v="Abhishek Satish Pawar"/>
    <s v="PRO/INC/44853"/>
    <s v="aps went down"/>
    <s v="Meraki Managed Services"/>
    <s v="Software / Configuration"/>
    <s v="Bangalore"/>
    <s v="Q3AC-DZAX-3FNP"/>
    <x v="27"/>
    <s v="NA"/>
    <s v="AP"/>
    <s v="1F-AP13-R04-SW02-13P"/>
    <s v="MR46"/>
    <s v="wireless-31-1-8"/>
    <m/>
    <s v="Non-Core"/>
    <s v="Closed"/>
    <x v="0"/>
    <s v="power issue"/>
    <s v="Resolved"/>
    <d v="2026-05-05T23:32:46"/>
    <d v="2026-05-14T12:07:00"/>
    <n v="12274.23"/>
    <d v="2026-05-05T23:32:47"/>
    <n v="0.02"/>
    <n v="30"/>
    <s v="SLA Met"/>
    <d v="2026-05-05T23:37:44"/>
    <d v="2026-05-14T12:05:14"/>
    <n v="12267.5"/>
    <n v="6.73"/>
    <n v="120"/>
    <s v="SLA Met"/>
    <m/>
    <n v="129600"/>
    <n v="129593.27"/>
    <n v="99.994807098765435"/>
    <n v="117332.5"/>
    <n v="90.534336419753075"/>
  </r>
  <r>
    <s v="Jubilant Foodworks Ltd (JFL)"/>
    <s v="Alert"/>
    <s v="Abhishek Satish Pawar"/>
    <s v="PRO/INC/44852"/>
    <s v="aps went down"/>
    <s v="Meraki Managed Services"/>
    <s v="Software / Configuration"/>
    <s v="Bangalore"/>
    <s v="Q3AC-E8LA-PVD4"/>
    <x v="28"/>
    <s v="NA"/>
    <s v="AP"/>
    <s v="1F-AP10-R05-SW02-44P"/>
    <s v="MR46"/>
    <s v="wireless-31-1-8"/>
    <m/>
    <s v="Non-Core"/>
    <s v="Closed"/>
    <x v="0"/>
    <s v="power issue"/>
    <s v="Resolved"/>
    <d v="2026-05-05T23:32:46"/>
    <d v="2026-05-14T12:08:00"/>
    <n v="12275.23"/>
    <d v="2026-05-05T23:32:46"/>
    <n v="0"/>
    <n v="30"/>
    <s v="SLA Met"/>
    <d v="2026-05-05T23:36:58"/>
    <d v="2026-05-14T12:06:32"/>
    <n v="12269.57"/>
    <n v="5.67"/>
    <n v="120"/>
    <s v="SLA Met"/>
    <m/>
    <n v="129600"/>
    <n v="129594.33"/>
    <n v="99.995625000000004"/>
    <n v="117330.43"/>
    <n v="90.532739197530859"/>
  </r>
  <r>
    <s v="Jubilant Foodworks Ltd (JFL)"/>
    <s v="Alert"/>
    <s v="Abhishek Satish Pawar"/>
    <s v="PRO/INC/44988"/>
    <s v="switches went down"/>
    <s v="Meraki Managed Services"/>
    <s v="Software / Configuration"/>
    <s v="Greater Noida"/>
    <s v="Q5TN-NF5F-N32X"/>
    <x v="29"/>
    <s v="CORE"/>
    <s v="SW"/>
    <s v="JFL-GNSC-CORE-SW-ST-01 [1]"/>
    <s v="C9300X-24Y"/>
    <s v="ios-xe-17-15-4"/>
    <m/>
    <s v="Core"/>
    <s v="Closed"/>
    <x v="0"/>
    <s v="power issue"/>
    <s v="After Restore issue has been resolved"/>
    <d v="2026-05-08T02:18:51"/>
    <d v="2026-05-11T08:30:00"/>
    <n v="4691.1499999999996"/>
    <d v="2026-05-08T02:18:52"/>
    <n v="0.02"/>
    <n v="30"/>
    <s v="SLA Met"/>
    <d v="2026-05-08T02:20:42"/>
    <d v="2026-05-11T08:27:53"/>
    <n v="4687.18"/>
    <n v="3.97"/>
    <n v="120"/>
    <s v="SLA Met"/>
    <m/>
    <n v="129600"/>
    <n v="129596.03"/>
    <n v="99.996936728395056"/>
    <n v="124912.82"/>
    <n v="96.383348765432103"/>
  </r>
  <r>
    <s v="Jubilant Foodworks Ltd (JFL)"/>
    <s v="Alert"/>
    <s v="Aneesh P S"/>
    <s v="PRO/INC/45099"/>
    <s v="aps went down"/>
    <s v="Meraki Managed Services"/>
    <s v="Software / Configuration"/>
    <s v="Mohali"/>
    <s v="Q5AR-A7VQ-MZJM"/>
    <x v="30"/>
    <s v="NA"/>
    <s v="AP"/>
    <s v="JFL-Mohali-SCC-AP13"/>
    <s v="CW9166I"/>
    <s v="wireless-31-1-7"/>
    <m/>
    <s v="Non-Core"/>
    <s v="Closed"/>
    <x v="0"/>
    <s v="power issue"/>
    <s v="Device Power issues"/>
    <d v="2026-05-10T10:30:38"/>
    <d v="2026-05-11T09:00:00"/>
    <n v="1349.37"/>
    <d v="2026-05-10T10:30:39"/>
    <n v="0.02"/>
    <n v="30"/>
    <s v="SLA Met"/>
    <d v="2026-05-10T10:40:30"/>
    <d v="2026-05-11T08:05:16"/>
    <n v="1284.77"/>
    <n v="64.599999999999994"/>
    <n v="120"/>
    <s v="SLA Met"/>
    <m/>
    <n v="129600"/>
    <n v="129535.4"/>
    <n v="99.95015432098765"/>
    <n v="128315.23"/>
    <n v="99.00866512345678"/>
  </r>
  <r>
    <s v="Jubilant Foodworks Ltd (JFL)"/>
    <s v="Alert"/>
    <s v="Aneesh P S"/>
    <s v="PRO/INC/45327"/>
    <s v="aps went down"/>
    <s v="Meraki Managed Services"/>
    <s v="Software / Configuration"/>
    <s v="Greater Noida"/>
    <s v="Q3KG-JH9T-FL7Z"/>
    <x v="24"/>
    <s v="NA"/>
    <s v="AP"/>
    <s v="JFL-GNSC-AP48"/>
    <s v="MR86"/>
    <s v="wireless-31-1-7"/>
    <m/>
    <s v="Non-Core"/>
    <s v="Closed"/>
    <x v="0"/>
    <s v="power issue"/>
    <s v="Device Power issues"/>
    <d v="2026-05-12T22:23:41"/>
    <d v="2026-05-13T00:24:00"/>
    <n v="120.32"/>
    <d v="2026-05-12T22:23:42"/>
    <n v="0.02"/>
    <n v="30"/>
    <s v="SLA Met"/>
    <d v="2026-05-12T22:28:44"/>
    <d v="2026-05-13T00:18:31"/>
    <n v="109.78"/>
    <n v="10.53"/>
    <n v="120"/>
    <s v="SLA Met"/>
    <m/>
    <n v="129600"/>
    <n v="129589.47"/>
    <n v="99.991874999999993"/>
    <n v="129490.22"/>
    <n v="99.915293209876538"/>
  </r>
  <r>
    <s v="Jubilant Foodworks Ltd (JFL)"/>
    <s v="Email"/>
    <s v="Kartik Choudhary"/>
    <s v="PRO/INC/45342"/>
    <s v="Request to Whitelist New MAC Address for Mohali SCC Desktop"/>
    <s v="Meraki Managed Services"/>
    <s v="Change Request"/>
    <s v="Mohali"/>
    <s v="Q5JJ-3TZH-2HV5"/>
    <x v="31"/>
    <s v="CORE"/>
    <s v="SW"/>
    <s v="JFL-MOHALI-CORE-01"/>
    <s v="C9300L-48P-4X"/>
    <s v="cs-17-2-1"/>
    <m/>
    <s v="P4"/>
    <s v="Closed"/>
    <x v="1"/>
    <m/>
    <s v="Required changes has been made successfully and same has been confirmed with customer."/>
    <d v="2026-05-13T14:06:33"/>
    <d v="2026-05-13T15:21:00"/>
    <n v="74.45"/>
    <d v="2026-05-13T14:06:32"/>
    <n v="0"/>
    <n v="30"/>
    <s v="SLA Met"/>
    <m/>
    <m/>
    <n v="0"/>
    <n v="74.45"/>
    <n v="2880"/>
    <s v="SLA Met"/>
    <m/>
    <n v="129600"/>
    <n v="129525.55"/>
    <n v="99.942554012345681"/>
    <n v="129600"/>
    <n v="100"/>
  </r>
  <r>
    <s v="Jubilant Foodworks Ltd (JFL)"/>
    <s v="Alert"/>
    <s v="Aneesh P S"/>
    <s v="PRO/INC/45359"/>
    <s v="aps went down"/>
    <s v="Meraki Managed Services"/>
    <s v="Software / Configuration"/>
    <s v="Greater Noida"/>
    <s v="Q3KG-Y2PU-4DWW"/>
    <x v="32"/>
    <s v="NA"/>
    <s v="AP"/>
    <s v="JFL-GNSC-AP55"/>
    <s v="MR86"/>
    <s v="wireless-31-1-7"/>
    <m/>
    <s v="Non-Core"/>
    <s v="Closed"/>
    <x v="0"/>
    <s v="Device Power issues"/>
    <s v="Device Power Issue"/>
    <d v="2026-05-14T06:33:58"/>
    <d v="2026-05-14T07:00:00"/>
    <n v="26.03"/>
    <d v="2026-05-14T06:33:59"/>
    <n v="0.02"/>
    <n v="30"/>
    <s v="SLA Met"/>
    <d v="2026-05-14T06:42:38"/>
    <d v="2026-05-14T06:44:06"/>
    <n v="1.47"/>
    <n v="24.57"/>
    <n v="120"/>
    <s v="SLA Met"/>
    <m/>
    <n v="129600"/>
    <n v="129575.43"/>
    <n v="99.981041666666655"/>
    <n v="129598.53"/>
    <n v="99.99886574074074"/>
  </r>
  <r>
    <s v="Jubilant Foodworks Ltd (JFL)"/>
    <s v="Alert"/>
    <s v="Dharmendra Bhadoriya"/>
    <s v="PRO/INC/45363"/>
    <s v="aps went down"/>
    <s v="Meraki Managed Services"/>
    <s v="Software / Configuration"/>
    <s v="Greater Noida"/>
    <s v="Q3KG-GWW5-CHJC"/>
    <x v="33"/>
    <s v="NA"/>
    <s v="AP"/>
    <s v="JFL-GNSC-AP52"/>
    <s v="MR86"/>
    <s v="wireless-31-1-7"/>
    <m/>
    <s v="Non-Core"/>
    <s v="Closed"/>
    <x v="0"/>
    <s v="power issue"/>
    <s v="After Restore issue has been resolved"/>
    <d v="2026-05-14T08:44:09"/>
    <d v="2026-05-26T10:55:00"/>
    <n v="17410.849999999999"/>
    <d v="2026-05-14T08:44:10"/>
    <n v="0.02"/>
    <n v="30"/>
    <s v="SLA Met"/>
    <d v="2026-05-14T08:50:17"/>
    <d v="2026-05-26T10:49:55"/>
    <n v="17399.63"/>
    <n v="11.22"/>
    <n v="120"/>
    <s v="SLA Met"/>
    <m/>
    <n v="129600"/>
    <n v="129588.78"/>
    <n v="99.991342592592588"/>
    <n v="112200.37"/>
    <n v="86.574359567901226"/>
  </r>
  <r>
    <s v="Jubilant Foodworks Ltd (JFL)"/>
    <s v="Alert"/>
    <s v="Arvind Kumar Arya"/>
    <s v="PRO/INC/45367"/>
    <s v="aps went down"/>
    <s v="Meraki Managed Services"/>
    <s v="Software / Configuration"/>
    <s v="Greater Noida"/>
    <s v="Q3KG-GWW5-CHJC"/>
    <x v="33"/>
    <s v="NA"/>
    <s v="AP"/>
    <s v="JFL-GNSC-AP52"/>
    <s v="MR86"/>
    <s v="wireless-31-1-7"/>
    <m/>
    <s v="Non-Core"/>
    <s v="Closed"/>
    <x v="0"/>
    <s v="ISP issue or Power issue"/>
    <s v="power issue"/>
    <d v="2026-05-14T09:25:34"/>
    <d v="2026-05-14T16:12:00"/>
    <n v="406.43"/>
    <d v="2026-05-14T09:25:34"/>
    <n v="0"/>
    <n v="30"/>
    <s v="SLA Met"/>
    <d v="2026-05-14T10:17:39"/>
    <d v="2026-05-14T16:11:05"/>
    <n v="353.43"/>
    <n v="53"/>
    <n v="120"/>
    <s v="SLA Met"/>
    <m/>
    <n v="129600"/>
    <n v="129547"/>
    <n v="99.959104938271608"/>
    <n v="129246.57"/>
    <n v="99.727291666666673"/>
  </r>
  <r>
    <s v="Jubilant Foodworks Ltd (JFL)"/>
    <s v="Alert"/>
    <s v="Dharmendra Bhadoriya"/>
    <s v="PRO/INC/45370"/>
    <s v="aps went down"/>
    <s v="Meraki Managed Services"/>
    <s v="Software / Configuration"/>
    <s v="Greater Noida"/>
    <s v="Q3KG-GWW5-CHJC"/>
    <x v="33"/>
    <s v="NA"/>
    <s v="AP"/>
    <s v="JFL-GNSC-AP52"/>
    <s v="MR86"/>
    <s v="wireless-31-1-7"/>
    <m/>
    <s v="Non-Core"/>
    <s v="Closed"/>
    <x v="0"/>
    <s v="power issue"/>
    <s v="After Restore issue has been resolved"/>
    <d v="2026-05-14T10:20:46"/>
    <d v="2026-05-26T10:57:00"/>
    <n v="17316.23"/>
    <d v="2026-05-14T10:20:47"/>
    <n v="0.02"/>
    <n v="30"/>
    <s v="SLA Met"/>
    <d v="2026-05-14T10:23:07"/>
    <d v="2026-05-26T10:52:29"/>
    <n v="17309.37"/>
    <n v="6.87"/>
    <n v="120"/>
    <s v="SLA Met"/>
    <m/>
    <n v="129600"/>
    <n v="129593.13"/>
    <n v="99.994699074074077"/>
    <n v="112290.63"/>
    <n v="86.644004629629634"/>
  </r>
  <r>
    <s v="Jubilant Foodworks Ltd (JFL)"/>
    <s v="Alert"/>
    <s v="Arvind Kumar Arya"/>
    <s v="PRO/INC/45373"/>
    <s v="aps went down"/>
    <s v="Meraki Managed Services"/>
    <s v="Software / Configuration"/>
    <s v="Greater Noida"/>
    <s v="Q3KG-XSEX-EG6A"/>
    <x v="34"/>
    <s v="NA"/>
    <s v="AP"/>
    <s v="JFL-GNSC-AP60"/>
    <s v="MR86"/>
    <s v="wireless-31-1-7"/>
    <m/>
    <s v="Non-Core"/>
    <s v="Closed"/>
    <x v="0"/>
    <s v="ISP issue or Power issue"/>
    <s v="power issue"/>
    <d v="2026-05-14T10:45:19"/>
    <d v="2026-05-14T16:16:00"/>
    <n v="330.68"/>
    <d v="2026-05-14T10:45:19"/>
    <n v="0"/>
    <n v="30"/>
    <s v="SLA Met"/>
    <d v="2026-05-14T11:07:56"/>
    <d v="2026-05-14T16:12:31"/>
    <n v="304.58"/>
    <n v="26.1"/>
    <n v="120"/>
    <s v="SLA Met"/>
    <m/>
    <n v="129600"/>
    <n v="129573.9"/>
    <n v="99.979861111111106"/>
    <n v="129295.42"/>
    <n v="99.764984567901237"/>
  </r>
  <r>
    <s v="Jubilant Foodworks Ltd (JFL)"/>
    <s v="Alert"/>
    <s v="Arvind Kumar Arya"/>
    <s v="PRO/INC/45379"/>
    <s v="aps went down"/>
    <s v="Meraki Managed Services"/>
    <s v="Software / Configuration"/>
    <s v="Greater Noida"/>
    <s v="Q3KG-8U94-FMUC"/>
    <x v="35"/>
    <s v="NA"/>
    <s v="AP"/>
    <s v="JFL-GNSC-AP56"/>
    <s v="MR86"/>
    <s v="wireless-31-1-7"/>
    <m/>
    <s v="Non-Core"/>
    <s v="Closed"/>
    <x v="0"/>
    <s v="ISP issue or Power issue"/>
    <s v="power issue"/>
    <d v="2026-05-14T10:52:20"/>
    <d v="2026-05-14T16:18:00"/>
    <n v="325.67"/>
    <d v="2026-05-14T10:52:20"/>
    <n v="0"/>
    <n v="30"/>
    <s v="SLA Met"/>
    <d v="2026-05-14T11:08:49"/>
    <d v="2026-05-14T16:17:11"/>
    <n v="308.37"/>
    <n v="17.3"/>
    <n v="120"/>
    <s v="SLA Met"/>
    <m/>
    <n v="129600"/>
    <n v="129582.7"/>
    <n v="99.986651234567901"/>
    <n v="129291.63"/>
    <n v="99.762060185185192"/>
  </r>
  <r>
    <s v="Jubilant Foodworks Ltd (JFL)"/>
    <s v="Alert"/>
    <s v="Arvind Kumar Arya"/>
    <s v="PRO/INC/45381"/>
    <s v="aps went down"/>
    <s v="Meraki Managed Services"/>
    <s v="Software / Configuration"/>
    <s v="Greater Noida"/>
    <s v="Q3KG-Y2PU-4DWW"/>
    <x v="32"/>
    <s v="NA"/>
    <s v="AP"/>
    <s v="JFL-GNSC-AP55"/>
    <s v="MR86"/>
    <s v="wireless-31-1-7"/>
    <m/>
    <s v="Non-Core"/>
    <s v="Closed"/>
    <x v="0"/>
    <s v="ISP issue or Power issue"/>
    <s v="power issue"/>
    <d v="2026-05-14T10:52:29"/>
    <d v="2026-05-14T16:20:00"/>
    <n v="327.52"/>
    <d v="2026-05-14T10:52:30"/>
    <n v="0.02"/>
    <n v="30"/>
    <s v="SLA Met"/>
    <d v="2026-05-14T11:09:36"/>
    <d v="2026-05-14T16:18:14"/>
    <n v="308.63"/>
    <n v="18.88"/>
    <n v="120"/>
    <s v="SLA Met"/>
    <m/>
    <n v="129600"/>
    <n v="129581.12"/>
    <n v="99.985432098765429"/>
    <n v="129291.37"/>
    <n v="99.76185956790124"/>
  </r>
  <r>
    <s v="Jubilant Foodworks Ltd (JFL)"/>
    <s v="Alert"/>
    <s v="Kartik Choudhary"/>
    <s v="PRO/INC/45519"/>
    <s v="aps went down"/>
    <s v="Meraki Managed Services"/>
    <s v="Software / Configuration"/>
    <s v="Greater Noida"/>
    <s v="Q3KG-XSEX-EG6A"/>
    <x v="34"/>
    <s v="NA"/>
    <s v="AP"/>
    <s v="JFL-GNSC-AP60"/>
    <s v="MR86"/>
    <s v="wireless-31-1-7"/>
    <m/>
    <s v="Non-Core"/>
    <s v="Closed"/>
    <x v="5"/>
    <m/>
    <s v="Device boot issue"/>
    <d v="2026-05-15T13:35:14"/>
    <d v="2026-05-15T13:48:00"/>
    <n v="12.77"/>
    <d v="2026-05-15T13:35:15"/>
    <n v="0.02"/>
    <n v="30"/>
    <s v="SLA Met"/>
    <m/>
    <m/>
    <n v="0"/>
    <n v="12.77"/>
    <n v="120"/>
    <s v="SLA Met"/>
    <m/>
    <n v="129600"/>
    <n v="129587.23"/>
    <n v="99.990146604938275"/>
    <n v="129600"/>
    <n v="100"/>
  </r>
  <r>
    <s v="Jubilant Foodworks Ltd (JFL)"/>
    <s v="Alert"/>
    <s v="Kartik Choudhary"/>
    <s v="PRO/INC/45518"/>
    <s v="aps went down"/>
    <s v="Meraki Managed Services"/>
    <s v="Software / Configuration"/>
    <s v="Greater Noida"/>
    <s v="Q3KG-Y2PU-4DWW"/>
    <x v="32"/>
    <s v="NA"/>
    <s v="AP"/>
    <s v="JFL-GNSC-AP55"/>
    <s v="MR86"/>
    <s v="wireless-31-1-7"/>
    <m/>
    <s v="Non-Core"/>
    <s v="Closed"/>
    <x v="5"/>
    <m/>
    <s v="Device boot issue"/>
    <d v="2026-05-15T13:35:14"/>
    <d v="2026-05-15T13:52:00"/>
    <n v="16.77"/>
    <d v="2026-05-15T13:35:15"/>
    <n v="0.02"/>
    <n v="30"/>
    <s v="SLA Met"/>
    <m/>
    <m/>
    <n v="0"/>
    <n v="16.77"/>
    <n v="120"/>
    <s v="SLA Met"/>
    <m/>
    <n v="129600"/>
    <n v="129583.23"/>
    <n v="99.987060185185186"/>
    <n v="129600"/>
    <n v="100"/>
  </r>
  <r>
    <s v="Jubilant Foodworks Ltd (JFL)"/>
    <s v="Alert"/>
    <s v="Kartik Choudhary"/>
    <s v="PRO/INC/45520"/>
    <s v="aps went down"/>
    <s v="Meraki Managed Services"/>
    <s v="Software / Configuration"/>
    <s v="Greater Noida"/>
    <s v="Q3KG-GWW5-CHJC"/>
    <x v="33"/>
    <s v="NA"/>
    <s v="AP"/>
    <s v="JFL-GNSC-AP52"/>
    <s v="MR86"/>
    <s v="wireless-31-1-7"/>
    <m/>
    <s v="Non-Core"/>
    <s v="Closed"/>
    <x v="5"/>
    <m/>
    <s v="Device boot issue"/>
    <d v="2026-05-15T13:35:23"/>
    <d v="2026-05-15T13:54:00"/>
    <n v="18.62"/>
    <d v="2026-05-15T13:35:24"/>
    <n v="0.02"/>
    <n v="30"/>
    <s v="SLA Met"/>
    <m/>
    <m/>
    <n v="0"/>
    <n v="18.62"/>
    <n v="120"/>
    <s v="SLA Met"/>
    <m/>
    <n v="129600"/>
    <n v="129581.38"/>
    <n v="99.985632716049395"/>
    <n v="129600"/>
    <n v="100"/>
  </r>
  <r>
    <s v="Jubilant Foodworks Ltd (JFL)"/>
    <s v="Email"/>
    <s v="Kartik Choudhary"/>
    <s v="PRO/INC/45528"/>
    <s v="Port Reset | JFL-NAG-SSC-SW01 /Port no. 43 JFL, Nagpur"/>
    <s v="Meraki Managed Services"/>
    <s v="Change Request"/>
    <s v="Nagpur"/>
    <s v="Q5JJ-68KZ-MXAS"/>
    <x v="3"/>
    <s v="RACK 1"/>
    <s v="SW"/>
    <s v="JFL-NAG-SSC-SW01"/>
    <s v="C9300L-48P-4X"/>
    <s v="cs-17-2-2"/>
    <m/>
    <s v="Non-Core"/>
    <s v="Closed"/>
    <x v="1"/>
    <s v="We have reset the port but getting the CRC error on port so now customer is checking for cable at their end and update us to move further."/>
    <s v="As discussed over the call, we have enabled port number 43. Based on our discussion, we are proceeding with the closure of this case. Please feel free to reach out to us if any further assistance is required."/>
    <d v="2026-05-15T17:26:52"/>
    <d v="2026-05-19T18:20:00"/>
    <n v="5813.13"/>
    <d v="2026-05-15T17:26:51"/>
    <n v="0"/>
    <n v="30"/>
    <s v="SLA Met"/>
    <d v="2026-05-15T17:46:02"/>
    <d v="2026-05-19T18:14:07"/>
    <n v="5788.08"/>
    <n v="25.05"/>
    <n v="120"/>
    <s v="SLA Met"/>
    <m/>
    <n v="129600"/>
    <n v="129574.95"/>
    <n v="99.980671296296293"/>
    <n v="123811.92"/>
    <n v="95.533888888888882"/>
  </r>
  <r>
    <s v="Jubilant Foodworks Ltd (JFL)"/>
    <s v="Email"/>
    <s v="Dheerendra Maurya"/>
    <s v="PRO/INC/45588"/>
    <s v="Pls align Engineer at Greater Noida SCC || Power Maintenance Activity"/>
    <s v="Meraki Managed Services"/>
    <s v="Software / Configuration"/>
    <s v="Greater Noida"/>
    <s v="FVH2836L5EQ"/>
    <x v="36"/>
    <s v="NO RACK "/>
    <s v="SW"/>
    <n v="1"/>
    <e v="#N/A"/>
    <e v="#N/A"/>
    <m/>
    <s v="P4"/>
    <s v="Closed"/>
    <x v="2"/>
    <s v="Tomorrow power shut down activity"/>
    <s v="Power shutdown activity has been completed. We are now closing the case."/>
    <d v="2026-05-16T13:50:36"/>
    <d v="2026-05-18T15:14:00"/>
    <n v="2963.4"/>
    <d v="2026-05-16T13:50:35"/>
    <n v="0"/>
    <n v="30"/>
    <s v="SLA Met"/>
    <d v="2026-05-16T14:10:18"/>
    <d v="2026-05-18T15:11:25"/>
    <n v="2941.12"/>
    <n v="22.28"/>
    <n v="2880"/>
    <s v="SLA Met"/>
    <m/>
    <n v="129600"/>
    <n v="129577.72"/>
    <n v="99.982808641975311"/>
    <n v="126658.88"/>
    <n v="97.730617283950622"/>
  </r>
  <r>
    <s v="Jubilant Foodworks Ltd (JFL)"/>
    <s v="Alert"/>
    <s v="Dharmendra Bhadoriya"/>
    <s v="PRO/INC/45631"/>
    <s v="switches went down"/>
    <s v="Meraki Managed Services"/>
    <s v="Software / Configuration"/>
    <s v="Guwahati"/>
    <s v="Q5JG-AQNW-P9FB"/>
    <x v="37"/>
    <s v="CORE"/>
    <s v="SW"/>
    <s v="JFL-Guwahati-CORE-02"/>
    <s v="C9300L-24P-4X"/>
    <s v="IOS XE 17.15.5"/>
    <m/>
    <s v="Core"/>
    <s v="Closed"/>
    <x v="0"/>
    <s v="power issue"/>
    <s v="After Restore issue has been resolved"/>
    <d v="2026-05-17T10:58:13"/>
    <d v="2026-05-18T09:19:00"/>
    <n v="1340.78"/>
    <d v="2026-05-17T10:58:14"/>
    <n v="0.02"/>
    <n v="30"/>
    <s v="SLA Met"/>
    <d v="2026-05-17T11:11:40"/>
    <d v="2026-05-18T09:16:05"/>
    <n v="1324.42"/>
    <n v="16.37"/>
    <n v="120"/>
    <s v="SLA Met"/>
    <m/>
    <n v="129600"/>
    <n v="129583.63"/>
    <n v="99.987368827160495"/>
    <n v="128275.58"/>
    <n v="98.97807098765432"/>
  </r>
  <r>
    <s v="Jubilant Foodworks Ltd (JFL)"/>
    <s v="Alert"/>
    <s v="Dharmendra Bhadoriya"/>
    <s v="PRO/INC/45632"/>
    <s v="aps went down"/>
    <s v="Meraki Managed Services"/>
    <s v="Software / Configuration"/>
    <s v="Guwahati"/>
    <s v="Q3KG-ZJZJ-WWH5"/>
    <x v="20"/>
    <s v="NA"/>
    <s v="AP"/>
    <s v="JFL-Guwahati-SSC-AP-02"/>
    <s v="MR86"/>
    <s v="MR 32.1.7"/>
    <m/>
    <s v="Non-Core"/>
    <s v="Closed"/>
    <x v="0"/>
    <s v="power issue"/>
    <s v="After Restore issue has been resolved"/>
    <d v="2026-05-17T10:58:13"/>
    <d v="2026-05-18T09:14:00"/>
    <n v="1335.78"/>
    <d v="2026-05-17T10:58:14"/>
    <n v="0.02"/>
    <n v="30"/>
    <s v="SLA Met"/>
    <d v="2026-05-17T11:10:57"/>
    <d v="2026-05-18T09:11:25"/>
    <n v="1320.47"/>
    <n v="15.32"/>
    <n v="120"/>
    <s v="SLA Met"/>
    <m/>
    <n v="129600"/>
    <n v="129584.68"/>
    <n v="99.988179012345668"/>
    <n v="128279.53"/>
    <n v="98.9811188271605"/>
  </r>
  <r>
    <s v="Jubilant Foodworks Ltd (JFL)"/>
    <s v="Alert"/>
    <s v="Dharmendra Bhadoriya"/>
    <s v="PRO/INC/45951"/>
    <s v="switches went down"/>
    <s v="Meraki Managed Services"/>
    <s v="Software / Configuration"/>
    <s v="Mohali"/>
    <s v="Q3LP-2PSJ-6DLB"/>
    <x v="11"/>
    <s v="TRANSPORT ROOM"/>
    <s v="SW"/>
    <s v="JFL-MOHALI-ACC-SW-01(Transport Room)"/>
    <s v="MS130-12X"/>
    <s v="switch-17-2-1"/>
    <m/>
    <s v="Core"/>
    <s v="Closed"/>
    <x v="0"/>
    <s v="power issue"/>
    <s v="After Restore issue has been resolved"/>
    <d v="2026-05-17T16:37:02"/>
    <d v="2026-05-26T11:08:00"/>
    <n v="12630.97"/>
    <d v="2026-05-17T16:37:03"/>
    <n v="0.02"/>
    <n v="30"/>
    <s v="SLA Met"/>
    <d v="2026-05-17T16:39:17"/>
    <d v="2026-05-26T11:05:17"/>
    <n v="12626"/>
    <n v="4.97"/>
    <n v="120"/>
    <s v="SLA Met"/>
    <m/>
    <n v="129600"/>
    <n v="129595.03"/>
    <n v="99.996165123456791"/>
    <n v="116974"/>
    <n v="90.257716049382722"/>
  </r>
  <r>
    <s v="Jubilant Foodworks Ltd (JFL)"/>
    <s v="Alert"/>
    <s v="Dharmendra Bhadoriya"/>
    <s v="PRO/INC/45952"/>
    <s v="aps went down"/>
    <s v="Meraki Managed Services"/>
    <s v="Software / Configuration"/>
    <s v="Mohali"/>
    <s v="Q5AR-A7VQ-MZJM"/>
    <x v="30"/>
    <s v="NA"/>
    <s v="AP"/>
    <s v="JFL-Mohali-SCC-AP13"/>
    <s v="CW9166I"/>
    <s v="wireless-31-1-7"/>
    <m/>
    <s v="Non-Core"/>
    <s v="Closed"/>
    <x v="0"/>
    <s v="power issue"/>
    <s v="After Restore issue has been resolved"/>
    <d v="2026-05-17T16:37:02"/>
    <d v="2026-05-26T11:08:00"/>
    <n v="12630.97"/>
    <d v="2026-05-17T16:37:03"/>
    <n v="0.02"/>
    <n v="30"/>
    <s v="SLA Met"/>
    <d v="2026-05-17T16:38:37"/>
    <d v="2026-05-26T11:03:00"/>
    <n v="12624.38"/>
    <n v="6.58"/>
    <n v="120"/>
    <s v="SLA Met"/>
    <m/>
    <n v="129600"/>
    <n v="129593.42"/>
    <n v="99.994922839506174"/>
    <n v="116975.62"/>
    <n v="90.258966049382721"/>
  </r>
  <r>
    <s v="Jubilant Foodworks Ltd (JFL)"/>
    <s v="Alert"/>
    <s v="Dharmendra Bhadoriya"/>
    <s v="PRO/INC/45960"/>
    <s v="switches went down"/>
    <s v="Meraki Managed Services"/>
    <s v="Software / Configuration"/>
    <s v="Mohali"/>
    <s v="Q3LP-2PSJ-6DLB"/>
    <x v="11"/>
    <s v="TRANSPORT ROOM"/>
    <s v="SW"/>
    <s v="JFL-MOHALI-ACC-SW-01(Transport Room)"/>
    <s v="MS130-12X"/>
    <s v="switch-17-2-1"/>
    <m/>
    <s v="Core"/>
    <s v="Closed"/>
    <x v="0"/>
    <s v="power issue"/>
    <s v="After Restore issue has been resolved"/>
    <d v="2026-05-17T17:42:40"/>
    <d v="2026-05-26T11:09:00"/>
    <n v="12566.33"/>
    <d v="2026-05-17T17:42:41"/>
    <n v="0.02"/>
    <n v="30"/>
    <s v="SLA Met"/>
    <d v="2026-05-17T17:45:49"/>
    <d v="2026-05-26T11:07:16"/>
    <n v="12561.45"/>
    <n v="4.88"/>
    <n v="120"/>
    <s v="SLA Met"/>
    <m/>
    <n v="129600"/>
    <n v="129595.12"/>
    <n v="99.996234567901226"/>
    <n v="117038.55"/>
    <n v="90.30752314814815"/>
  </r>
  <r>
    <s v="Jubilant Foodworks Ltd (JFL)"/>
    <s v="Alert"/>
    <s v="Arvind Kumar Arya"/>
    <s v="PRO/INC/45966"/>
    <s v="new dhcp server detected"/>
    <s v="Meraki Managed Services"/>
    <s v="Software / Configuration"/>
    <s v="Nagpur"/>
    <s v="Q5JJ-68KZ-MXAS"/>
    <x v="3"/>
    <s v="RACK 1"/>
    <s v="SW"/>
    <s v="JFL-NAG-SSC-SW01"/>
    <s v="C9300L-48P-4X"/>
    <s v="cs-17-2-2"/>
    <m/>
    <s v="Non-Core"/>
    <s v="Closed"/>
    <x v="2"/>
    <s v="checking new server."/>
    <s v="Resolved"/>
    <d v="2026-05-18T05:17:34"/>
    <d v="2026-06-01T12:39:00"/>
    <n v="20601.43"/>
    <d v="2026-05-18T05:17:34"/>
    <n v="0"/>
    <n v="30"/>
    <s v="SLA Met"/>
    <d v="2026-05-18T05:20:11"/>
    <d v="2026-06-01T12:34:14"/>
    <n v="20594.05"/>
    <n v="7.38"/>
    <n v="120"/>
    <s v="SLA Met"/>
    <m/>
    <n v="129600"/>
    <n v="129592.62"/>
    <n v="99.994305555555556"/>
    <n v="109005.95"/>
    <n v="84.109529320987647"/>
  </r>
  <r>
    <s v="Jubilant Foodworks Ltd (JFL)"/>
    <s v="Email"/>
    <s v="Kartik Choudhary"/>
    <s v="PRO/INC/46268"/>
    <s v="Port Reset | JFL, Nagpur"/>
    <s v="Meraki Managed Services"/>
    <s v="Change Request"/>
    <s v="Nagpur"/>
    <s v="Q5JG-TM9S-PLFP"/>
    <x v="38"/>
    <s v="RACK 2"/>
    <s v="SW"/>
    <s v="JFL-NAG-SSC-SW02"/>
    <s v="C9300L-24P-4X"/>
    <s v="cs-17-2-2"/>
    <m/>
    <s v="P4"/>
    <s v="Closed"/>
    <x v="1"/>
    <m/>
    <s v="Required changes has been made as per customer confirmation and its working fine. Same has been confirmed with customer."/>
    <d v="2026-05-21T13:31:52"/>
    <d v="2026-05-22T15:36:00"/>
    <n v="1564.13"/>
    <d v="2026-05-21T13:31:52"/>
    <n v="0"/>
    <n v="30"/>
    <s v="SLA Met"/>
    <d v="2026-05-21T13:57:52"/>
    <d v="2026-05-22T15:32:31"/>
    <n v="1534.65"/>
    <n v="29.48"/>
    <n v="2880"/>
    <s v="SLA Met"/>
    <m/>
    <n v="129600"/>
    <n v="129570.52"/>
    <n v="99.977253086419765"/>
    <n v="128065.35"/>
    <n v="98.815856481481489"/>
  </r>
  <r>
    <s v="Jubilant Foodworks Ltd (JFL)"/>
    <s v="Alert"/>
    <s v="Aneesh P S"/>
    <s v="PRO/INC/46310"/>
    <s v="new dhcp server detected"/>
    <s v="Meraki Managed Services"/>
    <s v="Software / Configuration"/>
    <s v="Nagpur"/>
    <s v="Q5JJ-68KZ-MXAS"/>
    <x v="3"/>
    <s v="RACK 1"/>
    <s v="SW"/>
    <s v="JFL-NAG-SSC-SW01"/>
    <s v="C9300L-48P-4X"/>
    <s v="cs-17-2-2"/>
    <m/>
    <s v="Non-Core"/>
    <s v="Closed"/>
    <x v="3"/>
    <s v="client-side activity"/>
    <s v="new DHCP server detected As per customer confirmation blocked that"/>
    <d v="2026-05-23T03:02:08"/>
    <d v="2026-05-27T08:19:00"/>
    <n v="6076.87"/>
    <d v="2026-05-23T03:02:09"/>
    <n v="0.02"/>
    <n v="30"/>
    <s v="SLA Met"/>
    <d v="2026-05-23T03:04:00"/>
    <d v="2026-05-27T08:16:49"/>
    <n v="6072.82"/>
    <n v="4.05"/>
    <n v="120"/>
    <s v="SLA Met"/>
    <m/>
    <n v="129600"/>
    <n v="129595.95"/>
    <n v="99.996875000000003"/>
    <n v="123527.18"/>
    <n v="95.314182098765428"/>
  </r>
  <r>
    <s v="Jubilant Foodworks Ltd (JFL)"/>
    <s v="Alert"/>
    <s v="Dharmendra Bhadoriya"/>
    <s v="PRO/INC/46727"/>
    <s v="switches went down"/>
    <s v="Meraki Managed Services"/>
    <s v="Software / Configuration"/>
    <s v="Mohali"/>
    <s v="Q5JG-NJW9-ABBQ"/>
    <x v="39"/>
    <s v="CORE"/>
    <s v="SW"/>
    <s v="JFL-MOHALI-CORE-02"/>
    <s v="C9300L-24P-4X"/>
    <s v="cs-17-2-1"/>
    <m/>
    <s v="Core"/>
    <s v="Closed"/>
    <x v="0"/>
    <s v="checking with local team and on the dashboard"/>
    <s v="After Restore issue has been resolved"/>
    <d v="2026-05-24T13:10:20"/>
    <d v="2026-05-26T11:13:00"/>
    <n v="2762.67"/>
    <d v="2026-05-24T13:10:21"/>
    <n v="0.02"/>
    <n v="30"/>
    <s v="SLA Met"/>
    <d v="2026-05-24T13:11:40"/>
    <d v="2026-05-26T11:10:09"/>
    <n v="2758.48"/>
    <n v="4.18"/>
    <n v="120"/>
    <s v="SLA Met"/>
    <m/>
    <n v="129600"/>
    <n v="129595.82"/>
    <n v="99.996774691358027"/>
    <n v="126841.52"/>
    <n v="97.871543209876549"/>
  </r>
  <r>
    <s v="Jubilant Foodworks Ltd (JFL)"/>
    <s v="Alert"/>
    <s v="Dharmendra Bhadoriya"/>
    <s v="PRO/INC/46728"/>
    <s v="switches went down"/>
    <s v="Meraki Managed Services"/>
    <s v="Software / Configuration"/>
    <s v="Mohali"/>
    <s v="Q3LP-2PSJ-6DLB"/>
    <x v="11"/>
    <s v="TRANSPORT ROOM"/>
    <s v="SW"/>
    <s v="JFL-MOHALI-ACC-SW-01(Transport Room)"/>
    <s v="MS130-12X"/>
    <s v="switch-17-2-1"/>
    <m/>
    <s v="Core"/>
    <s v="Closed"/>
    <x v="0"/>
    <s v="checking with the local team and on the dashboard"/>
    <s v="After Restore issue has been resolved"/>
    <d v="2026-05-24T13:10:24"/>
    <d v="2026-05-26T11:18:00"/>
    <n v="2767.6"/>
    <d v="2026-05-24T13:10:24"/>
    <n v="0"/>
    <n v="30"/>
    <s v="SLA Met"/>
    <d v="2026-05-24T13:14:21"/>
    <d v="2026-05-26T11:15:31"/>
    <n v="2761.17"/>
    <n v="6.43"/>
    <n v="120"/>
    <s v="SLA Met"/>
    <m/>
    <n v="129600"/>
    <n v="129593.57"/>
    <n v="99.995038580246927"/>
    <n v="126838.83"/>
    <n v="97.869467592592599"/>
  </r>
  <r>
    <s v="Jubilant Foodworks Ltd (JFL)"/>
    <s v="Alert"/>
    <s v="Dharmendra Bhadoriya"/>
    <s v="PRO/INC/46729"/>
    <s v="aps went down"/>
    <s v="Meraki Managed Services"/>
    <s v="Software / Configuration"/>
    <s v="Mohali"/>
    <s v="Q5AA-MHPW-2YA8"/>
    <x v="40"/>
    <s v="NA"/>
    <s v="AP"/>
    <s v="JFL-Mohali-SCC-AP14"/>
    <s v="CW9162I"/>
    <s v="wireless-31-1-7"/>
    <m/>
    <s v="Non-Core"/>
    <s v="Closed"/>
    <x v="0"/>
    <s v="checking with the local team and on the dashboard"/>
    <s v="After Restore issue has been resolved"/>
    <d v="2026-05-24T13:10:24"/>
    <d v="2026-05-26T11:18:00"/>
    <n v="2767.6"/>
    <d v="2026-05-24T13:10:25"/>
    <n v="0.02"/>
    <n v="30"/>
    <s v="SLA Met"/>
    <d v="2026-05-24T13:12:46"/>
    <d v="2026-05-26T11:12:40"/>
    <n v="2759.9"/>
    <n v="7.7"/>
    <n v="120"/>
    <s v="SLA Met"/>
    <m/>
    <n v="129600"/>
    <n v="129592.3"/>
    <n v="99.994058641975315"/>
    <n v="126840.1"/>
    <n v="97.870447530864197"/>
  </r>
  <r>
    <s v="Jubilant Foodworks Ltd (JFL)"/>
    <s v="Alert"/>
    <s v="Dharmendra Bhadoriya"/>
    <s v="PRO/INC/46730"/>
    <s v="aps went down"/>
    <s v="Meraki Managed Services"/>
    <s v="Software / Configuration"/>
    <s v="Mohali"/>
    <s v="Q3KG-9RDD-U5HG"/>
    <x v="41"/>
    <s v="NA"/>
    <s v="AP"/>
    <s v="JFL-Mohali-SCC-AP12"/>
    <s v="MR86"/>
    <s v="wireless-31-1-7"/>
    <m/>
    <s v="Non-Core"/>
    <s v="Closed"/>
    <x v="0"/>
    <s v="checking with the local team and on the dashboard"/>
    <s v="After Restore issue has been resolved"/>
    <d v="2026-05-24T13:10:30"/>
    <d v="2026-05-26T11:22:00"/>
    <n v="2771.5"/>
    <d v="2026-05-24T13:10:30"/>
    <n v="0"/>
    <n v="30"/>
    <s v="SLA Met"/>
    <d v="2026-05-24T13:15:37"/>
    <d v="2026-05-26T11:18:32"/>
    <n v="2762.92"/>
    <n v="8.58"/>
    <n v="120"/>
    <s v="SLA Met"/>
    <m/>
    <n v="129600"/>
    <n v="129591.42"/>
    <n v="99.993379629629629"/>
    <n v="126837.08"/>
    <n v="97.868117283950625"/>
  </r>
  <r>
    <s v="Jubilant Foodworks Ltd (JFL)"/>
    <s v="Alert"/>
    <s v="Dharmendra Bhadoriya"/>
    <s v="PRO/INC/46798"/>
    <s v="switches went down"/>
    <s v="Meraki Managed Services"/>
    <s v="Software / Configuration"/>
    <s v="Mohali"/>
    <s v="Q3LM-TGAF-Q97P"/>
    <x v="42"/>
    <s v="WAREHOUSE"/>
    <s v="SW"/>
    <s v="JFL-MOHALI-ACC-SW-02"/>
    <s v="MS130-8P"/>
    <s v="switch-17-2-1"/>
    <m/>
    <s v="Core"/>
    <s v="Closed"/>
    <x v="0"/>
    <s v="Checking with the local team and on the meraki dashboard"/>
    <s v="After Restore issue has been resolved"/>
    <d v="2026-05-24T14:54:29"/>
    <d v="2026-05-26T11:25:00"/>
    <n v="2670.52"/>
    <d v="2026-05-24T14:54:30"/>
    <n v="0.02"/>
    <n v="30"/>
    <s v="SLA Met"/>
    <d v="2026-05-24T15:01:11"/>
    <d v="2026-05-26T11:20:39"/>
    <n v="2659.47"/>
    <n v="11.05"/>
    <n v="120"/>
    <s v="SLA Met"/>
    <m/>
    <n v="129600"/>
    <n v="129588.95"/>
    <n v="99.99147376543209"/>
    <n v="126940.53"/>
    <n v="97.947939814814816"/>
  </r>
  <r>
    <s v="Jubilant Foodworks Ltd (JFL)"/>
    <s v="Alert"/>
    <s v="Dharmendra Bhadoriya"/>
    <s v="PRO/INC/46799"/>
    <s v="aps went down"/>
    <s v="Meraki Managed Services"/>
    <s v="Software / Configuration"/>
    <s v="Mohali"/>
    <s v="Q5AA-E8FN-53RX"/>
    <x v="43"/>
    <s v="NA"/>
    <s v="AP"/>
    <s v="JFL-Mohali-SCC-AP07"/>
    <s v="CW9162I"/>
    <s v="wireless-31-1-7"/>
    <m/>
    <s v="Non-Core"/>
    <s v="Closed"/>
    <x v="0"/>
    <s v="Checking with the local team and on the meraki dashboard"/>
    <s v="After Restore issue has been resolved"/>
    <d v="2026-05-24T14:54:38"/>
    <d v="2026-05-26T11:29:00"/>
    <n v="2674.37"/>
    <d v="2026-05-24T14:54:39"/>
    <n v="0.02"/>
    <n v="30"/>
    <s v="SLA Met"/>
    <d v="2026-05-24T15:00:15"/>
    <d v="2026-05-26T11:22:02"/>
    <n v="2661.78"/>
    <n v="12.58"/>
    <n v="120"/>
    <s v="SLA Met"/>
    <m/>
    <n v="129600"/>
    <n v="129587.42"/>
    <n v="99.99029320987654"/>
    <n v="126938.22"/>
    <n v="97.946157407407412"/>
  </r>
  <r>
    <s v="Jubilant Foodworks Ltd (JFL)"/>
    <s v="Alert"/>
    <s v="Dharmendra Bhadoriya"/>
    <s v="PRO/INC/46800"/>
    <s v="aps went down"/>
    <s v="Meraki Managed Services"/>
    <s v="Software / Configuration"/>
    <s v="Mohali"/>
    <s v="Q5AA-8PQC-7V98"/>
    <x v="44"/>
    <s v="NA"/>
    <s v="AP"/>
    <s v="JFL-Mohali-SCC-AP06"/>
    <s v="CW9162I"/>
    <s v="wireless-31-1-7"/>
    <m/>
    <s v="Non-Core"/>
    <s v="Closed"/>
    <x v="0"/>
    <s v="checking with the local team and on the dashboard"/>
    <s v="After Restore issue has been resolved"/>
    <d v="2026-05-24T14:54:41"/>
    <d v="2026-05-26T11:29:00"/>
    <n v="2674.32"/>
    <d v="2026-05-24T14:54:42"/>
    <n v="0.02"/>
    <n v="30"/>
    <s v="SLA Met"/>
    <d v="2026-05-24T14:58:40"/>
    <d v="2026-05-26T11:23:32"/>
    <n v="2664.87"/>
    <n v="9.4499999999999993"/>
    <n v="120"/>
    <s v="SLA Met"/>
    <m/>
    <n v="129600"/>
    <n v="129590.55"/>
    <n v="99.99270833333334"/>
    <n v="126935.13"/>
    <n v="97.943773148148153"/>
  </r>
  <r>
    <s v="Jubilant Foodworks Ltd (JFL)"/>
    <s v="Alert"/>
    <s v="Dharmendra Bhadoriya"/>
    <s v="PRO/INC/46815"/>
    <s v="new dhcp server detected"/>
    <s v="Meraki Managed Services"/>
    <s v="Software / Configuration"/>
    <s v="Nagpur"/>
    <s v="Q5JG-TM9S-PLFP"/>
    <x v="38"/>
    <s v="RACK 2"/>
    <s v="SW"/>
    <s v="JFL-NAG-SSC-SW02"/>
    <s v="C9300L-24P-4X"/>
    <s v="cs-17-2-2"/>
    <m/>
    <s v="Non-Core"/>
    <s v="Closed"/>
    <x v="2"/>
    <s v="Client Side Activity"/>
    <s v="block"/>
    <d v="2026-05-25T08:54:49"/>
    <d v="2026-06-02T09:27:00"/>
    <n v="11552.18"/>
    <d v="2026-05-25T08:54:49"/>
    <n v="0"/>
    <n v="30"/>
    <s v="SLA Met"/>
    <d v="2026-05-25T09:18:04"/>
    <d v="2026-06-02T09:22:59"/>
    <n v="11524.92"/>
    <n v="27.27"/>
    <n v="120"/>
    <s v="SLA Met"/>
    <m/>
    <n v="129600"/>
    <n v="129572.73"/>
    <n v="99.978958333333338"/>
    <n v="118075.08"/>
    <n v="91.107314814814828"/>
  </r>
  <r>
    <s v="Jubilant Foodworks Ltd (JFL)"/>
    <s v="Alert"/>
    <s v="Jagadisha R"/>
    <s v="PRO/INC/46951"/>
    <s v="aps went down"/>
    <s v="Meraki Managed Services"/>
    <s v="Software / Configuration"/>
    <s v="Greater Noida"/>
    <s v="Q5AA-JYZN-6KKB"/>
    <x v="45"/>
    <s v="NA"/>
    <s v="AP"/>
    <s v="JFL-GNSC-AP66"/>
    <s v="CW9162I"/>
    <s v="wireless-31-1-7"/>
    <m/>
    <s v="Non-Core"/>
    <s v="Closed"/>
    <x v="0"/>
    <s v="power issue"/>
    <s v="power issue"/>
    <d v="2026-05-25T12:06:13"/>
    <d v="2026-05-27T09:22:00"/>
    <n v="2715.78"/>
    <d v="2026-05-25T12:06:14"/>
    <n v="0.02"/>
    <n v="30"/>
    <s v="SLA Met"/>
    <d v="2026-05-25T12:08:20"/>
    <d v="2026-05-27T09:19:08"/>
    <n v="2710.8"/>
    <n v="4.9800000000000004"/>
    <n v="120"/>
    <s v="SLA Met"/>
    <m/>
    <n v="129600"/>
    <n v="129595.02"/>
    <n v="99.996157407407409"/>
    <n v="126889.2"/>
    <n v="97.908333333333331"/>
  </r>
  <r>
    <s v="Jubilant Foodworks Ltd (JFL)"/>
    <s v="Alert"/>
    <s v="Jagadisha R"/>
    <s v="PRO/INC/46952"/>
    <s v="aps went down"/>
    <s v="Meraki Managed Services"/>
    <s v="Software / Configuration"/>
    <s v="Greater Noida"/>
    <s v="Q3KG-J4EF-KZ54"/>
    <x v="46"/>
    <s v="NA"/>
    <s v="AP"/>
    <s v="JFL-GNSC-AP62"/>
    <s v="MR86"/>
    <s v="wireless-31-1-7"/>
    <m/>
    <s v="Non-Core"/>
    <s v="Closed"/>
    <x v="0"/>
    <s v="power issue"/>
    <s v="power issue .."/>
    <d v="2026-05-25T12:06:16"/>
    <d v="2026-05-27T09:25:00"/>
    <n v="2718.73"/>
    <d v="2026-05-25T12:06:16"/>
    <n v="0"/>
    <n v="30"/>
    <s v="SLA Met"/>
    <d v="2026-05-25T12:09:23"/>
    <d v="2026-05-27T09:21:38"/>
    <n v="2712.25"/>
    <n v="6.48"/>
    <n v="120"/>
    <s v="SLA Met"/>
    <m/>
    <n v="129600"/>
    <n v="129593.52"/>
    <n v="99.995000000000005"/>
    <n v="126887.75"/>
    <n v="97.907214506172835"/>
  </r>
  <r>
    <s v="Jubilant Foodworks Ltd (JFL)"/>
    <s v="Alert"/>
    <s v="Jagadisha R"/>
    <s v="PRO/INC/46953"/>
    <s v="aps went down"/>
    <s v="Meraki Managed Services"/>
    <s v="Software / Configuration"/>
    <s v="Greater Noida"/>
    <s v="Q5AA-FRBE-94N5"/>
    <x v="47"/>
    <s v="NA"/>
    <s v="AP"/>
    <s v="JFL-GNSC-AP27"/>
    <s v="CW9162I"/>
    <s v="wireless-31-1-7"/>
    <m/>
    <s v="Non-Core"/>
    <s v="Closed"/>
    <x v="0"/>
    <s v="power issue"/>
    <s v="power issue"/>
    <d v="2026-05-25T12:06:23"/>
    <d v="2026-05-27T09:25:00"/>
    <n v="2718.62"/>
    <d v="2026-05-25T12:06:23"/>
    <n v="0"/>
    <n v="30"/>
    <s v="SLA Met"/>
    <d v="2026-05-25T12:10:14"/>
    <d v="2026-05-27T09:22:40"/>
    <n v="2712.43"/>
    <n v="6.18"/>
    <n v="120"/>
    <s v="SLA Met"/>
    <m/>
    <n v="129600"/>
    <n v="129593.82"/>
    <n v="99.995231481481483"/>
    <n v="126887.57"/>
    <n v="97.907075617283951"/>
  </r>
  <r>
    <s v="Jubilant Foodworks Ltd (JFL)"/>
    <s v="Alert"/>
    <s v="Aneesh P S"/>
    <s v="PRO/INC/46986"/>
    <s v="aps went down"/>
    <s v="Meraki Managed Services"/>
    <s v="Software / Configuration"/>
    <s v="Greater Noida"/>
    <s v="Q5AA-C4TF-5ZA8"/>
    <x v="48"/>
    <s v="NA"/>
    <s v="AP"/>
    <s v="JFL-GNSC-AP33"/>
    <s v="CW9162I"/>
    <s v="wireless-31-1-7"/>
    <m/>
    <s v="Non-Core"/>
    <s v="Closed"/>
    <x v="0"/>
    <s v="Device Power issues"/>
    <s v="Device Power issues"/>
    <d v="2026-05-25T17:30:22"/>
    <d v="2026-05-27T08:18:00"/>
    <n v="2327.63"/>
    <d v="2026-05-25T17:30:23"/>
    <n v="0.02"/>
    <n v="30"/>
    <s v="SLA Met"/>
    <d v="2026-05-25T17:34:37"/>
    <d v="2026-05-27T08:10:58"/>
    <n v="2316.35"/>
    <n v="11.28"/>
    <n v="120"/>
    <s v="SLA Met"/>
    <m/>
    <n v="129600"/>
    <n v="129588.72"/>
    <n v="99.991296296296298"/>
    <n v="127283.65"/>
    <n v="98.212692901234561"/>
  </r>
  <r>
    <s v="Jubilant Foodworks Ltd (JFL)"/>
    <s v="Alert"/>
    <s v="Aneesh P S"/>
    <s v="PRO/INC/46988"/>
    <s v="aps went down"/>
    <s v="Meraki Managed Services"/>
    <s v="Software / Configuration"/>
    <s v="Greater Noida"/>
    <s v="Q5AA-4792-7HZC"/>
    <x v="49"/>
    <s v="NA"/>
    <s v="AP"/>
    <s v="JFL-GNSC-AP36"/>
    <s v="CW9162I"/>
    <s v="wireless-31-1-7"/>
    <m/>
    <s v="Non-Core"/>
    <s v="Closed"/>
    <x v="0"/>
    <s v="Device Power issues"/>
    <s v="Device Power issues"/>
    <d v="2026-05-25T17:30:31"/>
    <d v="2026-05-27T08:18:00"/>
    <n v="2327.48"/>
    <d v="2026-05-25T17:30:32"/>
    <n v="0.02"/>
    <n v="30"/>
    <s v="SLA Met"/>
    <d v="2026-05-25T17:33:59"/>
    <d v="2026-05-27T08:12:34"/>
    <n v="2318.58"/>
    <n v="8.9"/>
    <n v="120"/>
    <s v="SLA Met"/>
    <m/>
    <n v="129600"/>
    <n v="129591.1"/>
    <n v="99.993132716049388"/>
    <n v="127281.42"/>
    <n v="98.210972222222225"/>
  </r>
  <r>
    <s v="Jubilant Foodworks Ltd (JFL)"/>
    <s v="Alert"/>
    <s v="Aneesh P S"/>
    <s v="PRO/INC/46989"/>
    <s v="aps went down"/>
    <s v="Meraki Managed Services"/>
    <s v="Software / Configuration"/>
    <s v="Greater Noida"/>
    <s v="Q5AA-U98X-3FD7"/>
    <x v="50"/>
    <s v="NA"/>
    <s v="AP"/>
    <s v="JFL-GNSC-AP35"/>
    <s v="CW9162I"/>
    <s v="wireless-31-1-7"/>
    <m/>
    <s v="Non-Core"/>
    <s v="Closed"/>
    <x v="0"/>
    <s v="Device Power issues"/>
    <s v="Device Power issues"/>
    <d v="2026-05-25T17:30:31"/>
    <d v="2026-05-27T08:18:00"/>
    <n v="2327.48"/>
    <d v="2026-05-25T17:30:32"/>
    <n v="0.02"/>
    <n v="30"/>
    <s v="SLA Met"/>
    <d v="2026-05-25T17:35:21"/>
    <d v="2026-05-27T08:11:46"/>
    <n v="2316.42"/>
    <n v="11.07"/>
    <n v="120"/>
    <s v="SLA Met"/>
    <m/>
    <n v="129600"/>
    <n v="129588.93"/>
    <n v="99.991458333333327"/>
    <n v="127283.58"/>
    <n v="98.21263888888889"/>
  </r>
  <r>
    <s v="Jubilant Foodworks Ltd (JFL)"/>
    <s v="Alert"/>
    <s v="Aneesh P S"/>
    <s v="PRO/INC/46990"/>
    <s v="aps went down"/>
    <s v="Meraki Managed Services"/>
    <s v="Software / Configuration"/>
    <s v="Greater Noida"/>
    <s v="Q3KG-BTTL-HVZU"/>
    <x v="51"/>
    <s v="NA"/>
    <s v="AP"/>
    <s v="JFL-GNSC-AP59"/>
    <s v="MR86"/>
    <s v="wireless-31-1-7"/>
    <m/>
    <s v="Non-Core"/>
    <s v="Closed"/>
    <x v="0"/>
    <s v="Device Power issues"/>
    <s v="Device Power issues"/>
    <d v="2026-05-25T17:30:31"/>
    <d v="2026-05-27T08:18:00"/>
    <n v="2327.48"/>
    <d v="2026-05-25T17:30:32"/>
    <n v="0.02"/>
    <n v="30"/>
    <s v="SLA Met"/>
    <d v="2026-05-25T17:32:54"/>
    <d v="2026-05-27T08:13:36"/>
    <n v="2320.6999999999998"/>
    <n v="6.78"/>
    <n v="120"/>
    <s v="SLA Met"/>
    <m/>
    <n v="129600"/>
    <n v="129593.22"/>
    <n v="99.994768518518512"/>
    <n v="127279.3"/>
    <n v="98.209336419753086"/>
  </r>
  <r>
    <s v="Jubilant Foodworks Ltd (JFL)"/>
    <s v="Alert"/>
    <s v="Abhishek Satish Pawar"/>
    <s v="PRO/INC/47068"/>
    <s v="aps went down"/>
    <s v="Meraki Managed Services"/>
    <s v="Software / Configuration"/>
    <s v="Bangalore"/>
    <s v="Q3AC-ZNCZ-HDNM"/>
    <x v="52"/>
    <s v="NA"/>
    <s v="AP"/>
    <s v="1F-AP12-R04-SW02-9P"/>
    <s v="MR46"/>
    <s v="wireless-31-1-8"/>
    <m/>
    <s v="Non-Core"/>
    <s v="Closed"/>
    <x v="0"/>
    <s v="power issue"/>
    <s v="Resolved"/>
    <d v="2026-05-27T02:35:08"/>
    <d v="2026-05-29T02:00:00"/>
    <n v="2844.87"/>
    <d v="2026-05-27T02:35:09"/>
    <n v="0.02"/>
    <n v="30"/>
    <s v="SLA Met"/>
    <d v="2026-05-27T02:36:21"/>
    <d v="2026-05-29T01:58:51"/>
    <n v="2842.5"/>
    <n v="2.37"/>
    <n v="120"/>
    <s v="SLA Met"/>
    <m/>
    <n v="129600"/>
    <n v="129597.63"/>
    <n v="99.998171296296306"/>
    <n v="126757.5"/>
    <n v="97.806712962962962"/>
  </r>
  <r>
    <s v="Jubilant Foodworks Ltd (JFL)"/>
    <s v="Alert"/>
    <s v="Abhishek Satish Pawar"/>
    <s v="PRO/INC/47069"/>
    <s v="aps went down"/>
    <s v="Meraki Managed Services"/>
    <s v="Software / Configuration"/>
    <s v="Bangalore"/>
    <s v="Q3AC-86YA-CET5"/>
    <x v="53"/>
    <s v="NA"/>
    <s v="AP"/>
    <s v="CK Office "/>
    <s v="MR46"/>
    <s v="wireless-31-1-8"/>
    <m/>
    <s v="Non-Core"/>
    <s v="Closed"/>
    <x v="0"/>
    <s v="power issue"/>
    <s v="Resolved"/>
    <d v="2026-05-27T02:35:11"/>
    <d v="2026-05-29T02:04:00"/>
    <n v="2848.82"/>
    <d v="2026-05-27T02:35:12"/>
    <n v="0.02"/>
    <n v="30"/>
    <s v="SLA Met"/>
    <d v="2026-05-27T02:37:19"/>
    <d v="2026-05-29T02:00:38"/>
    <n v="2843.32"/>
    <n v="5.5"/>
    <n v="120"/>
    <s v="SLA Met"/>
    <m/>
    <n v="129600"/>
    <n v="129594.5"/>
    <n v="99.995756172839506"/>
    <n v="126756.68"/>
    <n v="97.806080246913581"/>
  </r>
  <r>
    <s v="Jubilant Foodworks Ltd (JFL)"/>
    <s v="Alert"/>
    <s v="Abhishek Satish Pawar"/>
    <s v="PRO/INC/47070"/>
    <s v="aps went down"/>
    <s v="Meraki Managed Services"/>
    <s v="Software / Configuration"/>
    <s v="Bangalore"/>
    <s v="Q3AC-RQJS-FY3M"/>
    <x v="26"/>
    <s v="NA"/>
    <s v="AP"/>
    <s v="1F-AP14-R04-SW02-11P"/>
    <s v="MR46"/>
    <s v="wireless-31-1-8"/>
    <m/>
    <s v="Non-Core"/>
    <s v="Closed"/>
    <x v="0"/>
    <s v="power issue"/>
    <s v="Resolved"/>
    <d v="2026-05-27T02:35:16"/>
    <d v="2026-05-29T02:05:00"/>
    <n v="2849.73"/>
    <d v="2026-05-27T02:35:16"/>
    <n v="0"/>
    <n v="30"/>
    <s v="SLA Met"/>
    <d v="2026-05-27T02:38:16"/>
    <d v="2026-05-29T02:03:22"/>
    <n v="2845.1"/>
    <n v="4.63"/>
    <n v="120"/>
    <s v="SLA Met"/>
    <m/>
    <n v="129600"/>
    <n v="129595.37"/>
    <n v="99.996427469135796"/>
    <n v="126754.9"/>
    <n v="97.804706790123447"/>
  </r>
  <r>
    <s v="Jubilant Foodworks Ltd (JFL)"/>
    <s v="Alert"/>
    <s v="Abhishek Satish Pawar"/>
    <s v="PRO/INC/47071"/>
    <s v="switches went down"/>
    <s v="Meraki Managed Services"/>
    <s v="Software / Configuration"/>
    <s v="Bangalore"/>
    <s v="Q2QW-CTFM-KEQZ"/>
    <x v="54"/>
    <s v="1F-R4"/>
    <s v="SW"/>
    <s v="1F-R4-SW1"/>
    <s v="MS250-48FP"/>
    <s v="switch-17-2-2"/>
    <m/>
    <s v="Core"/>
    <s v="Closed"/>
    <x v="0"/>
    <s v="power issue"/>
    <s v="Resolved"/>
    <d v="2026-05-27T02:37:05"/>
    <d v="2026-05-29T02:07:00"/>
    <n v="2849.92"/>
    <d v="2026-05-27T02:37:06"/>
    <n v="0.02"/>
    <n v="30"/>
    <s v="SLA Met"/>
    <d v="2026-05-27T02:39:16"/>
    <d v="2026-05-29T02:05:20"/>
    <n v="2846.07"/>
    <n v="3.85"/>
    <n v="120"/>
    <s v="SLA Met"/>
    <m/>
    <n v="129600"/>
    <n v="129596.15"/>
    <n v="99.99702932098765"/>
    <n v="126753.93"/>
    <n v="97.803958333333327"/>
  </r>
  <r>
    <s v="Jubilant Foodworks Ltd (JFL)"/>
    <s v="Alert"/>
    <s v="Abhishek Satish Pawar"/>
    <s v="PRO/INC/47072"/>
    <s v="switches went down"/>
    <s v="Meraki Managed Services"/>
    <s v="Software / Configuration"/>
    <s v="Bangalore"/>
    <s v="Q2QW-CTFE-E2WF"/>
    <x v="55"/>
    <s v="1F-R3"/>
    <s v="SW"/>
    <s v="1F-R3-SW1"/>
    <s v="MS250-48FP"/>
    <s v="switch-17-2-2"/>
    <m/>
    <s v="Core"/>
    <s v="Closed"/>
    <x v="0"/>
    <s v="power issue"/>
    <s v="Resolved"/>
    <d v="2026-05-27T02:37:15"/>
    <d v="2026-05-29T02:09:00"/>
    <n v="2851.75"/>
    <d v="2026-05-27T02:37:16"/>
    <n v="0.02"/>
    <n v="30"/>
    <s v="SLA Met"/>
    <d v="2026-05-27T02:40:03"/>
    <d v="2026-05-29T02:06:21"/>
    <n v="2846.3"/>
    <n v="5.45"/>
    <n v="120"/>
    <s v="SLA Met"/>
    <m/>
    <n v="129600"/>
    <n v="129594.55"/>
    <n v="99.995794753086415"/>
    <n v="126753.7"/>
    <n v="97.803780864197535"/>
  </r>
  <r>
    <s v="Jubilant Foodworks Ltd (JFL)"/>
    <s v="Alert"/>
    <s v="Kartik Choudhary"/>
    <s v="PRO/INC/47073"/>
    <s v="switches went down"/>
    <s v="Meraki Managed Services"/>
    <s v="Software / Configuration"/>
    <s v="Bangalore"/>
    <s v="Q2QW-CAKK-KNXD"/>
    <x v="56"/>
    <s v="1F-R4"/>
    <s v="SW"/>
    <s v="1F-R4-SW2"/>
    <s v="MS250-48FP"/>
    <s v="switch-17-1-4"/>
    <m/>
    <s v="Core"/>
    <s v="Closed"/>
    <x v="0"/>
    <s v="power issue"/>
    <s v="power issue"/>
    <d v="2026-05-27T02:37:15"/>
    <d v="2026-05-27T20:37:00"/>
    <n v="1079.75"/>
    <d v="2026-05-27T02:37:16"/>
    <n v="0.02"/>
    <n v="30"/>
    <s v="SLA Met"/>
    <d v="2026-05-27T02:40:32"/>
    <d v="2026-05-27T20:34:09"/>
    <n v="1073.6199999999999"/>
    <n v="6.13"/>
    <n v="120"/>
    <s v="SLA Met"/>
    <m/>
    <n v="129600"/>
    <n v="129593.87"/>
    <n v="99.995270061728391"/>
    <n v="128526.38"/>
    <n v="99.171589506172836"/>
  </r>
  <r>
    <s v="Jubilant Foodworks Ltd (JFL)"/>
    <s v="Alert"/>
    <s v="Kartik Choudhary"/>
    <s v="PRO/INC/47074"/>
    <s v="switches went down"/>
    <s v="Meraki Managed Services"/>
    <s v="Software / Configuration"/>
    <s v="Bangalore"/>
    <s v="Q2QW-CTFW-5KJ6"/>
    <x v="57"/>
    <s v="1F-R3"/>
    <s v="SW"/>
    <s v="1F-R3-SW2"/>
    <s v="MS250-48FP"/>
    <s v="switch-17-2-2"/>
    <m/>
    <s v="Core"/>
    <s v="Closed"/>
    <x v="0"/>
    <s v="power issue"/>
    <s v="power issue"/>
    <d v="2026-05-27T02:37:26"/>
    <d v="2026-05-27T20:36:00"/>
    <n v="1078.57"/>
    <d v="2026-05-27T02:37:26"/>
    <n v="0"/>
    <n v="30"/>
    <s v="SLA Met"/>
    <d v="2026-05-27T02:39:32"/>
    <d v="2026-05-27T20:34:03"/>
    <n v="1074.52"/>
    <n v="4.05"/>
    <n v="120"/>
    <s v="SLA Met"/>
    <m/>
    <n v="129600"/>
    <n v="129595.95"/>
    <n v="99.996875000000003"/>
    <n v="128525.48"/>
    <n v="99.170895061728388"/>
  </r>
  <r>
    <s v="Jubilant Foodworks Ltd (JFL)"/>
    <s v="Alert"/>
    <s v="Aneesh P S"/>
    <s v="PRO/INC/47076"/>
    <s v="new dhcp server detected"/>
    <s v="Meraki Managed Services"/>
    <s v="Software / Configuration"/>
    <s v="Nagpur"/>
    <s v="Q5JJ-68KZ-MXAS"/>
    <x v="3"/>
    <s v="RACK 1"/>
    <s v="SW"/>
    <s v="JFL-NAG-SSC-SW01"/>
    <s v="C9300L-48P-4X"/>
    <s v="cs-17-2-2"/>
    <m/>
    <s v="Non-Core"/>
    <s v="Closed"/>
    <x v="2"/>
    <s v="new DHCP server detected (Client side activity)"/>
    <s v="New DHCP server detcted , blocked the server with customer confirmation"/>
    <d v="2026-05-27T09:20:34"/>
    <d v="2026-06-01T11:38:00"/>
    <n v="7337.43"/>
    <d v="2026-05-27T09:20:35"/>
    <n v="0.02"/>
    <n v="30"/>
    <s v="SLA Met"/>
    <d v="2026-05-27T09:22:09"/>
    <d v="2026-06-01T11:11:18"/>
    <n v="7309.15"/>
    <n v="28.28"/>
    <n v="120"/>
    <s v="SLA Met"/>
    <m/>
    <n v="129600"/>
    <n v="129571.72"/>
    <n v="99.978179012345677"/>
    <n v="122290.85"/>
    <n v="94.36022376543211"/>
  </r>
  <r>
    <s v="Jubilant Foodworks Ltd (JFL)"/>
    <s v="Alert"/>
    <s v="Abhishek Satish Pawar"/>
    <s v="PRO/INC/47240"/>
    <s v="new dhcp server detected"/>
    <s v="Meraki Managed Services"/>
    <s v="Software / Configuration"/>
    <s v="Nagpur"/>
    <s v="Q5JJ-68KZ-MXAS"/>
    <x v="3"/>
    <s v="RACK 1"/>
    <s v="SW"/>
    <s v="JFL-NAG-SSC-SW01"/>
    <s v="C9300L-48P-4X"/>
    <s v="cs-17-2-2"/>
    <m/>
    <s v="Non-Core"/>
    <s v="Closed"/>
    <x v="6"/>
    <s v="Configuration Errors"/>
    <s v="Resolved"/>
    <d v="2026-05-28T06:38:45"/>
    <d v="2026-05-30T07:32:00"/>
    <n v="2933.25"/>
    <d v="2026-05-28T06:38:46"/>
    <n v="0.02"/>
    <n v="30"/>
    <s v="SLA Met"/>
    <d v="2026-05-28T06:41:41"/>
    <d v="2026-05-30T07:18:27"/>
    <n v="2916.77"/>
    <n v="16.48"/>
    <n v="120"/>
    <s v="SLA Met"/>
    <m/>
    <n v="129600"/>
    <n v="129583.52"/>
    <n v="99.987283950617297"/>
    <n v="126683.23"/>
    <n v="97.749405864197527"/>
  </r>
  <r>
    <s v="Jubilant Foodworks Ltd (JFL)"/>
    <s v="Alert"/>
    <s v="Aneesh P S"/>
    <s v="PRO/INC/47335"/>
    <s v="aps went down"/>
    <s v="Meraki Managed Services"/>
    <s v="Software / Configuration"/>
    <s v="Greater Noida"/>
    <s v="Q5AA-5TRP-EJMF"/>
    <x v="58"/>
    <s v="NA"/>
    <s v="AP"/>
    <s v="JFL-GNSC-AP04"/>
    <s v="CW9162I"/>
    <s v="wireless-31-1-7"/>
    <m/>
    <s v="Non-Core"/>
    <s v="Closed"/>
    <x v="0"/>
    <s v="Device Power issues"/>
    <s v="Device Power issues"/>
    <d v="2026-05-28T15:32:29"/>
    <d v="2026-05-28T15:49:00"/>
    <n v="16.52"/>
    <d v="2026-05-28T15:32:30"/>
    <n v="0.02"/>
    <n v="30"/>
    <s v="SLA Met"/>
    <d v="2026-05-28T15:41:44"/>
    <d v="2026-05-28T15:46:38"/>
    <n v="4.9000000000000004"/>
    <n v="11.62"/>
    <n v="120"/>
    <s v="SLA Met"/>
    <m/>
    <n v="129600"/>
    <n v="129588.38"/>
    <n v="99.991033950617293"/>
    <n v="129595.1"/>
    <n v="99.996219135802477"/>
  </r>
  <r>
    <s v="Jubilant Foodworks Ltd (JFL)"/>
    <s v="Alert"/>
    <s v="Aneesh P S"/>
    <s v="PRO/INC/47336"/>
    <s v="aps went down"/>
    <s v="Meraki Managed Services"/>
    <s v="Software / Configuration"/>
    <s v="Greater Noida"/>
    <s v="Q5AA-JYZN-6KKB"/>
    <x v="45"/>
    <s v="NA"/>
    <s v="AP"/>
    <s v="JFL-GNSC-AP66"/>
    <s v="CW9162I"/>
    <s v="wireless-31-1-7"/>
    <m/>
    <s v="Non-Core"/>
    <s v="Closed"/>
    <x v="0"/>
    <s v="Device Power issues"/>
    <s v="Device Power issues"/>
    <d v="2026-05-28T15:32:29"/>
    <d v="2026-05-28T15:55:00"/>
    <n v="22.52"/>
    <d v="2026-05-28T15:32:30"/>
    <n v="0.02"/>
    <n v="30"/>
    <s v="SLA Met"/>
    <d v="2026-05-28T15:40:35"/>
    <d v="2026-05-28T15:48:34"/>
    <n v="7.98"/>
    <n v="14.53"/>
    <n v="120"/>
    <s v="SLA Met"/>
    <m/>
    <n v="129600"/>
    <n v="129585.47"/>
    <n v="99.988788580246919"/>
    <n v="129592.02"/>
    <n v="99.9938425925926"/>
  </r>
  <r>
    <s v="Jubilant Foodworks Ltd (JFL)"/>
    <s v="Alert"/>
    <s v="Jagadisha R"/>
    <s v="PRO/INC/47338"/>
    <s v="aps went down"/>
    <s v="Meraki Managed Services"/>
    <s v="Software / Configuration"/>
    <s v="Greater Noida"/>
    <s v="Q5AR-6LBA-42SM"/>
    <x v="59"/>
    <s v="NA"/>
    <s v="AP"/>
    <s v="JFL-GNSC-AP06"/>
    <s v="CW9166I"/>
    <s v="wireless-31-1-7"/>
    <m/>
    <s v="Non-Core"/>
    <s v="Closed"/>
    <x v="0"/>
    <s v="Power issues"/>
    <s v="power issue"/>
    <d v="2026-05-28T15:32:41"/>
    <d v="2026-05-28T15:58:00"/>
    <n v="25.32"/>
    <d v="2026-05-28T15:32:42"/>
    <n v="0.02"/>
    <n v="30"/>
    <s v="SLA Met"/>
    <d v="2026-05-28T15:39:02"/>
    <d v="2026-05-28T15:51:52"/>
    <n v="12.83"/>
    <n v="12.48"/>
    <n v="120"/>
    <s v="SLA Met"/>
    <m/>
    <n v="129600"/>
    <n v="129587.52"/>
    <n v="99.990370370370371"/>
    <n v="129587.17"/>
    <n v="99.990100308641971"/>
  </r>
  <r>
    <s v="Jubilant Foodworks Ltd (JFL)"/>
    <s v="Alert"/>
    <s v="Jagadisha R"/>
    <s v="PRO/INC/47339"/>
    <s v="aps went down"/>
    <s v="Meraki Managed Services"/>
    <s v="Software / Configuration"/>
    <s v="Greater Noida"/>
    <s v="Q5AA-Z3WW-CY6C"/>
    <x v="60"/>
    <s v="NA"/>
    <s v="AP"/>
    <s v="JFL-GNSC-AP05"/>
    <s v="CW9162I"/>
    <s v="wireless-31-1-7"/>
    <m/>
    <s v="Non-Core"/>
    <s v="Closed"/>
    <x v="0"/>
    <s v="Power issues"/>
    <s v="power issue"/>
    <d v="2026-05-28T15:32:42"/>
    <d v="2026-05-28T15:58:00"/>
    <n v="25.3"/>
    <d v="2026-05-28T15:32:42"/>
    <n v="0"/>
    <n v="30"/>
    <s v="SLA Met"/>
    <d v="2026-05-28T15:42:29"/>
    <d v="2026-05-28T15:53:33"/>
    <n v="11.07"/>
    <n v="14.23"/>
    <n v="120"/>
    <s v="SLA Met"/>
    <m/>
    <n v="129600"/>
    <n v="129585.77"/>
    <n v="99.989020061728397"/>
    <n v="129588.93"/>
    <n v="99.991458333333327"/>
  </r>
  <r>
    <s v="Jubilant Foodworks Ltd (JFL)"/>
    <s v="Alert"/>
    <s v="Aneesh P S"/>
    <s v="PRO/INC/47340"/>
    <s v="aps went down"/>
    <s v="Meraki Managed Services"/>
    <s v="Software / Configuration"/>
    <s v="Greater Noida"/>
    <s v="Q5AA-TSZZ-HUFQ"/>
    <x v="61"/>
    <s v="NA"/>
    <s v="AP"/>
    <s v="JFL-GNSC-AP34"/>
    <s v="CW9162I"/>
    <s v="wireless-31-1-7"/>
    <m/>
    <s v="Non-Core"/>
    <s v="Closed"/>
    <x v="0"/>
    <s v="Device Power issues"/>
    <s v="Device Power issues"/>
    <d v="2026-05-28T15:32:45"/>
    <d v="2026-05-28T15:50:00"/>
    <n v="17.25"/>
    <d v="2026-05-28T15:32:45"/>
    <n v="0"/>
    <n v="30"/>
    <s v="SLA Met"/>
    <d v="2026-05-28T15:38:47"/>
    <d v="2026-05-28T15:44:57"/>
    <n v="6.17"/>
    <n v="11.08"/>
    <n v="120"/>
    <s v="SLA Met"/>
    <m/>
    <n v="129600"/>
    <n v="129588.92"/>
    <n v="99.991450617283945"/>
    <n v="129593.83"/>
    <n v="99.995239197530864"/>
  </r>
  <r>
    <s v="Jubilant Foodworks Ltd (JFL)"/>
    <s v="Alert"/>
    <s v="Jagadisha R"/>
    <s v="PRO/INC/47359"/>
    <s v="aps went down"/>
    <s v="Meraki Managed Services"/>
    <s v="Software / Configuration"/>
    <s v="Bangalore"/>
    <s v="Q3AC-NC4G-DUA2"/>
    <x v="62"/>
    <s v="NA"/>
    <s v="AP"/>
    <s v="GF-AP29-R04-SW02-23P"/>
    <s v="MR46"/>
    <s v="wireless-31-1-8"/>
    <m/>
    <s v="Non-Core"/>
    <s v="Closed"/>
    <x v="0"/>
    <s v="power issue"/>
    <s v="power issue"/>
    <d v="2026-05-28T17:08:21"/>
    <d v="2026-05-29T09:30:00"/>
    <n v="981.65"/>
    <d v="2026-05-28T17:08:22"/>
    <n v="0.02"/>
    <n v="30"/>
    <s v="SLA Met"/>
    <d v="2026-05-28T17:14:12"/>
    <d v="2026-05-29T09:27:26"/>
    <n v="973.23"/>
    <n v="8.42"/>
    <n v="120"/>
    <s v="SLA Met"/>
    <m/>
    <n v="129600"/>
    <n v="129591.58"/>
    <n v="99.99350308641975"/>
    <n v="128626.77"/>
    <n v="99.249050925925928"/>
  </r>
  <r>
    <s v="Jubilant Foodworks Ltd (JFL)"/>
    <s v="Alert"/>
    <s v="Jagadisha R"/>
    <s v="PRO/INC/47360"/>
    <s v="aps went down"/>
    <s v="Meraki Managed Services"/>
    <s v="Software / Configuration"/>
    <s v="Bangalore"/>
    <s v="Q3AC-59QF-LNTG"/>
    <x v="63"/>
    <s v="NA"/>
    <s v="AP"/>
    <s v="GF-AP35-R04-SW02-13P"/>
    <s v="MR46"/>
    <s v="wireless-31-1-8"/>
    <m/>
    <s v="Non-Core"/>
    <s v="Closed"/>
    <x v="0"/>
    <s v="power issue"/>
    <s v="power issue"/>
    <d v="2026-05-28T17:08:21"/>
    <d v="2026-05-29T09:29:00"/>
    <n v="980.65"/>
    <d v="2026-05-28T17:08:22"/>
    <n v="0.02"/>
    <n v="30"/>
    <s v="SLA Met"/>
    <d v="2026-05-28T17:15:31"/>
    <d v="2026-05-29T09:25:41"/>
    <n v="970.17"/>
    <n v="10.48"/>
    <n v="120"/>
    <s v="SLA Met"/>
    <m/>
    <n v="129600"/>
    <n v="129589.52"/>
    <n v="99.991913580246916"/>
    <n v="128629.83"/>
    <n v="99.251412037037028"/>
  </r>
  <r>
    <s v="Jubilant Foodworks Ltd (JFL)"/>
    <s v="Alert"/>
    <s v="Jagadisha R"/>
    <s v="PRO/INC/47358"/>
    <s v="aps went down"/>
    <s v="Meraki Managed Services"/>
    <s v="Software / Configuration"/>
    <s v="Bangalore"/>
    <s v="Q3AC-W6MK-P7AJ"/>
    <x v="64"/>
    <s v="NA"/>
    <s v="AP"/>
    <s v="GF-AP39-R04-SW02-15P"/>
    <s v="MR46"/>
    <s v="wireless-31-1-8"/>
    <m/>
    <s v="Non-Core"/>
    <s v="Closed"/>
    <x v="0"/>
    <s v="power issue"/>
    <s v="power issue"/>
    <d v="2026-05-28T17:08:21"/>
    <d v="2026-05-29T09:33:00"/>
    <n v="984.65"/>
    <d v="2026-05-28T17:08:22"/>
    <n v="0.02"/>
    <n v="30"/>
    <s v="SLA Met"/>
    <d v="2026-05-28T17:12:45"/>
    <d v="2026-05-29T09:30:00"/>
    <n v="977.25"/>
    <n v="7.4"/>
    <n v="120"/>
    <s v="SLA Met"/>
    <m/>
    <n v="129600"/>
    <n v="129592.6"/>
    <n v="99.994290123456793"/>
    <n v="128622.75"/>
    <n v="99.245949074074076"/>
  </r>
  <r>
    <s v="Jubilant Foodworks Ltd (JFL)"/>
    <s v="Alert"/>
    <s v="Jagadisha R"/>
    <s v="PRO/INC/47361"/>
    <s v="switches went down"/>
    <s v="Meraki Managed Services"/>
    <s v="Software / Configuration"/>
    <s v="Bangalore"/>
    <s v="Q2QW-DC3Q-MPWQ"/>
    <x v="65"/>
    <s v="GF-R4"/>
    <s v="SW"/>
    <s v="GF-R4-SW2"/>
    <s v="MS250-48FP"/>
    <s v="switch-17-2-2"/>
    <m/>
    <s v="Core"/>
    <s v="Closed"/>
    <x v="0"/>
    <s v="Power issues"/>
    <s v="power issue"/>
    <d v="2026-05-28T17:10:19"/>
    <d v="2026-05-29T09:35:00"/>
    <n v="984.68"/>
    <d v="2026-05-28T17:10:19"/>
    <n v="0"/>
    <n v="30"/>
    <s v="SLA Met"/>
    <d v="2026-05-28T17:13:44"/>
    <d v="2026-05-29T09:31:28"/>
    <n v="977.73"/>
    <n v="6.95"/>
    <n v="120"/>
    <s v="SLA Met"/>
    <m/>
    <n v="129600"/>
    <n v="129593.05"/>
    <n v="99.99463734567901"/>
    <n v="128622.27"/>
    <n v="99.245578703703714"/>
  </r>
  <r>
    <s v="Jubilant Foodworks Ltd (JFL)"/>
    <s v="Alert"/>
    <s v="Jagadisha R"/>
    <s v="PRO/INC/47362"/>
    <s v="switches went down"/>
    <s v="Meraki Managed Services"/>
    <s v="Software / Configuration"/>
    <s v="Bangalore"/>
    <s v="Q2QW-CNV8-9Q8Y"/>
    <x v="66"/>
    <s v="GF-R4"/>
    <s v="SW"/>
    <s v="GF-R4-SW1"/>
    <s v="MS250-48FP"/>
    <s v="switch-17-1-4"/>
    <m/>
    <s v="Core"/>
    <s v="Closed"/>
    <x v="0"/>
    <s v="Power issues"/>
    <s v="power issue"/>
    <d v="2026-05-28T17:10:29"/>
    <d v="2026-05-29T09:38:00"/>
    <n v="987.52"/>
    <d v="2026-05-28T17:10:30"/>
    <n v="0.02"/>
    <n v="30"/>
    <s v="SLA Met"/>
    <d v="2026-05-28T17:12:34"/>
    <d v="2026-05-29T09:33:11"/>
    <n v="980.62"/>
    <n v="6.9"/>
    <n v="120"/>
    <s v="SLA Met"/>
    <m/>
    <n v="129600"/>
    <n v="129593.1"/>
    <n v="99.994675925925932"/>
    <n v="128619.38"/>
    <n v="99.243348765432103"/>
  </r>
  <r>
    <s v="Jubilant Foodworks Ltd (JFL)"/>
    <s v="Alert"/>
    <s v="Rohit Mourya"/>
    <s v="PRO/INC/47366"/>
    <s v="aps went down"/>
    <s v="Meraki Managed Services"/>
    <s v="Software / Configuration"/>
    <s v="Greater Noida"/>
    <s v="Q3KG-JH9T-FL7Z"/>
    <x v="24"/>
    <s v="NA"/>
    <s v="AP"/>
    <s v="JFL-GNSC-AP48"/>
    <s v="MR86"/>
    <s v="wireless-31-1-7"/>
    <m/>
    <s v="Non-Core"/>
    <s v="Closed"/>
    <x v="0"/>
    <s v="ISP issue"/>
    <s v="ethernet speed degraded; need to change ethernet cable"/>
    <d v="2026-05-28T19:38:41"/>
    <d v="2026-06-02T08:59:00"/>
    <n v="6560.32"/>
    <d v="2026-05-28T19:38:42"/>
    <n v="0.02"/>
    <n v="30"/>
    <s v="SLA Met"/>
    <d v="2026-05-28T19:44:27"/>
    <d v="2026-06-02T08:57:42"/>
    <n v="6553.25"/>
    <n v="7.07"/>
    <n v="120"/>
    <s v="SLA Met"/>
    <m/>
    <n v="129600"/>
    <n v="129592.93"/>
    <n v="99.994544753086416"/>
    <n v="123046.75"/>
    <n v="94.943479938271608"/>
  </r>
  <r>
    <s v="Jubilant Foodworks Ltd (JFL)"/>
    <s v="Alert"/>
    <s v="Aneesh P S"/>
    <s v="PRO/INC/47426"/>
    <s v="aps went down"/>
    <s v="Meraki Managed Services"/>
    <s v="Software / Configuration"/>
    <s v="Guwahati"/>
    <s v="Q5AA-RM28-C2R8"/>
    <x v="2"/>
    <s v="NA"/>
    <s v="AP"/>
    <s v="JFL-Guwahati-SSC-AP-03"/>
    <s v="CW9162I"/>
    <s v="MR 32.1.7"/>
    <m/>
    <s v="Non-Core"/>
    <s v="Closed"/>
    <x v="7"/>
    <m/>
    <s v="Device Firmware Upgrade"/>
    <d v="2026-05-29T15:08:48"/>
    <d v="2026-05-29T15:27:00"/>
    <n v="18.2"/>
    <d v="2026-05-29T15:08:49"/>
    <n v="0.02"/>
    <n v="30"/>
    <s v="SLA Met"/>
    <m/>
    <m/>
    <n v="0"/>
    <n v="18.2"/>
    <n v="120"/>
    <s v="SLA Met"/>
    <m/>
    <n v="129600"/>
    <n v="129581.8"/>
    <n v="99.985956790123453"/>
    <n v="129600"/>
    <n v="100"/>
  </r>
  <r>
    <s v="Jubilant Foodworks Ltd (JFL)"/>
    <s v="Alert"/>
    <s v="Aneesh P S"/>
    <s v="PRO/INC/47431"/>
    <s v="aps went down"/>
    <s v="Meraki Managed Services"/>
    <s v="Software / Configuration"/>
    <s v="Guwahati"/>
    <s v="Q3KG-ZJZJ-WWH5"/>
    <x v="20"/>
    <s v="NA"/>
    <s v="AP"/>
    <s v="JFL-Guwahati-SSC-AP-02"/>
    <s v="MR86"/>
    <s v="MR 32.1.7"/>
    <m/>
    <s v="Non-Core"/>
    <s v="Closed"/>
    <x v="7"/>
    <s v="Device Upgradation activity"/>
    <s v="device Firmware Upgrdation"/>
    <d v="2026-05-29T15:40:02"/>
    <d v="2026-05-30T17:00:00"/>
    <n v="1519.97"/>
    <d v="2026-05-29T15:40:05"/>
    <n v="0.05"/>
    <n v="30"/>
    <s v="SLA Met"/>
    <d v="2026-05-29T15:42:40"/>
    <d v="2026-05-30T16:48:37"/>
    <n v="1505.95"/>
    <n v="14.02"/>
    <n v="120"/>
    <s v="SLA Met"/>
    <m/>
    <n v="129600"/>
    <n v="129585.98"/>
    <n v="99.989182098765426"/>
    <n v="128094.05"/>
    <n v="98.83800154320987"/>
  </r>
  <r>
    <s v="Jubilant Foodworks Ltd (JFL)"/>
    <s v="Alert"/>
    <s v="Aneesh P S"/>
    <s v="PRO/INC/47432"/>
    <s v="aps went down"/>
    <s v="Meraki Managed Services"/>
    <s v="Software / Configuration"/>
    <s v="Guwahati"/>
    <s v="Q5AA-RM28-C2R8"/>
    <x v="2"/>
    <s v="NA"/>
    <s v="AP"/>
    <s v="JFL-Guwahati-SSC-AP-03"/>
    <s v="CW9162I"/>
    <s v="MR 32.1.7"/>
    <m/>
    <s v="Non-Core"/>
    <s v="Closed"/>
    <x v="7"/>
    <s v="Device Upgradtion activity"/>
    <s v="Device Firmware Upgrade"/>
    <d v="2026-05-29T15:40:08"/>
    <d v="2026-05-30T17:00:00"/>
    <n v="1519.87"/>
    <d v="2026-05-29T15:40:08"/>
    <n v="0"/>
    <n v="30"/>
    <s v="SLA Met"/>
    <d v="2026-05-29T15:43:29"/>
    <d v="2026-05-30T16:52:49"/>
    <n v="1509.33"/>
    <n v="10.53"/>
    <n v="120"/>
    <s v="SLA Met"/>
    <m/>
    <n v="129600"/>
    <n v="129589.47"/>
    <n v="99.991874999999993"/>
    <n v="128090.67"/>
    <n v="98.835393518518515"/>
  </r>
  <r>
    <s v="Jubilant Foodworks Ltd (JFL)"/>
    <s v="Alert"/>
    <s v="Aneesh P S"/>
    <s v="PRO/INC/47434"/>
    <s v="switches went down"/>
    <s v="Meraki Managed Services"/>
    <s v="Software / Configuration"/>
    <s v="Guwahati"/>
    <s v="Q5JG-ECTW-5MN7"/>
    <x v="21"/>
    <s v="CORE"/>
    <s v="SW"/>
    <s v="JFL-Guwahati-CORE-01"/>
    <s v="C9300L-24P-4X"/>
    <s v="IOS XE 17.15.5"/>
    <m/>
    <s v="Core"/>
    <s v="Closed"/>
    <x v="7"/>
    <s v="Firmware upgradation activity in progress"/>
    <s v="Device Firmware Upgradation"/>
    <d v="2026-05-29T15:40:22"/>
    <d v="2026-05-30T17:00:00"/>
    <n v="1519.63"/>
    <d v="2026-05-29T15:40:23"/>
    <n v="0.02"/>
    <n v="30"/>
    <s v="SLA Met"/>
    <d v="2026-05-29T15:41:37"/>
    <d v="2026-05-30T16:54:17"/>
    <n v="1512.67"/>
    <n v="6.97"/>
    <n v="120"/>
    <s v="SLA Met"/>
    <m/>
    <n v="129600"/>
    <n v="129593.03"/>
    <n v="99.994621913580247"/>
    <n v="128087.33"/>
    <n v="98.832816358024687"/>
  </r>
  <r>
    <s v="Jubilant Foodworks Ltd (JFL)"/>
    <s v="Alert"/>
    <s v="Aneesh P S"/>
    <s v="PRO/INC/47474"/>
    <s v="aps went down"/>
    <s v="Meraki Managed Services"/>
    <s v="Software / Configuration"/>
    <s v="Greater Noida"/>
    <s v="Q3KG-JH9T-FL7Z"/>
    <x v="24"/>
    <s v="NA"/>
    <s v="AP"/>
    <s v="JFL-GNSC-AP48"/>
    <s v="MR86"/>
    <s v="wireless-31-1-7"/>
    <m/>
    <s v="Non-Core"/>
    <s v="Closed"/>
    <x v="5"/>
    <s v="Device Boot Issue"/>
    <s v="Device Boot issues"/>
    <d v="2026-05-30T17:20:01"/>
    <d v="2026-05-30T19:26:00"/>
    <n v="125.98"/>
    <d v="2026-05-30T17:20:02"/>
    <n v="0.02"/>
    <n v="30"/>
    <s v="SLA Met"/>
    <d v="2026-05-30T17:24:19"/>
    <d v="2026-05-30T18:58:59"/>
    <n v="94.67"/>
    <n v="31.32"/>
    <n v="120"/>
    <s v="SLA Met"/>
    <m/>
    <n v="129600"/>
    <n v="129568.68"/>
    <n v="99.975833333333327"/>
    <n v="129505.33"/>
    <n v="99.926952160493826"/>
  </r>
  <r>
    <s v="Jubilant Foodworks Ltd (JFL)"/>
    <s v="Alert"/>
    <s v="Dharmendra Bhadoriya"/>
    <s v="PRO/INC/47488"/>
    <s v="aps went down"/>
    <s v="Meraki Managed Services"/>
    <s v="Software / Configuration"/>
    <s v="Greater Noida"/>
    <s v="Q3KG-JH9T-FL7Z"/>
    <x v="24"/>
    <s v="NA"/>
    <s v="AP"/>
    <s v="JFL-GNSC-AP48"/>
    <s v="MR86"/>
    <s v="wireless-31-1-7"/>
    <m/>
    <s v="Non-Core"/>
    <s v="Closed"/>
    <x v="2"/>
    <s v="Client Side Activity"/>
    <s v="Ethernet uplink speed degraded.need to replaced cable"/>
    <d v="2026-05-31T14:33:59"/>
    <d v="2026-06-02T09:07:00"/>
    <n v="2553.02"/>
    <d v="2026-05-31T14:33:59"/>
    <n v="0"/>
    <n v="30"/>
    <s v="SLA Met"/>
    <d v="2026-05-31T14:45:16"/>
    <d v="2026-06-02T09:04:07"/>
    <n v="2538.85"/>
    <n v="14.17"/>
    <n v="120"/>
    <s v="SLA Met"/>
    <m/>
    <n v="129600"/>
    <n v="129585.83"/>
    <n v="99.989066358024687"/>
    <n v="127061.15"/>
    <n v="98.041010802469131"/>
  </r>
  <r>
    <s v="Jubilant Foodworks Ltd (JFL)"/>
    <s v="Alert"/>
    <s v="Dharmendra Bhadoriya"/>
    <s v="PRO/INC/47491"/>
    <s v="aps went down"/>
    <s v="Meraki Managed Services"/>
    <s v="Software / Configuration"/>
    <s v="Greater Noida"/>
    <s v="Q3KG-JH9T-FL7Z"/>
    <x v="24"/>
    <s v="NA"/>
    <s v="AP"/>
    <s v="JFL-GNSC-AP48"/>
    <s v="MR86"/>
    <s v="wireless-31-1-7"/>
    <m/>
    <s v="Non-Core"/>
    <s v="Closed"/>
    <x v="2"/>
    <s v="Client Side Activity"/>
    <s v="Ethernet uplink speed degraded.need to replaced cable"/>
    <d v="2026-05-31T14:55:36"/>
    <d v="2026-06-02T09:23:00"/>
    <n v="2547.4"/>
    <d v="2026-05-31T14:55:37"/>
    <n v="0.02"/>
    <n v="30"/>
    <s v="SLA Met"/>
    <d v="2026-05-31T14:58:25"/>
    <d v="2026-06-02T09:17:24"/>
    <n v="2538.98"/>
    <n v="8.42"/>
    <n v="120"/>
    <s v="SLA Met"/>
    <m/>
    <n v="129600"/>
    <n v="129591.58"/>
    <n v="99.99350308641975"/>
    <n v="127061.02"/>
    <n v="98.040910493827155"/>
  </r>
  <r>
    <s v="Jubilant Foodworks Ltd (JFL)"/>
    <s v="Alert"/>
    <s v="Dharmendra Bhadoriya"/>
    <s v="PRO/INC/47495"/>
    <s v="aps went down"/>
    <s v="Meraki Managed Services"/>
    <s v="Software / Configuration"/>
    <s v="Greater Noida"/>
    <s v="Q3KG-JH9T-FL7Z"/>
    <x v="24"/>
    <s v="NA"/>
    <s v="AP"/>
    <s v="JFL-GNSC-AP48"/>
    <s v="MR86"/>
    <s v="wireless-31-1-7"/>
    <m/>
    <s v="Non-Core"/>
    <s v="Closed"/>
    <x v="2"/>
    <s v="Client Side Activity"/>
    <s v="ethernet uplink speed degraded .need to replace cable"/>
    <d v="2026-05-31T15:07:48"/>
    <d v="2026-06-02T09:03:00"/>
    <n v="2515.1999999999998"/>
    <d v="2026-05-31T15:07:49"/>
    <n v="0.02"/>
    <n v="30"/>
    <s v="SLA Met"/>
    <d v="2026-05-31T15:54:41"/>
    <d v="2026-06-02T09:01:02"/>
    <n v="2466.35"/>
    <n v="48.85"/>
    <n v="120"/>
    <s v="SLA Met"/>
    <m/>
    <n v="129600"/>
    <n v="129551.15"/>
    <n v="99.962307098765422"/>
    <n v="127133.65"/>
    <n v="98.096952160493828"/>
  </r>
  <r>
    <s v="Jubilant Foodworks Ltd (JFL)"/>
    <s v="Alert"/>
    <s v="Aneesh P S"/>
    <s v="PRO/INC/47516"/>
    <s v="aps went down"/>
    <s v="Meraki Managed Services"/>
    <s v="Software / Configuration"/>
    <s v="Greater Noida"/>
    <s v="Q5AA-J9A9-ZJ2B"/>
    <x v="19"/>
    <s v="NA"/>
    <s v="AP"/>
    <s v="JFL-GNSC-AP30"/>
    <s v="CW9162I"/>
    <s v="wireless-31-1-7"/>
    <m/>
    <s v="Non-Core"/>
    <s v="Closed"/>
    <x v="5"/>
    <m/>
    <s v="Device Boot issues"/>
    <d v="2026-06-01T09:31:36"/>
    <d v="2026-06-01T09:53:00"/>
    <n v="21.4"/>
    <d v="2026-06-01T09:31:37"/>
    <n v="0.02"/>
    <n v="30"/>
    <s v="SLA Met"/>
    <m/>
    <m/>
    <n v="0"/>
    <n v="21.4"/>
    <n v="120"/>
    <s v="SLA Met"/>
    <m/>
    <n v="129600"/>
    <n v="129578.6"/>
    <n v="99.983487654320996"/>
    <n v="129600"/>
    <n v="100"/>
  </r>
  <r>
    <s v="Jubilant Foodworks Ltd (JFL)"/>
    <s v="Alert"/>
    <s v="Aneesh P S"/>
    <s v="PRO/INC/47555"/>
    <s v="aps went down"/>
    <s v="Meraki Managed Services"/>
    <s v="Software / Configuration"/>
    <s v="Greater Noida"/>
    <s v="Q5AA-NVD9-AZTY"/>
    <x v="67"/>
    <s v="NA"/>
    <s v="AP"/>
    <s v="JFL-GNSC-AP39"/>
    <s v="CW9162I"/>
    <s v="wireless-31-1-7"/>
    <m/>
    <s v="Non-Core"/>
    <s v="Closed"/>
    <x v="0"/>
    <s v="Devic Boot Issues"/>
    <s v="Device Power issues"/>
    <d v="2026-06-01T15:08:29"/>
    <d v="2026-06-02T18:12:00"/>
    <n v="1623.52"/>
    <d v="2026-06-01T15:08:30"/>
    <n v="0.02"/>
    <n v="30"/>
    <s v="SLA Met"/>
    <d v="2026-06-01T15:10:56"/>
    <d v="2026-06-02T18:02:45"/>
    <n v="1611.82"/>
    <n v="11.7"/>
    <n v="120"/>
    <s v="SLA Met"/>
    <m/>
    <n v="129600"/>
    <n v="129588.3"/>
    <n v="99.990972222222226"/>
    <n v="127988.18"/>
    <n v="98.756311728395048"/>
  </r>
  <r>
    <s v="Jubilant Foodworks Ltd (JFL)"/>
    <s v="Alert"/>
    <s v="Dharmendra Bhadoriya"/>
    <s v="PRO/INC/47575"/>
    <s v="new dhcp server detected"/>
    <s v="Meraki Managed Services"/>
    <s v="Software / Configuration"/>
    <s v="Nagpur"/>
    <s v="Q5JJ-68KZ-MXAS"/>
    <x v="3"/>
    <s v="RACK 1"/>
    <s v="SW"/>
    <s v="JFL-NAG-SSC-SW01"/>
    <s v="C9300L-48P-4X"/>
    <s v="cs-17-2-2"/>
    <m/>
    <s v="Non-Core"/>
    <s v="Closed"/>
    <x v="2"/>
    <s v="awaiting for customer response. Observation has been shared with customer."/>
    <s v="block"/>
    <d v="2026-06-02T06:50:52"/>
    <d v="2026-06-02T09:25:00"/>
    <n v="154.13"/>
    <d v="2026-06-02T06:50:53"/>
    <n v="0.02"/>
    <n v="30"/>
    <s v="SLA Met"/>
    <d v="2026-06-02T06:53:42"/>
    <d v="2026-06-02T09:20:49"/>
    <n v="147.12"/>
    <n v="7.02"/>
    <n v="120"/>
    <s v="SLA Met"/>
    <m/>
    <n v="129600"/>
    <n v="129592.98"/>
    <n v="99.994583333333338"/>
    <n v="129452.88"/>
    <n v="99.886481481481482"/>
  </r>
  <r>
    <s v="Jubilant Foodworks Ltd (JFL)"/>
    <s v="Alert"/>
    <s v="Aneesh P S"/>
    <s v="PRO/INC/47846"/>
    <s v="new dhcp server detected"/>
    <s v="Meraki Managed Services"/>
    <s v="Software / Configuration"/>
    <s v="Nagpur"/>
    <s v="Q5JJ-68KZ-MXAS"/>
    <x v="3"/>
    <s v="RACK 1"/>
    <s v="SW"/>
    <s v="JFL-NAG-SSC-SW01"/>
    <s v="C9300L-48P-4X"/>
    <s v="cs-17-2-2"/>
    <m/>
    <s v="Non-Core"/>
    <s v="Closed"/>
    <x v="1"/>
    <s v="new DHCP server detected"/>
    <s v="New DHCP server detected on the network, as per the customer confirmation blocked the device"/>
    <d v="2026-06-03T15:04:06"/>
    <d v="2026-06-03T16:59:00"/>
    <n v="114.9"/>
    <d v="2026-06-03T15:04:07"/>
    <n v="0.02"/>
    <n v="30"/>
    <s v="SLA Met"/>
    <d v="2026-06-03T15:10:09"/>
    <d v="2026-06-03T16:56:37"/>
    <n v="106.47"/>
    <n v="8.43"/>
    <n v="120"/>
    <s v="SLA Met"/>
    <m/>
    <n v="129600"/>
    <n v="129591.57"/>
    <n v="99.993495370370383"/>
    <n v="129493.53"/>
    <n v="99.917847222222221"/>
  </r>
  <r>
    <s v="Jubilant Foodworks Ltd (JFL)"/>
    <s v="Alert"/>
    <s v="Kartik Choudhary"/>
    <s v="PRO/INC/47898"/>
    <s v="new dhcp server detected"/>
    <s v="Meraki Managed Services"/>
    <s v="Software / Configuration"/>
    <s v="Nagpur"/>
    <s v="Q5JJ-68KZ-MXAS"/>
    <x v="3"/>
    <s v="RACK 1"/>
    <s v="SW"/>
    <s v="JFL-NAG-SSC-SW01"/>
    <s v="C9300L-48P-4X"/>
    <s v="cs-17-2-2"/>
    <m/>
    <s v="Non-Core"/>
    <s v="Closed"/>
    <x v="3"/>
    <s v="Observation is shared with customer. Awaiting for customer response."/>
    <s v="We have blocked the new DHCP server as per customer confirmation."/>
    <d v="2026-06-05T08:02:42"/>
    <d v="2026-06-08T16:52:00"/>
    <n v="4849.3"/>
    <d v="2026-06-05T08:02:42"/>
    <n v="0"/>
    <n v="30"/>
    <s v="SLA Met"/>
    <d v="2026-06-05T08:07:00"/>
    <d v="2026-06-08T16:50:12"/>
    <n v="4843.2"/>
    <n v="6.1"/>
    <n v="120"/>
    <s v="SLA Met"/>
    <m/>
    <n v="129600"/>
    <n v="129593.9"/>
    <n v="99.995293209876536"/>
    <n v="124756.8"/>
    <n v="96.262962962962959"/>
  </r>
  <r>
    <s v="Jubilant Foodworks Ltd (JFL)"/>
    <s v="Alert"/>
    <s v="Jagadisha R"/>
    <s v="PRO/INC/47906"/>
    <s v="new dhcp server detected"/>
    <s v="Meraki Managed Services"/>
    <s v="Software / Configuration"/>
    <s v="Nagpur"/>
    <s v="Q5JJ-68KZ-MXAS"/>
    <x v="3"/>
    <s v="RACK 1"/>
    <s v="SW"/>
    <s v="JFL-NAG-SSC-SW01"/>
    <s v="C9300L-48P-4X"/>
    <s v="cs-17-2-2"/>
    <m/>
    <s v="Non-Core"/>
    <s v="Closed"/>
    <x v="4"/>
    <s v="Observation is shared with customer. Awaiting for customer response."/>
    <s v="customer is not responding , we are closing the case ."/>
    <d v="2026-06-05T09:27:37"/>
    <d v="2026-06-16T22:44:00"/>
    <n v="16636.38"/>
    <d v="2026-06-05T09:27:39"/>
    <n v="0.03"/>
    <n v="30"/>
    <s v="SLA Met"/>
    <d v="2026-06-05T09:29:59"/>
    <d v="2026-06-16T22:38:32"/>
    <n v="16628.55"/>
    <n v="7.83"/>
    <n v="120"/>
    <s v="SLA Met"/>
    <m/>
    <n v="129600"/>
    <n v="129592.17"/>
    <n v="99.993958333333339"/>
    <n v="112971.45"/>
    <n v="87.169328703703698"/>
  </r>
  <r>
    <s v="Jubilant Foodworks Ltd (JFL)"/>
    <s v="Alert"/>
    <s v="Aneesh P S"/>
    <s v="PRO/INC/47909"/>
    <s v="new dhcp server detected"/>
    <s v="Meraki Managed Services"/>
    <s v="Software / Configuration"/>
    <s v="Nagpur"/>
    <s v="Q5JJ-68KZ-MXAS"/>
    <x v="3"/>
    <s v="RACK 1"/>
    <s v="SW"/>
    <s v="JFL-NAG-SSC-SW01"/>
    <s v="C9300L-48P-4X"/>
    <s v="cs-17-2-2"/>
    <m/>
    <s v="Non-Core"/>
    <s v="Closed"/>
    <x v="1"/>
    <s v="New DHCP server detected , need customers clarification"/>
    <s v="New DHCP server detected closed and blocked the server as per customer confirmation"/>
    <d v="2026-06-05T10:32:43"/>
    <d v="2026-06-08T14:12:00"/>
    <n v="4539.28"/>
    <d v="2026-06-05T10:32:43"/>
    <n v="0"/>
    <n v="30"/>
    <s v="SLA Met"/>
    <d v="2026-06-05T10:38:06"/>
    <d v="2026-06-08T14:07:05"/>
    <n v="4528.9799999999996"/>
    <n v="10.3"/>
    <n v="120"/>
    <s v="SLA Met"/>
    <m/>
    <n v="129600"/>
    <n v="129589.7"/>
    <n v="99.9920524691358"/>
    <n v="125071.02"/>
    <n v="96.505416666666662"/>
  </r>
  <r>
    <s v="Jubilant Foodworks Ltd (JFL)"/>
    <s v="Alert"/>
    <s v="Aneesh P S"/>
    <s v="PRO/INC/47925"/>
    <s v="switches went down"/>
    <s v="Meraki Managed Services"/>
    <s v="Software / Configuration"/>
    <s v="Greater Noida"/>
    <s v="Q5TN-NF5F-N32X"/>
    <x v="29"/>
    <s v="CORE"/>
    <s v="SW"/>
    <s v="JFL-GNSC-CORE-SW-ST-01 [1]"/>
    <s v="C9300X-24Y"/>
    <s v="ios-xe-17-15-4"/>
    <m/>
    <s v="Core"/>
    <s v="Closed"/>
    <x v="0"/>
    <s v="device power issue"/>
    <s v="ISP issue"/>
    <d v="2026-06-05T12:29:24"/>
    <d v="2026-06-05T12:46:00"/>
    <n v="16.600000000000001"/>
    <d v="2026-06-05T12:29:25"/>
    <n v="0.02"/>
    <n v="30"/>
    <s v="SLA Met"/>
    <d v="2026-06-05T12:33:43"/>
    <d v="2026-06-05T12:43:55"/>
    <n v="10.199999999999999"/>
    <n v="6.4"/>
    <n v="120"/>
    <s v="SLA Met"/>
    <m/>
    <n v="129600"/>
    <n v="129593.60000000001"/>
    <n v="99.995061728395058"/>
    <n v="129589.8"/>
    <n v="99.99212962962963"/>
  </r>
  <r>
    <s v="Jubilant Foodworks Ltd (JFL)"/>
    <s v="Email"/>
    <s v="Rohit Mourya"/>
    <s v="PRO/INC/47969"/>
    <s v="RE: Scheduled maintenance for 1 network(s) in organization &quot;Jubilant Foodworks Ltd&quot; || GNSC -- Q3KG-6BJV-TZA3"/>
    <s v="Meraki Managed Services"/>
    <s v="IOS Upgradation Activity"/>
    <s v="Greater Noida"/>
    <s v="Q3KG-6BJV-TZA3"/>
    <x v="68"/>
    <s v="NA"/>
    <s v="AP"/>
    <s v="JFL-GNSC-AP53"/>
    <s v="MR86"/>
    <s v="wireless-31-1-7"/>
    <m/>
    <s v="P4"/>
    <s v="Closed"/>
    <x v="2"/>
    <s v="The scheduled activity is planned for June 19, 2026"/>
    <m/>
    <d v="2026-06-06T09:34:41"/>
    <d v="2026-06-16T17:44:00"/>
    <n v="14889.32"/>
    <d v="2026-06-06T09:34:40"/>
    <n v="0"/>
    <n v="30"/>
    <s v="SLA Met"/>
    <d v="2026-06-06T10:09:36"/>
    <d v="2026-06-16T17:38:54"/>
    <n v="14849.3"/>
    <n v="40.020000000000003"/>
    <n v="2880"/>
    <s v="SLA Met"/>
    <m/>
    <n v="129600"/>
    <n v="129559.98"/>
    <n v="99.969120370370362"/>
    <n v="114750.7"/>
    <n v="88.542206790123458"/>
  </r>
  <r>
    <s v="Jubilant Foodworks Ltd (JFL)"/>
    <s v="Email"/>
    <s v="Rohit Mourya"/>
    <s v="PRO/INC/47970"/>
    <s v="FW: Scheduled maintenance for 1 network(s) in organization &quot;Jubilant Foodworks Ltd&quot; -- Q3KG-FBVZ-2RBN"/>
    <s v="Meraki Managed Services"/>
    <s v="IOS Upgradation Activity"/>
    <s v="Nagpur"/>
    <s v="Q3KG-FBVZ-2RBN"/>
    <x v="69"/>
    <s v="NA"/>
    <s v="AP"/>
    <s v="JFL-NAG-SSC-AP05"/>
    <s v="MR86"/>
    <s v="wireless-31-1-8"/>
    <m/>
    <s v="P4"/>
    <s v="Closed"/>
    <x v="2"/>
    <s v="The scheduled activity is planned for June 17, 2026"/>
    <m/>
    <d v="2026-06-06T09:36:54"/>
    <d v="2026-06-16T17:43:00"/>
    <n v="14886.1"/>
    <d v="2026-06-06T09:36:53"/>
    <n v="0"/>
    <n v="30"/>
    <s v="SLA Met"/>
    <d v="2026-06-06T10:08:46"/>
    <d v="2026-06-16T17:38:14"/>
    <n v="14849.47"/>
    <n v="36.630000000000003"/>
    <n v="2880"/>
    <s v="SLA Met"/>
    <m/>
    <n v="129600"/>
    <n v="129563.37"/>
    <n v="99.971736111111113"/>
    <n v="114750.53"/>
    <n v="88.542075617283956"/>
  </r>
  <r>
    <s v="Jubilant Foodworks Ltd (JFL)"/>
    <s v="Alert"/>
    <s v="Dheerendra Maurya"/>
    <s v="PRO/INC/48101"/>
    <s v="aps went down"/>
    <s v="Meraki Managed Services"/>
    <s v="Software / Configuration"/>
    <s v="Greater Noida"/>
    <s v="Q3KG-XSEX-EG6A"/>
    <x v="34"/>
    <s v="NA"/>
    <s v="AP"/>
    <s v="JFL-GNSC-AP60"/>
    <s v="MR86"/>
    <s v="wireless-31-1-7"/>
    <m/>
    <s v="Non-Core"/>
    <s v="Closed"/>
    <x v="0"/>
    <s v="power issue"/>
    <s v="AP went down due to power issue"/>
    <d v="2026-06-06T11:31:04"/>
    <d v="2026-06-07T00:02:00"/>
    <n v="750.93"/>
    <d v="2026-06-06T11:31:05"/>
    <n v="0.02"/>
    <n v="30"/>
    <s v="SLA Met"/>
    <d v="2026-06-06T11:34:23"/>
    <d v="2026-06-06T23:59:39"/>
    <n v="745.27"/>
    <n v="5.67"/>
    <n v="120"/>
    <s v="SLA Met"/>
    <m/>
    <n v="129600"/>
    <n v="129594.33"/>
    <n v="99.995625000000004"/>
    <n v="128854.73"/>
    <n v="99.424945987654326"/>
  </r>
  <r>
    <s v="Jubilant Foodworks Ltd (JFL)"/>
    <s v="Alert"/>
    <s v="Dheerendra Maurya"/>
    <s v="PRO/INC/48102"/>
    <s v="aps went down"/>
    <s v="Meraki Managed Services"/>
    <s v="Software / Configuration"/>
    <s v="Greater Noida"/>
    <s v="Q5AA-AE34-NNBC"/>
    <x v="70"/>
    <s v="NA"/>
    <s v="AP"/>
    <s v="JFL-GNSC-AP21"/>
    <s v="CW9162I"/>
    <s v="wireless-31-1-7"/>
    <m/>
    <s v="Non-Core"/>
    <s v="Closed"/>
    <x v="0"/>
    <s v="power issue"/>
    <s v="AP went down due to power issue"/>
    <d v="2026-06-06T11:31:04"/>
    <d v="2026-06-06T23:59:00"/>
    <n v="747.93"/>
    <d v="2026-06-06T11:31:05"/>
    <n v="0.02"/>
    <n v="30"/>
    <s v="SLA Met"/>
    <d v="2026-06-06T11:35:15"/>
    <d v="2026-06-06T23:57:36"/>
    <n v="742.35"/>
    <n v="5.58"/>
    <n v="120"/>
    <s v="SLA Met"/>
    <m/>
    <n v="129600"/>
    <n v="129594.42"/>
    <n v="99.995694444444439"/>
    <n v="128857.65"/>
    <n v="99.427199074074068"/>
  </r>
  <r>
    <s v="Jubilant Foodworks Ltd (JFL)"/>
    <s v="Alert"/>
    <s v="Dheerendra Maurya"/>
    <s v="PRO/INC/48103"/>
    <s v="aps went down"/>
    <s v="Meraki Managed Services"/>
    <s v="Software / Configuration"/>
    <s v="Greater Noida"/>
    <s v="Q5AA-XGDL-V7JB"/>
    <x v="71"/>
    <s v="NA"/>
    <s v="AP"/>
    <s v="JFL-GNSC-AP54"/>
    <s v="CW9162I"/>
    <s v="wireless-31-1-7"/>
    <m/>
    <s v="Non-Core"/>
    <s v="Closed"/>
    <x v="0"/>
    <s v="power issue"/>
    <s v="AP went down due to power issue"/>
    <d v="2026-06-06T11:31:04"/>
    <d v="2026-06-07T00:04:00"/>
    <n v="752.93"/>
    <d v="2026-06-06T11:31:05"/>
    <n v="0.02"/>
    <n v="30"/>
    <s v="SLA Met"/>
    <d v="2026-06-06T11:33:50"/>
    <d v="2026-06-07T00:02:22"/>
    <n v="748.53"/>
    <n v="4.4000000000000004"/>
    <n v="120"/>
    <s v="SLA Met"/>
    <m/>
    <n v="129600"/>
    <n v="129595.6"/>
    <n v="99.996604938271602"/>
    <n v="128851.47"/>
    <n v="99.42243055555555"/>
  </r>
  <r>
    <s v="Jubilant Foodworks Ltd (JFL)"/>
    <s v="Email"/>
    <s v="Chhitij Kumar Rai"/>
    <s v="PRO/INC/48114"/>
    <s v="Remove port security || Port Number-23 -- FCW2110B25A"/>
    <s v="Meraki Managed Services"/>
    <s v="Change Request"/>
    <s v="Greater Noida"/>
    <s v="FCW2110B25A"/>
    <x v="72"/>
    <s v="JFL-GNMC-GF-AC-ST-01"/>
    <s v="SW"/>
    <s v="JFL-GNMC-GF-AC-ST-01"/>
    <s v="WS-C2960X-24PD-L"/>
    <s v="CISCO IOS 15.2(7)E13"/>
    <m/>
    <s v="Non-Core"/>
    <s v="Closed"/>
    <x v="1"/>
    <s v="Configuration change"/>
    <s v="we disabled the port security on the switch as per required"/>
    <d v="2026-06-06T12:03:32"/>
    <d v="2026-06-11T05:33:00"/>
    <n v="6809.47"/>
    <d v="2026-06-06T12:03:31"/>
    <n v="0"/>
    <n v="30"/>
    <s v="SLA Met"/>
    <d v="2026-06-06T12:12:11"/>
    <d v="2026-06-11T17:18:44"/>
    <n v="7506.55"/>
    <n v="-697.08"/>
    <n v="120"/>
    <s v="SLA Met"/>
    <m/>
    <n v="129600"/>
    <n v="130297.08"/>
    <n v="100.53787037037037"/>
    <n v="122093.45"/>
    <n v="94.207908950617281"/>
  </r>
  <r>
    <s v="Jubilant Foodworks Ltd (JFL)"/>
    <s v="Email"/>
    <s v="Rohit Mourya"/>
    <s v="PRO/INC/48116"/>
    <s v="physical layer connectivity issue --- Q3KG-A9R2-ATYY"/>
    <s v="Meraki Managed Services"/>
    <s v="Software / Configuration"/>
    <s v="Greater Noida"/>
    <s v="Q3KG-A9R2-ATYY"/>
    <x v="73"/>
    <s v="NA"/>
    <s v="AP"/>
    <s v="JFL-GNSC-AP50"/>
    <s v="MR86"/>
    <s v="wireless-31-1-7"/>
    <m/>
    <s v="Non-Core"/>
    <s v="Closed"/>
    <x v="2"/>
    <s v="Cable issue"/>
    <s v="Cable issue"/>
    <d v="2026-06-06T13:02:42"/>
    <d v="2026-07-17T13:08:00"/>
    <n v="59045.3"/>
    <d v="2026-06-06T13:02:41"/>
    <n v="0"/>
    <n v="30"/>
    <s v="SLA Met"/>
    <d v="2026-06-06T13:26:26"/>
    <d v="2026-07-17T13:07:31"/>
    <n v="59021.08"/>
    <n v="24.22"/>
    <n v="120"/>
    <s v="SLA Met"/>
    <m/>
    <n v="129600"/>
    <n v="129575.78"/>
    <n v="99.981311728395056"/>
    <n v="70578.92"/>
    <n v="54.459043209876548"/>
  </r>
  <r>
    <s v="Jubilant Foodworks Ltd (JFL)"/>
    <s v="Email"/>
    <s v="Rohit Mourya"/>
    <s v="PRO/INC/48117"/>
    <s v="Why all these AP went down -- Q3KG-XSEX-EG6A"/>
    <s v="Meraki Managed Services"/>
    <s v="Software / Configuration"/>
    <s v="Greater Noida"/>
    <s v="Q3KG-XSEX-EG6A"/>
    <x v="34"/>
    <s v="NA"/>
    <s v="AP"/>
    <s v="JFL-GNSC-AP60"/>
    <s v="MR86"/>
    <s v="wireless-31-1-7"/>
    <m/>
    <s v="Non-Core"/>
    <s v="Closed"/>
    <x v="0"/>
    <m/>
    <s v="We reviewed the Meraki Dashboard event logs for the reported Access Point and observed a temporary device reboot event, after which the Ethernet uplink was successfully re-established and the MR came back online. As of now, the device is in an Online state and operating normally. Please find the attached dashboard snapshot for your reference, which confirms that the AP is currently reachable and functioning as expected. We will continue to monitor the device and will keep you informed if any further abnormal behavior is observed."/>
    <d v="2026-06-06T13:16:17"/>
    <d v="2026-06-06T13:51:00"/>
    <n v="34.72"/>
    <d v="2026-06-06T13:16:17"/>
    <n v="0"/>
    <n v="30"/>
    <s v="SLA Met"/>
    <m/>
    <m/>
    <n v="0"/>
    <n v="34.72"/>
    <n v="120"/>
    <s v="SLA Met"/>
    <m/>
    <n v="129600"/>
    <n v="129565.28"/>
    <n v="99.973209876543208"/>
    <n v="129600"/>
    <n v="100"/>
  </r>
  <r>
    <s v="Jubilant Foodworks Ltd (JFL)"/>
    <s v="Alert"/>
    <s v="Dheerendra Maurya"/>
    <s v="PRO/INC/48129"/>
    <s v="aps went down"/>
    <s v="Meraki Managed Services"/>
    <s v="Software / Configuration"/>
    <s v="Greater Noida"/>
    <s v="Q3KG-Y2PU-4DWW"/>
    <x v="32"/>
    <s v="NA"/>
    <s v="AP"/>
    <s v="JFL-GNSC-AP55"/>
    <s v="MR86"/>
    <s v="wireless-31-1-7"/>
    <m/>
    <s v="Non-Core"/>
    <s v="Closed"/>
    <x v="0"/>
    <s v="power issue"/>
    <s v="AP went down due to power issue"/>
    <d v="2026-06-06T20:18:16"/>
    <d v="2026-06-06T23:35:00"/>
    <n v="196.73"/>
    <d v="2026-06-06T20:18:16"/>
    <n v="0"/>
    <n v="30"/>
    <s v="SLA Met"/>
    <d v="2026-06-06T20:20:16"/>
    <d v="2026-06-06T23:32:31"/>
    <n v="192.25"/>
    <n v="4.4800000000000004"/>
    <n v="120"/>
    <s v="SLA Met"/>
    <m/>
    <n v="129600"/>
    <n v="129595.52"/>
    <n v="99.996543209876549"/>
    <n v="129407.75"/>
    <n v="99.851658950617278"/>
  </r>
  <r>
    <s v="Jubilant Foodworks Ltd (JFL)"/>
    <s v="Alert"/>
    <s v="Dheerendra Maurya"/>
    <s v="PRO/INC/48132"/>
    <s v="aps went down"/>
    <s v="Meraki Managed Services"/>
    <s v="Software / Configuration"/>
    <s v="Greater Noida"/>
    <s v="Q3KG-Y2PU-4DWW"/>
    <x v="32"/>
    <s v="NA"/>
    <s v="AP"/>
    <s v="JFL-GNSC-AP55"/>
    <s v="MR86"/>
    <s v="wireless-31-1-7"/>
    <m/>
    <s v="Non-Core"/>
    <s v="Closed"/>
    <x v="0"/>
    <s v="power issue"/>
    <s v="AP went down due to power issue"/>
    <d v="2026-06-06T20:29:36"/>
    <d v="2026-06-06T23:36:00"/>
    <n v="186.4"/>
    <d v="2026-06-06T20:29:37"/>
    <n v="0.02"/>
    <n v="30"/>
    <s v="SLA Met"/>
    <d v="2026-06-06T20:32:17"/>
    <d v="2026-06-06T23:34:44"/>
    <n v="182.45"/>
    <n v="3.95"/>
    <n v="120"/>
    <s v="SLA Met"/>
    <m/>
    <n v="129600"/>
    <n v="129596.05"/>
    <n v="99.996952160493834"/>
    <n v="129417.55"/>
    <n v="99.859220679012353"/>
  </r>
  <r>
    <s v="Jubilant Foodworks Ltd (JFL)"/>
    <s v="Alert"/>
    <s v="Dheerendra Maurya"/>
    <s v="PRO/INC/48136"/>
    <s v="aps went down"/>
    <s v="Meraki Managed Services"/>
    <s v="Software / Configuration"/>
    <s v="Greater Noida"/>
    <s v="Q3KG-Y2PU-4DWW"/>
    <x v="32"/>
    <s v="NA"/>
    <s v="AP"/>
    <s v="JFL-GNSC-AP55"/>
    <s v="MR86"/>
    <s v="wireless-31-1-7"/>
    <m/>
    <s v="Non-Core"/>
    <s v="Closed"/>
    <x v="0"/>
    <s v="power issue"/>
    <s v="AP went down due to power issue"/>
    <d v="2026-06-06T21:46:33"/>
    <d v="2026-06-06T23:27:00"/>
    <n v="100.45"/>
    <d v="2026-06-06T21:46:34"/>
    <n v="0.02"/>
    <n v="30"/>
    <s v="SLA Met"/>
    <d v="2026-06-06T21:50:23"/>
    <d v="2026-06-06T23:25:39"/>
    <n v="95.27"/>
    <n v="5.18"/>
    <n v="120"/>
    <s v="SLA Met"/>
    <m/>
    <n v="129600"/>
    <n v="129594.82"/>
    <n v="99.996003086419762"/>
    <n v="129504.73"/>
    <n v="99.92648919753087"/>
  </r>
  <r>
    <s v="Jubilant Foodworks Ltd (JFL)"/>
    <s v="Alert"/>
    <s v="Dheerendra Maurya"/>
    <s v="PRO/INC/48139"/>
    <s v="aps went down"/>
    <s v="Meraki Managed Services"/>
    <s v="Software / Configuration"/>
    <s v="Greater Noida"/>
    <s v="Q3KG-Y2PU-4DWW"/>
    <x v="32"/>
    <s v="NA"/>
    <s v="AP"/>
    <s v="JFL-GNSC-AP55"/>
    <s v="MR86"/>
    <s v="wireless-31-1-7"/>
    <m/>
    <s v="Non-Core"/>
    <s v="Closed"/>
    <x v="0"/>
    <s v="power issue"/>
    <s v="AP went down due to power issue"/>
    <d v="2026-06-06T22:12:26"/>
    <d v="2026-06-06T23:32:00"/>
    <n v="79.569999999999993"/>
    <d v="2026-06-06T22:12:26"/>
    <n v="0"/>
    <n v="30"/>
    <s v="SLA Met"/>
    <d v="2026-06-06T22:15:25"/>
    <d v="2026-06-06T23:27:41"/>
    <n v="72.27"/>
    <n v="7.3"/>
    <n v="120"/>
    <s v="SLA Met"/>
    <m/>
    <n v="129600"/>
    <n v="129592.7"/>
    <n v="99.994367283950609"/>
    <n v="129527.73"/>
    <n v="99.94423611111111"/>
  </r>
  <r>
    <s v="Jubilant Foodworks Ltd (JFL)"/>
    <s v="Alert"/>
    <s v="Kartik Choudhary"/>
    <s v="PRO/INC/48142"/>
    <s v="aps went down"/>
    <s v="Meraki Managed Services"/>
    <s v="Software / Configuration"/>
    <s v="Mohali"/>
    <s v="Q5AA-V3D8-DKEG"/>
    <x v="74"/>
    <s v="NA"/>
    <s v="AP"/>
    <s v="JFL-Mohali-SCC-AP05"/>
    <s v="CW9162I"/>
    <s v="wireless-31-1-7"/>
    <m/>
    <s v="Non-Core"/>
    <s v="Closed"/>
    <x v="2"/>
    <s v="power issue"/>
    <s v="the AP went down due to a power issue during the installation of the new generator."/>
    <d v="2026-06-06T22:45:46"/>
    <d v="2026-06-07T11:13:00"/>
    <n v="747.23"/>
    <d v="2026-06-06T22:45:47"/>
    <n v="0.02"/>
    <n v="30"/>
    <s v="SLA Met"/>
    <d v="2026-06-06T22:47:24"/>
    <d v="2026-06-07T11:10:56"/>
    <n v="743.53"/>
    <n v="3.7"/>
    <n v="120"/>
    <s v="SLA Met"/>
    <m/>
    <n v="129600"/>
    <n v="129596.3"/>
    <n v="99.997145061728403"/>
    <n v="128856.47"/>
    <n v="99.426288580246919"/>
  </r>
  <r>
    <s v="Jubilant Foodworks Ltd (JFL)"/>
    <s v="Alert"/>
    <s v="Kartik Choudhary"/>
    <s v="PRO/INC/48143"/>
    <s v="switches went down"/>
    <s v="Meraki Managed Services"/>
    <s v="Software / Configuration"/>
    <s v="Mohali"/>
    <s v="Q5JG-NJW9-ABBQ"/>
    <x v="39"/>
    <s v="CORE"/>
    <s v="SW"/>
    <s v="JFL-MOHALI-CORE-02"/>
    <s v="C9300L-24P-4X"/>
    <s v="cs-17-2-1"/>
    <m/>
    <s v="Core"/>
    <s v="Closed"/>
    <x v="2"/>
    <s v="power issue"/>
    <s v="As discussed with Mr. Vijay, the switch went down due to a power issue during the installation of the new generator."/>
    <d v="2026-06-06T22:45:56"/>
    <d v="2026-06-07T11:16:00"/>
    <n v="750.07"/>
    <d v="2026-06-06T22:45:56"/>
    <n v="0"/>
    <n v="30"/>
    <s v="SLA Met"/>
    <d v="2026-06-06T22:48:27"/>
    <d v="2026-06-07T11:14:08"/>
    <n v="745.68"/>
    <n v="4.38"/>
    <n v="120"/>
    <s v="SLA Met"/>
    <m/>
    <n v="129600"/>
    <n v="129595.62"/>
    <n v="99.996620370370366"/>
    <n v="128854.32"/>
    <n v="99.424629629629635"/>
  </r>
  <r>
    <s v="Jubilant Foodworks Ltd (JFL)"/>
    <s v="Alert"/>
    <s v="Kartik Choudhary"/>
    <s v="PRO/INC/48470"/>
    <s v="aps went down"/>
    <s v="Meraki Managed Services"/>
    <s v="Software / Configuration"/>
    <s v="Mohali"/>
    <s v="Q5AA-8PQC-7V98"/>
    <x v="44"/>
    <s v="NA"/>
    <s v="AP"/>
    <s v="JFL-Mohali-SCC-AP06"/>
    <s v="CW9162I"/>
    <s v="wireless-31-1-7"/>
    <m/>
    <s v="Non-Core"/>
    <s v="Closed"/>
    <x v="2"/>
    <s v="As discussed with Mr. Vijay over the call, a new electric generator is being installed at the site. For testing purposes, the power needs to be shut down, due to which the devices are going offline."/>
    <s v="Client side activity as they are installing new Electric generator so for testing they have shut the power and now they have restore the power and device is also up."/>
    <d v="2026-06-07T14:41:00"/>
    <d v="2026-06-07T16:32:00"/>
    <n v="111"/>
    <d v="2026-06-07T14:41:01"/>
    <n v="0.02"/>
    <n v="30"/>
    <s v="SLA Met"/>
    <d v="2026-06-07T14:49:44"/>
    <d v="2026-06-07T16:30:18"/>
    <n v="100.57"/>
    <n v="10.43"/>
    <n v="120"/>
    <s v="SLA Met"/>
    <m/>
    <n v="129600"/>
    <n v="129589.57"/>
    <n v="99.991952160493838"/>
    <n v="129499.43"/>
    <n v="99.922399691358024"/>
  </r>
  <r>
    <s v="Jubilant Foodworks Ltd (JFL)"/>
    <s v="Alert"/>
    <s v="Kartik Choudhary"/>
    <s v="PRO/INC/48471"/>
    <s v="aps went down"/>
    <s v="Meraki Managed Services"/>
    <s v="Software / Configuration"/>
    <s v="Mohali"/>
    <s v="Q3KG-9RDD-U5HG"/>
    <x v="41"/>
    <s v="NA"/>
    <s v="AP"/>
    <s v="JFL-Mohali-SCC-AP12"/>
    <s v="MR86"/>
    <s v="wireless-31-1-7"/>
    <m/>
    <s v="Non-Core"/>
    <s v="Closed"/>
    <x v="2"/>
    <s v="As discussed with Mr. Vijay over the call, a new electric generator is being installed at the site. For testing purposes, the power needs to be shut down, due to which the devices are going offline."/>
    <s v="Client side activity as they are installing new Electric generator so for testing they have shut the power and now they have restore the power and device is also up."/>
    <d v="2026-06-07T14:41:10"/>
    <d v="2026-06-07T16:32:00"/>
    <n v="110.83"/>
    <d v="2026-06-07T14:41:10"/>
    <n v="0"/>
    <n v="30"/>
    <s v="SLA Met"/>
    <d v="2026-06-07T14:50:10"/>
    <d v="2026-06-07T16:28:40"/>
    <n v="98.5"/>
    <n v="12.33"/>
    <n v="120"/>
    <s v="SLA Met"/>
    <m/>
    <n v="129600"/>
    <n v="129587.67"/>
    <n v="99.99048611111111"/>
    <n v="129501.5"/>
    <n v="99.923996913580254"/>
  </r>
  <r>
    <s v="Jubilant Foodworks Ltd (JFL)"/>
    <s v="Alert"/>
    <s v="Kartik Choudhary"/>
    <s v="PRO/INC/48472"/>
    <s v="aps went down"/>
    <s v="Meraki Managed Services"/>
    <s v="Software / Configuration"/>
    <s v="Mohali"/>
    <s v="Q5AA-S8HG-F6YT"/>
    <x v="75"/>
    <s v="NA"/>
    <s v="AP"/>
    <s v="JFL-Mohali-SCC-AP04"/>
    <s v="CW9162I"/>
    <s v="wireless-31-1-7"/>
    <m/>
    <s v="Non-Core"/>
    <s v="Closed"/>
    <x v="2"/>
    <s v="As discussed with Mr. Vijay over the call, a new electric generator is being installed at the site. For testing purposes, the power needs to be shut down, due to which the devices are going offline."/>
    <s v="Client side activity as they are installing new Electric generator so for testing they have shut the power and now they have restore the power and device is also up."/>
    <d v="2026-06-07T14:41:10"/>
    <d v="2026-06-07T16:32:00"/>
    <n v="110.83"/>
    <d v="2026-06-07T14:41:10"/>
    <n v="0"/>
    <n v="30"/>
    <s v="SLA Met"/>
    <d v="2026-06-07T14:49:57"/>
    <d v="2026-06-07T16:30:39"/>
    <n v="100.7"/>
    <n v="10.130000000000001"/>
    <n v="120"/>
    <s v="SLA Met"/>
    <m/>
    <n v="129600"/>
    <n v="129589.87"/>
    <n v="99.992183641975302"/>
    <n v="129499.3"/>
    <n v="99.922299382716048"/>
  </r>
  <r>
    <s v="Jubilant Foodworks Ltd (JFL)"/>
    <s v="Alert"/>
    <s v="Kartik Choudhary"/>
    <s v="PRO/INC/49255"/>
    <s v="Need to enable Port 7,8,9 and 10 on HEALTHCARE switch ------ Q2QW-EY63-C2SF"/>
    <s v="Meraki Managed Services"/>
    <s v="Change Request"/>
    <s v="Bangalore"/>
    <m/>
    <x v="76"/>
    <s v="HEALTHCARE"/>
    <s v="SW"/>
    <s v="HEALTHCARE"/>
    <s v="MS250-48FP"/>
    <s v="switch-17-2-2"/>
    <m/>
    <s v="P4"/>
    <s v="Closed"/>
    <x v="1"/>
    <m/>
    <s v="We enabled ports 7, 8, 9, and 10 under VLAN 9 on the Healthcare switch. After the changes were made, the customer connected the devices, and they successfully joined the network and are functioning as expected."/>
    <d v="2026-06-08T15:27:49"/>
    <d v="2026-06-08T15:38:00"/>
    <n v="10.18"/>
    <d v="2026-06-08T15:27:50"/>
    <n v="0.02"/>
    <n v="30"/>
    <s v="SLA Met"/>
    <m/>
    <m/>
    <n v="0"/>
    <n v="10.18"/>
    <n v="2880"/>
    <s v="SLA Met"/>
    <m/>
    <n v="129600"/>
    <n v="129589.82"/>
    <n v="99.992145061728394"/>
    <n v="129600"/>
    <n v="100"/>
  </r>
  <r>
    <s v="Jubilant Foodworks Ltd (JFL)"/>
    <s v="Alert"/>
    <s v="Aneesh P S"/>
    <s v="PRO/INC/49258"/>
    <s v="Need to enable vlan 9 on GF-ETP-SW 1 port 37"/>
    <s v="Meraki Managed Services"/>
    <s v="Change Request"/>
    <s v="Bangalore"/>
    <s v="Q2QW-CAJU-QVKD"/>
    <x v="1"/>
    <s v="GF-ETP"/>
    <s v="SW"/>
    <s v="GF-ETP-SW1"/>
    <s v="MS250-48FP"/>
    <s v="switch-17-1-4"/>
    <m/>
    <s v="P4"/>
    <s v="Closed"/>
    <x v="1"/>
    <m/>
    <s v="need to add Vlan 9 on port 37 of switch -- added successfully and working fine"/>
    <d v="2026-06-08T16:27:40"/>
    <d v="2026-06-08T16:50:00"/>
    <n v="22.33"/>
    <d v="2026-06-08T16:27:41"/>
    <n v="0.02"/>
    <n v="30"/>
    <s v="SLA Met"/>
    <d v="2026-06-08T16:38:57"/>
    <d v="2026-06-08T16:39:03"/>
    <n v="0.1"/>
    <n v="22.23"/>
    <n v="2880"/>
    <s v="SLA Met"/>
    <m/>
    <n v="129600"/>
    <n v="129577.77"/>
    <n v="99.982847222222233"/>
    <n v="129599.9"/>
    <n v="99.999922839506169"/>
  </r>
  <r>
    <s v="Jubilant Foodworks Ltd (JFL)"/>
    <s v="Alert"/>
    <s v="Abhishek Satish Pawar"/>
    <s v="PRO/INC/49435"/>
    <s v="aps went down"/>
    <s v="Meraki Managed Services"/>
    <s v="Software / Configuration"/>
    <s v="Greater Noida"/>
    <s v="Q5AA-LCK3-FDNW"/>
    <x v="77"/>
    <s v="NA"/>
    <s v="AP"/>
    <s v="JFL-GNSC-AP37"/>
    <s v="CW9162I"/>
    <s v="wireless-31-1-7"/>
    <m/>
    <s v="Non-Core"/>
    <s v="Closed"/>
    <x v="0"/>
    <s v="Device power issue"/>
    <s v="Resolved"/>
    <d v="2026-06-09T14:17:37"/>
    <d v="2026-07-01T12:00:00"/>
    <n v="31542.38"/>
    <d v="2026-06-09T14:17:38"/>
    <n v="0.02"/>
    <n v="30"/>
    <s v="SLA Met"/>
    <d v="2026-06-09T15:00:25"/>
    <d v="2026-07-01T11:58:01"/>
    <n v="31497.599999999999"/>
    <n v="44.78"/>
    <n v="120"/>
    <s v="SLA Met"/>
    <m/>
    <n v="129600"/>
    <n v="129555.22"/>
    <n v="99.965447530864196"/>
    <n v="98102.399999999994"/>
    <n v="75.696296296296296"/>
  </r>
  <r>
    <s v="Jubilant Foodworks Ltd (JFL)"/>
    <s v="Alert"/>
    <s v="Abhishek Satish Pawar"/>
    <s v="PRO/INC/49441"/>
    <s v="aps went down"/>
    <s v="Meraki Managed Services"/>
    <s v="Software / Configuration"/>
    <s v="Greater Noida"/>
    <s v="Q5AA-GHXM-TRTK"/>
    <x v="78"/>
    <s v="NA"/>
    <s v="AP"/>
    <s v="JFL-GNSC-AP20"/>
    <s v="CW9162I"/>
    <s v="wireless-31-1-7"/>
    <m/>
    <s v="Non-Core"/>
    <s v="Closed"/>
    <x v="0"/>
    <s v="power issue"/>
    <s v="Resolved"/>
    <d v="2026-06-09T15:26:25"/>
    <d v="2026-06-24T12:00:00"/>
    <n v="21393.58"/>
    <d v="2026-06-09T15:26:26"/>
    <n v="0.02"/>
    <n v="30"/>
    <s v="SLA Met"/>
    <d v="2026-06-09T15:59:04"/>
    <d v="2026-06-24T11:52:44"/>
    <n v="21353.67"/>
    <n v="39.92"/>
    <n v="120"/>
    <s v="SLA Met"/>
    <m/>
    <n v="129600"/>
    <n v="129560.08"/>
    <n v="99.969197530864193"/>
    <n v="108246.33"/>
    <n v="83.523402777777775"/>
  </r>
  <r>
    <s v="Jubilant Foodworks Ltd (JFL)"/>
    <s v="Alert"/>
    <s v="Abhishek Satish Pawar"/>
    <s v="PRO/INC/49443"/>
    <s v="aps went down"/>
    <s v="Meraki Managed Services"/>
    <s v="Software / Configuration"/>
    <s v="Greater Noida"/>
    <s v="Q3KG-JH9T-FL7Z"/>
    <x v="24"/>
    <s v="NA"/>
    <s v="AP"/>
    <s v="JFL-GNSC-AP48"/>
    <s v="MR86"/>
    <s v="wireless-31-1-7"/>
    <m/>
    <s v="Non-Core"/>
    <s v="Closed"/>
    <x v="0"/>
    <s v="power issue"/>
    <s v="Resolved"/>
    <d v="2026-06-09T15:35:57"/>
    <d v="2026-06-19T12:00:00"/>
    <n v="14184.05"/>
    <d v="2026-06-09T15:35:58"/>
    <n v="0.02"/>
    <n v="30"/>
    <s v="SLA Met"/>
    <d v="2026-06-09T16:05:08"/>
    <d v="2026-06-19T11:20:04"/>
    <n v="14114.93"/>
    <n v="69.12"/>
    <n v="120"/>
    <s v="SLA Met"/>
    <m/>
    <n v="129600"/>
    <n v="129530.88"/>
    <n v="99.946666666666673"/>
    <n v="115485.07"/>
    <n v="89.108850308641991"/>
  </r>
  <r>
    <s v="Jubilant Foodworks Ltd (JFL)"/>
    <s v="Alert"/>
    <s v="Abhishek Satish Pawar"/>
    <s v="PRO/INC/49447"/>
    <s v="aps went down"/>
    <s v="Meraki Managed Services"/>
    <s v="Software / Configuration"/>
    <s v="Greater Noida"/>
    <s v="Q5AA-9N3T-MZGU"/>
    <x v="79"/>
    <s v="NA"/>
    <s v="AP"/>
    <s v="JFL-GNSC-AP02"/>
    <s v="CW9162I"/>
    <s v="wireless-31-1-7"/>
    <m/>
    <s v="Non-Core"/>
    <s v="Closed"/>
    <x v="0"/>
    <s v="power issue"/>
    <s v="Resolved"/>
    <d v="2026-06-09T15:56:06"/>
    <d v="2026-06-12T12:00:00"/>
    <n v="4083.9"/>
    <d v="2026-06-09T15:56:07"/>
    <n v="0.02"/>
    <n v="30"/>
    <s v="SLA Met"/>
    <d v="2026-06-09T15:59:48"/>
    <d v="2026-06-12T11:00:03"/>
    <n v="4020.25"/>
    <n v="63.65"/>
    <n v="120"/>
    <s v="SLA Met"/>
    <m/>
    <n v="129600"/>
    <n v="129536.35"/>
    <n v="99.950887345679021"/>
    <n v="125579.75"/>
    <n v="96.897955246913583"/>
  </r>
  <r>
    <s v="Jubilant Foodworks Ltd (JFL)"/>
    <s v="Alert"/>
    <s v="Aneesh P S"/>
    <s v="PRO/INC/49450"/>
    <s v="power supply went down"/>
    <s v="Meraki Managed Services"/>
    <s v="Software / Configuration"/>
    <s v="Guwahati"/>
    <s v="Q5AA-RM28-C2R8"/>
    <x v="2"/>
    <s v="NA"/>
    <s v="AP"/>
    <s v="JFL-Guwahati-SSC-AP-03"/>
    <s v="CW9162I"/>
    <s v="MR 32.1.7"/>
    <m/>
    <s v="Non-Core"/>
    <s v="Closed"/>
    <x v="0"/>
    <s v="device Power Issue"/>
    <s v="Device Power issues"/>
    <d v="2026-06-09T15:57:16"/>
    <d v="2026-06-09T16:06:00"/>
    <n v="8.73"/>
    <d v="2026-06-09T15:57:16"/>
    <n v="0"/>
    <n v="30"/>
    <s v="SLA Met"/>
    <d v="2026-06-09T15:58:29"/>
    <d v="2026-06-09T16:01:18"/>
    <n v="2.82"/>
    <n v="5.92"/>
    <n v="120"/>
    <s v="SLA Met"/>
    <m/>
    <n v="129600"/>
    <n v="129594.08"/>
    <n v="99.995432098765434"/>
    <n v="129597.18"/>
    <n v="99.997824074074074"/>
  </r>
  <r>
    <s v="Jubilant Foodworks Ltd (JFL)"/>
    <s v="Alert"/>
    <s v="Abhishek Satish Pawar"/>
    <s v="PRO/INC/49451"/>
    <s v="aps went down"/>
    <s v="Meraki Managed Services"/>
    <s v="Software / Configuration"/>
    <s v="Greater Noida"/>
    <s v="Q5AA-FTAU-94AS"/>
    <x v="80"/>
    <s v="NO RACK "/>
    <s v="SW"/>
    <n v="1"/>
    <e v="#N/A"/>
    <e v="#N/A"/>
    <m/>
    <s v="Non-Core"/>
    <s v="Closed"/>
    <x v="0"/>
    <s v="power issue"/>
    <s v="Resolved"/>
    <d v="2026-06-09T16:01:07"/>
    <d v="2026-06-12T12:00:00"/>
    <n v="4078.88"/>
    <d v="2026-06-09T16:01:08"/>
    <n v="0.02"/>
    <n v="30"/>
    <s v="SLA Met"/>
    <d v="2026-06-09T16:03:27"/>
    <d v="2026-06-12T11:02:06"/>
    <n v="4018.65"/>
    <n v="60.23"/>
    <n v="120"/>
    <s v="SLA Met"/>
    <m/>
    <n v="129600"/>
    <n v="129539.77"/>
    <n v="99.953526234567903"/>
    <n v="125581.35"/>
    <n v="96.899189814814818"/>
  </r>
  <r>
    <s v="Jubilant Foodworks Ltd (JFL)"/>
    <s v="Email"/>
    <s v="Kartik Choudhary"/>
    <s v="PRO/INC/49453"/>
    <s v="Add new AP at Greater Noida SCC"/>
    <s v="Meraki Managed Services"/>
    <s v="Change Request"/>
    <s v="Greater Noida"/>
    <m/>
    <x v="80"/>
    <s v="NO RACK "/>
    <s v="SW"/>
    <n v="1"/>
    <e v="#N/A"/>
    <e v="#N/A"/>
    <m/>
    <s v="P4"/>
    <s v="Closed"/>
    <x v="1"/>
    <s v="New configuration(Add  new Device in N/w)"/>
    <s v="JFL-GNSC-AP72 was successfully claimed and connected to the Meraki Cloud, operating as expected. As the device is functioning properly, we will proceed with closing the case."/>
    <d v="2026-06-09T16:02:31"/>
    <d v="2026-06-15T15:30:00"/>
    <n v="8607.48"/>
    <d v="2026-06-09T16:02:31"/>
    <n v="0"/>
    <n v="30"/>
    <s v="SLA Met"/>
    <d v="2026-06-09T16:07:36"/>
    <d v="2026-06-15T15:27:05"/>
    <n v="8599.48"/>
    <n v="8"/>
    <n v="2880"/>
    <s v="SLA Met"/>
    <m/>
    <n v="129600"/>
    <n v="129592"/>
    <n v="99.993827160493836"/>
    <n v="121000.52"/>
    <n v="93.364598765432106"/>
  </r>
  <r>
    <s v="Jubilant Foodworks Ltd (JFL)"/>
    <s v="Alert"/>
    <s v="Abhishek Satish Pawar"/>
    <s v="PRO/INC/49456"/>
    <s v="aps went down"/>
    <s v="Meraki Managed Services"/>
    <s v="Software / Configuration"/>
    <s v="Greater Noida"/>
    <s v="Q3KG-A9R2-ATYY"/>
    <x v="73"/>
    <s v="NA"/>
    <s v="AP"/>
    <s v="JFL-GNSC-AP50"/>
    <s v="MR86"/>
    <s v="wireless-31-1-7"/>
    <m/>
    <s v="Non-Core"/>
    <s v="Closed"/>
    <x v="0"/>
    <s v="power issue"/>
    <s v="Resolved"/>
    <d v="2026-06-09T16:21:21"/>
    <d v="2026-06-19T12:00:00"/>
    <n v="14138.65"/>
    <d v="2026-06-09T16:21:22"/>
    <n v="0.02"/>
    <n v="30"/>
    <s v="SLA Met"/>
    <d v="2026-06-09T16:41:05"/>
    <d v="2026-06-19T11:17:37"/>
    <n v="14076.53"/>
    <n v="62.12"/>
    <n v="120"/>
    <s v="SLA Met"/>
    <m/>
    <n v="129600"/>
    <n v="129537.88"/>
    <n v="99.952067901234571"/>
    <n v="115523.47"/>
    <n v="89.138479938271615"/>
  </r>
  <r>
    <s v="Jubilant Foodworks Ltd (JFL)"/>
    <s v="Alert"/>
    <s v="Abhishek Satish Pawar"/>
    <s v="PRO/INC/49459"/>
    <s v="aps went down"/>
    <s v="Meraki Managed Services"/>
    <s v="Software / Configuration"/>
    <s v="Greater Noida"/>
    <s v="Q5AA-LCK3-FDNW"/>
    <x v="77"/>
    <s v="NA"/>
    <s v="AP"/>
    <s v="JFL-GNSC-AP37"/>
    <s v="CW9162I"/>
    <s v="wireless-31-1-7"/>
    <m/>
    <s v="Non-Core"/>
    <s v="Closed"/>
    <x v="0"/>
    <s v="power issue"/>
    <s v="Resolved"/>
    <d v="2026-06-09T16:43:41"/>
    <d v="2026-07-01T13:00:00"/>
    <n v="31456.32"/>
    <d v="2026-06-09T16:43:42"/>
    <n v="0.02"/>
    <n v="30"/>
    <s v="SLA Met"/>
    <d v="2026-06-09T17:02:21"/>
    <d v="2026-07-01T12:14:30"/>
    <n v="31392.15"/>
    <n v="64.17"/>
    <n v="120"/>
    <s v="SLA Met"/>
    <m/>
    <n v="129600"/>
    <n v="129535.83"/>
    <n v="99.950486111111118"/>
    <n v="98207.85"/>
    <n v="75.777662037037047"/>
  </r>
  <r>
    <s v="Jubilant Foodworks Ltd (JFL)"/>
    <s v="Email"/>
    <s v="Kartik Choudhary"/>
    <s v="PRO/INC/49652"/>
    <s v="Need to Configure the new at JFL GNSC Noida"/>
    <s v="Meraki Managed Services"/>
    <s v="Change Request"/>
    <s v="Greater Noida"/>
    <m/>
    <x v="81"/>
    <s v="JFL-GNMC-LT-AC-SW"/>
    <s v="SW"/>
    <s v="JFL-GNMC-LT-AC-SW-01"/>
    <s v="WS-C2960X-24PD-L"/>
    <s v="CISCO IOS 15.2(7)E13"/>
    <m/>
    <s v="P4"/>
    <s v="Closed"/>
    <x v="1"/>
    <s v="Schedule activity"/>
    <s v="We have successfully configured the new switch with serial number FOC2039V1JW, and the hostname has been configured as JFL-GNMC-LT-AC-SW-01. The hostname, management IP address on VLAN 1, and SSH access have been configured successfully. Additionally, all switch ports have been kept open as per your confirmation. As the requested activity has been completed successfully, we will proceed with closing this case."/>
    <d v="2026-06-10T13:06:24"/>
    <d v="2026-06-15T20:15:00"/>
    <n v="7628.6"/>
    <d v="2026-06-10T13:06:24"/>
    <n v="0"/>
    <n v="30"/>
    <s v="SLA Met"/>
    <d v="2026-06-10T17:03:47"/>
    <d v="2026-06-15T20:11:56"/>
    <n v="7388.15"/>
    <n v="240.45"/>
    <n v="2880"/>
    <s v="SLA Met"/>
    <m/>
    <n v="129600"/>
    <n v="129359.55"/>
    <n v="99.814467592592592"/>
    <n v="122211.85"/>
    <n v="94.299266975308655"/>
  </r>
  <r>
    <s v="Jubilant Foodworks Ltd (JFL)"/>
    <s v="Email"/>
    <s v="Dheerendra Maurya"/>
    <s v="PRO/INC/49653"/>
    <s v="Need to Configure the new switch at JFL GNSC NOida"/>
    <s v="Meraki Managed Services"/>
    <s v="Change Request"/>
    <s v="Greater Noida"/>
    <m/>
    <x v="82"/>
    <s v="JFL-GNMC-EG-AC-SW"/>
    <s v="SW"/>
    <s v="JFL-GNMC-EG-AC-SW-01"/>
    <s v="WS-C2960X-24PD-L"/>
    <s v="CISCO IOS 15.2(7)E13"/>
    <m/>
    <s v="P4"/>
    <s v="Closed"/>
    <x v="1"/>
    <s v="Schedule Activity"/>
    <s v="We have successfully configured the new switch with serial number JIN2117106B, and the hostname has been configured as JFL-GNMC-EG-AC-SW-01 The hostname, management IP address on VLAN 1, TACACS authentication and SSH access have been configured successfully. Additionally, all switch ports have been kept open as per your confirmation."/>
    <d v="2026-06-10T13:27:38"/>
    <d v="2026-06-17T12:24:00"/>
    <n v="10016.370000000001"/>
    <d v="2026-06-10T13:27:37"/>
    <n v="0"/>
    <n v="30"/>
    <s v="SLA Met"/>
    <d v="2026-06-10T17:03:38"/>
    <d v="2026-06-17T12:22:14"/>
    <n v="9798.6"/>
    <n v="217.77"/>
    <n v="2880"/>
    <s v="SLA Met"/>
    <m/>
    <n v="129600"/>
    <n v="129382.23"/>
    <n v="99.831967592592591"/>
    <n v="119801.4"/>
    <n v="92.439351851851853"/>
  </r>
  <r>
    <s v="Jubilant Foodworks Ltd (JFL)"/>
    <s v="Alert"/>
    <s v="Abhishek Satish Pawar"/>
    <s v="PRO/INC/49658"/>
    <s v="aps went down"/>
    <s v="Meraki Managed Services"/>
    <s v="Software / Configuration"/>
    <s v="Greater Noida"/>
    <s v="Q5AA-JKR4-S9MX"/>
    <x v="83"/>
    <s v="NA"/>
    <s v="AP"/>
    <s v="JFL-GNSC-AP24"/>
    <s v="CW9162I"/>
    <s v="wireless-31-1-7"/>
    <m/>
    <s v="Non-Core"/>
    <s v="Closed"/>
    <x v="0"/>
    <s v="power issue"/>
    <s v="Resolved"/>
    <d v="2026-06-10T17:33:43"/>
    <d v="2026-06-12T12:00:00"/>
    <n v="2546.2800000000002"/>
    <d v="2026-06-10T17:33:44"/>
    <n v="0.02"/>
    <n v="30"/>
    <s v="SLA Met"/>
    <d v="2026-06-10T17:36:58"/>
    <d v="2026-06-12T11:06:02"/>
    <n v="2489.0700000000002"/>
    <n v="57.22"/>
    <n v="120"/>
    <s v="SLA Met"/>
    <m/>
    <n v="129600"/>
    <n v="129542.78"/>
    <n v="99.955848765432094"/>
    <n v="127110.93"/>
    <n v="98.079421296296289"/>
  </r>
  <r>
    <s v="Jubilant Foodworks Ltd (JFL)"/>
    <s v="Alert"/>
    <s v="Abhishek Satish Pawar"/>
    <s v="PRO/INC/49659"/>
    <s v="aps went down"/>
    <s v="Meraki Managed Services"/>
    <s v="Software / Configuration"/>
    <s v="Greater Noida"/>
    <s v="Q5AA-EZ6A-S56Y"/>
    <x v="84"/>
    <s v="NA"/>
    <s v="AP"/>
    <s v="JFL-GNSC-AP42"/>
    <s v="CW9162I"/>
    <s v="wireless-31-1-7"/>
    <m/>
    <s v="Non-Core"/>
    <s v="Closed"/>
    <x v="0"/>
    <s v="power issue"/>
    <s v="Resolved"/>
    <d v="2026-06-10T17:33:46"/>
    <d v="2026-06-12T12:00:00"/>
    <n v="2546.23"/>
    <d v="2026-06-10T17:33:47"/>
    <n v="0.02"/>
    <n v="30"/>
    <s v="SLA Met"/>
    <d v="2026-06-10T17:39:15"/>
    <d v="2026-06-12T11:08:52"/>
    <n v="2489.62"/>
    <n v="56.62"/>
    <n v="120"/>
    <s v="SLA Met"/>
    <m/>
    <n v="129600"/>
    <n v="129543.38"/>
    <n v="99.956311728395065"/>
    <n v="127110.38"/>
    <n v="98.078996913580255"/>
  </r>
  <r>
    <s v="Jubilant Foodworks Ltd (JFL)"/>
    <s v="Alert"/>
    <s v="Abhishek Satish Pawar"/>
    <s v="PRO/INC/49660"/>
    <s v="aps went down"/>
    <s v="Meraki Managed Services"/>
    <s v="Software / Configuration"/>
    <s v="Greater Noida"/>
    <s v="Q5AA-XGDL-V7JB"/>
    <x v="71"/>
    <s v="NA"/>
    <s v="AP"/>
    <s v="JFL-GNSC-AP54"/>
    <s v="CW9162I"/>
    <s v="wireless-31-1-7"/>
    <m/>
    <s v="Non-Core"/>
    <s v="Closed"/>
    <x v="0"/>
    <s v="power issue"/>
    <s v="Resolved"/>
    <d v="2026-06-10T17:33:46"/>
    <d v="2026-06-12T12:00:00"/>
    <n v="2546.23"/>
    <d v="2026-06-10T17:33:47"/>
    <n v="0.02"/>
    <n v="30"/>
    <s v="SLA Met"/>
    <d v="2026-06-10T17:38:08"/>
    <d v="2026-06-12T11:07:19"/>
    <n v="2489.1799999999998"/>
    <n v="57.05"/>
    <n v="120"/>
    <s v="SLA Met"/>
    <m/>
    <n v="129600"/>
    <n v="129542.95"/>
    <n v="99.955979938271597"/>
    <n v="127110.82"/>
    <n v="98.079336419753091"/>
  </r>
  <r>
    <s v="Jubilant Foodworks Ltd (JFL)"/>
    <s v="Alert"/>
    <s v="Arvind Kumar Arya"/>
    <s v="PRO/INC/49669"/>
    <s v="aps went down"/>
    <s v="Meraki Managed Services"/>
    <s v="Software / Configuration"/>
    <s v="Greater Noida"/>
    <s v="Q3KG-JH9T-FL7Z"/>
    <x v="24"/>
    <s v="NA"/>
    <s v="AP"/>
    <s v="JFL-GNSC-AP48"/>
    <s v="MR86"/>
    <s v="wireless-31-1-7"/>
    <m/>
    <s v="Non-Core"/>
    <s v="Closed"/>
    <x v="8"/>
    <s v="Power issue on client side"/>
    <s v="after replacing the connectors , AP showing online on the dashboard"/>
    <d v="2026-06-10T23:01:03"/>
    <d v="2026-06-15T11:31:00"/>
    <n v="6509.95"/>
    <d v="2026-06-10T23:01:04"/>
    <n v="0.02"/>
    <n v="30"/>
    <s v="SLA Met"/>
    <d v="2026-06-10T23:09:41"/>
    <d v="2026-06-15T23:29:27"/>
    <n v="7219.77"/>
    <n v="-709.82"/>
    <n v="120"/>
    <s v="SLA Met"/>
    <m/>
    <n v="129600"/>
    <n v="130309.82"/>
    <n v="100.54770061728395"/>
    <n v="122380.23"/>
    <n v="94.429189814814805"/>
  </r>
  <r>
    <s v="Jubilant Foodworks Ltd (JFL)"/>
    <s v="Alert"/>
    <s v="Dheerendra Maurya"/>
    <s v="PRO/INC/49682"/>
    <s v="new dhcp server detected"/>
    <s v="Meraki Managed Services"/>
    <s v="Software / Configuration"/>
    <s v="Nagpur"/>
    <s v="Q5JG-TM9S-PLFP"/>
    <x v="38"/>
    <s v="RACK 2"/>
    <s v="SW"/>
    <s v="JFL-NAG-SSC-SW02"/>
    <s v="C9300L-24P-4X"/>
    <s v="cs-17-2-2"/>
    <m/>
    <s v="Non-Core"/>
    <s v="Closed"/>
    <x v="3"/>
    <s v="Client Side Activity"/>
    <s v="New Dhcp server detected issue has been resolved .Now close the case"/>
    <d v="2026-06-11T09:10:01"/>
    <d v="2026-06-16T16:10:00"/>
    <n v="7619.98"/>
    <d v="2026-06-11T09:10:01"/>
    <n v="0"/>
    <n v="30"/>
    <s v="SLA Met"/>
    <d v="2026-06-11T09:14:05"/>
    <d v="2026-06-16T16:08:28"/>
    <n v="7614.38"/>
    <n v="5.6"/>
    <n v="120"/>
    <s v="SLA Met"/>
    <m/>
    <n v="129600"/>
    <n v="129594.4"/>
    <n v="99.995679012345676"/>
    <n v="121985.62"/>
    <n v="94.124706790123454"/>
  </r>
  <r>
    <s v="Jubilant Foodworks Ltd (JFL)"/>
    <s v="Alert"/>
    <s v="Dheerendra Maurya"/>
    <s v="PRO/INC/49684"/>
    <s v="new dhcp server detected"/>
    <s v="Meraki Managed Services"/>
    <s v="Software / Configuration"/>
    <s v="Nagpur"/>
    <s v="Q5JG-TM9S-PLFP"/>
    <x v="38"/>
    <s v="RACK 2"/>
    <s v="SW"/>
    <s v="JFL-NAG-SSC-SW02"/>
    <s v="C9300L-24P-4X"/>
    <s v="cs-17-2-2"/>
    <m/>
    <s v="Non-Core"/>
    <s v="Closed"/>
    <x v="3"/>
    <s v="Client Side Activity"/>
    <s v="New Dhcp server detected issue has been resolved now close the case"/>
    <d v="2026-06-11T09:19:07"/>
    <d v="2026-06-16T16:08:00"/>
    <n v="7608.88"/>
    <d v="2026-06-11T09:19:08"/>
    <n v="0.02"/>
    <n v="30"/>
    <s v="SLA Met"/>
    <d v="2026-06-11T09:50:59"/>
    <d v="2026-06-16T16:05:24"/>
    <n v="7574.42"/>
    <n v="34.47"/>
    <n v="120"/>
    <s v="SLA Met"/>
    <m/>
    <n v="129600"/>
    <n v="129565.53"/>
    <n v="99.973402777777778"/>
    <n v="122025.58"/>
    <n v="94.155540123456788"/>
  </r>
  <r>
    <s v="Jubilant Foodworks Ltd (JFL)"/>
    <s v="Alert"/>
    <s v="Aneesh P S"/>
    <s v="PRO/INC/49707"/>
    <s v="aps went down"/>
    <s v="Meraki Managed Services"/>
    <s v="Software / Configuration"/>
    <s v="Greater Noida"/>
    <s v="Q5AA-XGDL-V7JB"/>
    <x v="71"/>
    <s v="NA"/>
    <s v="AP"/>
    <s v="JFL-GNSC-AP54"/>
    <s v="CW9162I"/>
    <s v="wireless-31-1-7"/>
    <m/>
    <s v="Non-Core"/>
    <s v="Closed"/>
    <x v="0"/>
    <s v="Device Power issues"/>
    <s v="Device Power issues"/>
    <d v="2026-06-11T10:28:48"/>
    <d v="2026-06-11T10:40:00"/>
    <n v="11.2"/>
    <d v="2026-06-11T10:28:49"/>
    <n v="0.02"/>
    <n v="30"/>
    <s v="SLA Met"/>
    <d v="2026-06-11T10:31:32"/>
    <d v="2026-06-11T10:38:35"/>
    <n v="7.05"/>
    <n v="4.1500000000000004"/>
    <n v="120"/>
    <s v="SLA Met"/>
    <m/>
    <n v="129600"/>
    <n v="129595.85"/>
    <n v="99.996797839506186"/>
    <n v="129592.95"/>
    <n v="99.994560185185193"/>
  </r>
  <r>
    <s v="Jubilant Foodworks Ltd (JFL)"/>
    <s v="Alert"/>
    <s v="Aneesh P S"/>
    <s v="PRO/INC/49709"/>
    <s v="aps went down"/>
    <s v="Meraki Managed Services"/>
    <s v="Software / Configuration"/>
    <s v="Greater Noida"/>
    <s v="Q5AA-ASYH-AKEA"/>
    <x v="85"/>
    <s v="NA"/>
    <s v="AP"/>
    <s v="JFL-GNSC-AP22"/>
    <s v="CW9162I"/>
    <s v="wireless-31-1-7"/>
    <m/>
    <s v="Non-Core"/>
    <s v="Closed"/>
    <x v="0"/>
    <s v="Device Power issues"/>
    <s v="Device Power issues"/>
    <d v="2026-06-11T10:28:53"/>
    <d v="2026-06-11T10:40:00"/>
    <n v="11.12"/>
    <d v="2026-06-11T10:28:54"/>
    <n v="0.02"/>
    <n v="30"/>
    <s v="SLA Met"/>
    <d v="2026-06-11T10:33:14"/>
    <d v="2026-06-11T10:35:34"/>
    <n v="2.33"/>
    <n v="8.7799999999999994"/>
    <n v="120"/>
    <s v="SLA Met"/>
    <m/>
    <n v="129600"/>
    <n v="129591.22"/>
    <n v="99.993225308641982"/>
    <n v="129597.67"/>
    <n v="99.998202160493818"/>
  </r>
  <r>
    <s v="Jubilant Foodworks Ltd (JFL)"/>
    <s v="Alert"/>
    <s v="Aneesh P S"/>
    <s v="PRO/INC/49733"/>
    <s v="aps went down"/>
    <s v="Meraki Managed Services"/>
    <s v="Software / Configuration"/>
    <s v="Greater Noida"/>
    <s v="Q5AA-ASYH-AKEA"/>
    <x v="85"/>
    <s v="NA"/>
    <s v="AP"/>
    <s v="JFL-GNSC-AP22"/>
    <s v="CW9162I"/>
    <s v="wireless-31-1-7"/>
    <m/>
    <s v="Non-Core"/>
    <s v="Closed"/>
    <x v="0"/>
    <s v="Device Power issues"/>
    <s v="Device Power issues"/>
    <d v="2026-06-11T10:43:07"/>
    <d v="2026-06-11T18:10:00"/>
    <n v="446.88"/>
    <d v="2026-06-11T10:43:08"/>
    <n v="0.02"/>
    <n v="30"/>
    <s v="SLA Met"/>
    <d v="2026-06-11T10:44:53"/>
    <d v="2026-06-11T18:08:05"/>
    <n v="443.2"/>
    <n v="3.68"/>
    <n v="120"/>
    <s v="SLA Met"/>
    <m/>
    <n v="129600"/>
    <n v="129596.32"/>
    <n v="99.997160493827167"/>
    <n v="129156.8"/>
    <n v="99.658024691358023"/>
  </r>
  <r>
    <s v="Jubilant Foodworks Ltd (JFL)"/>
    <s v="Alert"/>
    <s v="Abhishek Satish Pawar"/>
    <s v="PRO/INC/49775"/>
    <s v="aps went down"/>
    <s v="Meraki Managed Services"/>
    <s v="Software / Configuration"/>
    <s v="Greater Noida"/>
    <s v="Q5AA-XGDL-V7JB"/>
    <x v="71"/>
    <s v="NA"/>
    <s v="AP"/>
    <s v="JFL-GNSC-AP54"/>
    <s v="CW9162I"/>
    <s v="wireless-31-1-7"/>
    <m/>
    <s v="Non-Core"/>
    <s v="Closed"/>
    <x v="0"/>
    <s v="power issue"/>
    <s v="Resolved"/>
    <d v="2026-06-11T11:10:09"/>
    <d v="2026-06-12T12:00:00"/>
    <n v="1489.85"/>
    <d v="2026-06-11T11:10:11"/>
    <n v="0.03"/>
    <n v="30"/>
    <s v="SLA Met"/>
    <d v="2026-06-11T11:11:37"/>
    <d v="2026-06-12T11:09:59"/>
    <n v="1438.37"/>
    <n v="51.48"/>
    <n v="120"/>
    <s v="SLA Met"/>
    <m/>
    <n v="129600"/>
    <n v="129548.52"/>
    <n v="99.96027777777779"/>
    <n v="128161.63"/>
    <n v="98.89014660493828"/>
  </r>
  <r>
    <s v="Jubilant Foodworks Ltd (JFL)"/>
    <s v="Alert"/>
    <s v="Abhishek Satish Pawar"/>
    <s v="PRO/INC/49776"/>
    <s v="aps went down"/>
    <s v="Meraki Managed Services"/>
    <s v="Software / Configuration"/>
    <s v="Greater Noida"/>
    <s v="Q5AA-ASYH-AKEA"/>
    <x v="85"/>
    <s v="NA"/>
    <s v="AP"/>
    <s v="JFL-GNSC-AP22"/>
    <s v="CW9162I"/>
    <s v="wireless-31-1-7"/>
    <m/>
    <s v="Non-Core"/>
    <s v="Closed"/>
    <x v="0"/>
    <s v="power issue"/>
    <s v="Resolved"/>
    <d v="2026-06-11T11:10:09"/>
    <d v="2026-06-12T12:00:00"/>
    <n v="1489.85"/>
    <d v="2026-06-11T11:10:11"/>
    <n v="0.03"/>
    <n v="30"/>
    <s v="SLA Met"/>
    <d v="2026-06-11T11:13:06"/>
    <d v="2026-06-12T11:11:06"/>
    <n v="1438"/>
    <n v="51.85"/>
    <n v="120"/>
    <s v="SLA Met"/>
    <m/>
    <n v="129600"/>
    <n v="129548.15"/>
    <n v="99.959992283950612"/>
    <n v="128162"/>
    <n v="98.89043209876543"/>
  </r>
  <r>
    <s v="Jubilant Foodworks Ltd (JFL)"/>
    <s v="Email"/>
    <s v="Kartik Choudhary"/>
    <s v="PRO/INC/49834"/>
    <s v="Make one trunk port for AP72.- ----  FOC2218T3Z8"/>
    <s v="Meraki Managed Services"/>
    <s v="Change Request"/>
    <s v="Greater Noida"/>
    <s v="FOC2218T3Z8"/>
    <x v="86"/>
    <s v="JFL-GNMC-EG-AC-ST-01"/>
    <s v="SW"/>
    <s v="JFL-GNMC-EG-AC-ST-01"/>
    <s v="C1-C2960X-24PD-L"/>
    <s v="CISCO IOS 15.2(7)E13"/>
    <m/>
    <s v="P4"/>
    <s v="Closed"/>
    <x v="1"/>
    <s v="Customer ask to schedule the meeting at 3:00 pm"/>
    <s v="Required changes has been done and AP is connected and working fine."/>
    <d v="2026-06-11T13:04:55"/>
    <d v="2026-06-12T18:38:00"/>
    <n v="1773.08"/>
    <d v="2026-06-11T13:04:54"/>
    <n v="0"/>
    <n v="30"/>
    <s v="SLA Met"/>
    <d v="2026-06-11T13:21:17"/>
    <d v="2026-06-12T18:33:56"/>
    <n v="1752.65"/>
    <n v="20.43"/>
    <n v="2880"/>
    <s v="SLA Met"/>
    <m/>
    <n v="129600"/>
    <n v="129579.57"/>
    <n v="99.984236111111116"/>
    <n v="127847.35"/>
    <n v="98.647646604938274"/>
  </r>
  <r>
    <s v="Jubilant Foodworks Ltd (JFL)"/>
    <s v="Alert"/>
    <s v="Abhishek Satish Pawar"/>
    <s v="PRO/INC/49835"/>
    <s v="aps went down"/>
    <s v="Meraki Managed Services"/>
    <s v="Software / Configuration"/>
    <s v="Greater Noida"/>
    <s v="Q5AA-EZ6A-S56Y"/>
    <x v="84"/>
    <s v="NA"/>
    <s v="AP"/>
    <s v="JFL-GNSC-AP42"/>
    <s v="CW9162I"/>
    <s v="wireless-31-1-7"/>
    <m/>
    <s v="Non-Core"/>
    <s v="Closed"/>
    <x v="0"/>
    <s v="power issue"/>
    <s v="Resolved"/>
    <d v="2026-06-11T14:05:16"/>
    <d v="2026-06-12T12:00:00"/>
    <n v="1314.73"/>
    <d v="2026-06-11T14:05:17"/>
    <n v="0.02"/>
    <n v="30"/>
    <s v="SLA Met"/>
    <d v="2026-06-11T14:19:11"/>
    <d v="2026-06-12T11:12:33"/>
    <n v="1253.3699999999999"/>
    <n v="61.37"/>
    <n v="120"/>
    <s v="SLA Met"/>
    <m/>
    <n v="129600"/>
    <n v="129538.63"/>
    <n v="99.95264660493828"/>
    <n v="128346.63"/>
    <n v="99.03289351851852"/>
  </r>
  <r>
    <s v="Jubilant Foodworks Ltd (JFL)"/>
    <s v="Alert"/>
    <s v="Abhishek Satish Pawar"/>
    <s v="PRO/INC/49836"/>
    <s v="aps went down"/>
    <s v="Meraki Managed Services"/>
    <s v="Software / Configuration"/>
    <s v="Greater Noida"/>
    <s v="Q5AA-XGDL-V7JB"/>
    <x v="71"/>
    <s v="NA"/>
    <s v="AP"/>
    <s v="JFL-GNSC-AP54"/>
    <s v="CW9162I"/>
    <s v="wireless-31-1-7"/>
    <m/>
    <s v="Non-Core"/>
    <s v="Closed"/>
    <x v="0"/>
    <s v="power issue"/>
    <s v="Resolved"/>
    <d v="2026-06-11T14:05:26"/>
    <d v="2026-06-12T12:00:00"/>
    <n v="1314.57"/>
    <d v="2026-06-11T14:05:27"/>
    <n v="0.02"/>
    <n v="30"/>
    <s v="SLA Met"/>
    <d v="2026-06-11T14:20:23"/>
    <d v="2026-06-12T11:13:46"/>
    <n v="1253.3800000000001"/>
    <n v="61.18"/>
    <n v="120"/>
    <s v="SLA Met"/>
    <m/>
    <n v="129600"/>
    <n v="129538.82"/>
    <n v="99.952793209876546"/>
    <n v="128346.62"/>
    <n v="99.032885802469124"/>
  </r>
  <r>
    <s v="Jubilant Foodworks Ltd (JFL)"/>
    <s v="Email"/>
    <s v="Dheerendra Maurya"/>
    <s v="PRO/INC/49873"/>
    <s v="Remove port security below the switch  - FJC290222SV"/>
    <s v="Meraki Managed Services"/>
    <s v="Change Request"/>
    <s v="Greater Noida"/>
    <m/>
    <x v="87"/>
    <s v="JFL-GNSC-TP-AC-SW-01"/>
    <s v="SW"/>
    <s v="JFL-GNSC-TP-AC-SW-01"/>
    <s v="C9200CX-8P-2X2G"/>
    <s v="ios-xe 17.12.05"/>
    <m/>
    <s v="P4"/>
    <s v="Closed"/>
    <x v="1"/>
    <s v="changing request"/>
    <s v="I have removed the port security configuration on switch GNMC-TP-AC-SW-01, port number 4.Now i have close the case"/>
    <d v="2026-06-12T13:51:24"/>
    <d v="2026-06-15T15:55:00"/>
    <n v="4443.6000000000004"/>
    <d v="2026-06-12T13:51:24"/>
    <n v="0"/>
    <n v="30"/>
    <s v="SLA Met"/>
    <d v="2026-06-12T14:00:04"/>
    <d v="2026-06-15T15:45:38"/>
    <n v="4425.57"/>
    <n v="18.03"/>
    <n v="2880"/>
    <s v="SLA Met"/>
    <m/>
    <n v="129600"/>
    <n v="129581.97"/>
    <n v="99.986087962962969"/>
    <n v="125174.43"/>
    <n v="96.585208333333327"/>
  </r>
  <r>
    <s v="Jubilant Foodworks Ltd (JFL)"/>
    <s v="Alert"/>
    <s v="Arvind Kumar Arya"/>
    <s v="PRO/INC/49889"/>
    <s v="aps went down"/>
    <s v="Meraki Managed Services"/>
    <s v="Software / Configuration"/>
    <s v="Greater Noida"/>
    <s v="Q3KG-JH9T-FL7Z"/>
    <x v="24"/>
    <s v="NA"/>
    <s v="AP"/>
    <s v="JFL-GNSC-AP48"/>
    <s v="MR86"/>
    <s v="wireless-31-1-7"/>
    <m/>
    <s v="Non-Core"/>
    <s v="Closed"/>
    <x v="8"/>
    <s v="Power issue on client side"/>
    <s v="after replacing the connectors , AP showing online on the dashboard"/>
    <d v="2026-06-13T00:37:15"/>
    <d v="2026-06-15T11:34:00"/>
    <n v="3536.75"/>
    <d v="2026-06-13T00:37:16"/>
    <n v="0.02"/>
    <n v="30"/>
    <s v="SLA Met"/>
    <d v="2026-06-13T00:58:09"/>
    <d v="2026-06-15T23:31:45"/>
    <n v="4233.6000000000004"/>
    <n v="-696.85"/>
    <n v="120"/>
    <s v="SLA Met"/>
    <m/>
    <n v="129600"/>
    <n v="130296.85"/>
    <n v="100.53769290123458"/>
    <n v="125366.39999999999"/>
    <n v="96.73333333333332"/>
  </r>
  <r>
    <s v="Jubilant Foodworks Ltd (JFL)"/>
    <s v="Alert"/>
    <s v="Arvind Kumar Arya"/>
    <s v="PRO/INC/49894"/>
    <s v="aps went down"/>
    <s v="Meraki Managed Services"/>
    <s v="Software / Configuration"/>
    <s v="Greater Noida"/>
    <s v="Q3KG-JH9T-FL7Z"/>
    <x v="24"/>
    <s v="NA"/>
    <s v="AP"/>
    <s v="JFL-GNSC-AP48"/>
    <s v="MR86"/>
    <s v="wireless-31-1-7"/>
    <m/>
    <s v="Non-Core"/>
    <s v="Closed"/>
    <x v="0"/>
    <s v="Power issue on client side."/>
    <s v="power issue"/>
    <d v="2026-06-13T01:09:11"/>
    <d v="2026-06-15T11:35:00"/>
    <n v="3505.82"/>
    <d v="2026-06-13T01:09:12"/>
    <n v="0.02"/>
    <n v="30"/>
    <s v="SLA Met"/>
    <d v="2026-06-13T01:19:24"/>
    <d v="2026-06-15T23:33:43"/>
    <n v="4214.32"/>
    <n v="-708.5"/>
    <n v="120"/>
    <s v="SLA Met"/>
    <m/>
    <n v="129600"/>
    <n v="130308.5"/>
    <n v="100.54668209876543"/>
    <n v="125385.68"/>
    <n v="96.7482098765432"/>
  </r>
  <r>
    <s v="Jubilant Foodworks Ltd (JFL)"/>
    <s v="Alert"/>
    <s v="Arvind Kumar Arya"/>
    <s v="PRO/INC/49898"/>
    <s v="new dhcp server detected"/>
    <s v="Meraki Managed Services"/>
    <s v="Software / Configuration"/>
    <s v="Nagpur"/>
    <s v="Q5JJ-68KZ-MXAS"/>
    <x v="3"/>
    <s v="RACK 1"/>
    <s v="SW"/>
    <s v="JFL-NAG-SSC-SW01"/>
    <s v="C9300L-48P-4X"/>
    <s v="cs-17-2-2"/>
    <m/>
    <s v="Non-Core"/>
    <s v="Closed"/>
    <x v="2"/>
    <s v="client-side activity"/>
    <s v="client side activity"/>
    <d v="2026-06-13T04:55:12"/>
    <d v="2026-06-19T04:47:00"/>
    <n v="8631.7999999999993"/>
    <d v="2026-06-13T04:55:13"/>
    <n v="0.02"/>
    <n v="30"/>
    <s v="SLA Met"/>
    <d v="2026-06-13T04:57:48"/>
    <d v="2026-06-19T04:46:33"/>
    <n v="8628.75"/>
    <n v="3.05"/>
    <n v="120"/>
    <s v="SLA Met"/>
    <m/>
    <n v="129600"/>
    <n v="129596.95"/>
    <n v="99.997646604938268"/>
    <n v="120971.25"/>
    <n v="93.342013888888886"/>
  </r>
  <r>
    <s v="Jubilant Foodworks Ltd (JFL)"/>
    <s v="Alert"/>
    <s v="Jagadisha R"/>
    <s v="PRO/INC/49903"/>
    <s v="aps went down"/>
    <s v="Meraki Managed Services"/>
    <s v="Software / Configuration"/>
    <s v="Greater Noida"/>
    <s v="Q5AA-63MW-78XL"/>
    <x v="88"/>
    <s v="NA"/>
    <s v="AP"/>
    <s v="JFL-GNSC-AP08"/>
    <s v="CW9162I"/>
    <s v="wireless-31-1-7"/>
    <m/>
    <s v="Non-Core"/>
    <s v="Closed"/>
    <x v="2"/>
    <s v="IOS upgrade activity .."/>
    <s v="IOS graduation activity at customer site , now the device is online .."/>
    <d v="2026-06-13T06:06:54"/>
    <d v="2026-06-13T08:25:00"/>
    <n v="138.1"/>
    <d v="2026-06-13T06:06:55"/>
    <n v="0.02"/>
    <n v="30"/>
    <s v="SLA Met"/>
    <d v="2026-06-13T06:57:26"/>
    <d v="2026-06-13T08:18:26"/>
    <n v="81"/>
    <n v="57.1"/>
    <n v="120"/>
    <s v="SLA Met"/>
    <m/>
    <n v="129600"/>
    <n v="129542.9"/>
    <n v="99.955941358024688"/>
    <n v="129519"/>
    <n v="99.9375"/>
  </r>
  <r>
    <s v="Jubilant Foodworks Ltd (JFL)"/>
    <s v="Alert"/>
    <s v="Jagadisha R"/>
    <s v="PRO/INC/49905"/>
    <s v="aps went down"/>
    <s v="Meraki Managed Services"/>
    <s v="Software / Configuration"/>
    <s v="Greater Noida"/>
    <s v="Q5AA-MRTL-AP9K"/>
    <x v="89"/>
    <s v="NA"/>
    <s v="AP"/>
    <s v="JFL-GNSC-AP03"/>
    <s v="CW9162I"/>
    <s v="wireless-31-1-7"/>
    <m/>
    <s v="Non-Core"/>
    <s v="Closed"/>
    <x v="2"/>
    <s v="IOS upgrade activity .."/>
    <s v="IOS graduation activity at customer site , now the device is online .."/>
    <d v="2026-06-13T06:07:23"/>
    <d v="2026-06-13T08:25:00"/>
    <n v="137.62"/>
    <d v="2026-06-13T06:07:24"/>
    <n v="0.02"/>
    <n v="30"/>
    <s v="SLA Met"/>
    <d v="2026-06-13T06:59:49"/>
    <d v="2026-06-13T08:20:45"/>
    <n v="80.930000000000007"/>
    <n v="56.68"/>
    <n v="120"/>
    <s v="SLA Met"/>
    <m/>
    <n v="129600"/>
    <n v="129543.32"/>
    <n v="99.956265432098775"/>
    <n v="129519.07"/>
    <n v="99.937554012345686"/>
  </r>
  <r>
    <s v="Jubilant Foodworks Ltd (JFL)"/>
    <s v="Alert"/>
    <s v="Jagadisha R"/>
    <s v="PRO/INC/49907"/>
    <s v="aps went down"/>
    <s v="Meraki Managed Services"/>
    <s v="Software / Configuration"/>
    <s v="Greater Noida"/>
    <s v="Q5AA-HV4L-P853"/>
    <x v="90"/>
    <s v="NA"/>
    <s v="AP"/>
    <s v="JFL-GNSC-AP69"/>
    <s v="CW9162I"/>
    <s v="wireless-31-1-7"/>
    <m/>
    <s v="Non-Core"/>
    <s v="Closed"/>
    <x v="2"/>
    <m/>
    <s v="IOS graduation activity at customer site , now the device is online .."/>
    <d v="2026-06-13T06:07:43"/>
    <d v="2026-06-13T08:25:00"/>
    <n v="137.28"/>
    <d v="2026-06-13T06:07:43"/>
    <n v="0"/>
    <n v="30"/>
    <s v="SLA Met"/>
    <m/>
    <m/>
    <n v="0"/>
    <n v="137.28"/>
    <n v="120"/>
    <s v="SLA Breached"/>
    <m/>
    <n v="129600"/>
    <n v="129462.72"/>
    <n v="99.894074074074084"/>
    <n v="129600"/>
    <n v="100"/>
  </r>
  <r>
    <s v="Jubilant Foodworks Ltd (JFL)"/>
    <s v="Alert"/>
    <s v="Jagadisha R"/>
    <s v="PRO/INC/49909"/>
    <s v="aps went down"/>
    <s v="Meraki Managed Services"/>
    <s v="Software / Configuration"/>
    <s v="Greater Noida"/>
    <s v="Q5AA-JPYJ-YC9M"/>
    <x v="91"/>
    <s v="NA"/>
    <s v="AP"/>
    <s v="JFL-GNSC-AP43"/>
    <s v="CW9162I"/>
    <s v="wireless-31-1-7"/>
    <m/>
    <s v="Non-Core"/>
    <s v="Closed"/>
    <x v="2"/>
    <m/>
    <s v="IOS graduation activity at customer site , now the device is online .."/>
    <d v="2026-06-13T06:08:02"/>
    <d v="2026-06-13T08:26:00"/>
    <n v="137.97"/>
    <d v="2026-06-13T06:08:03"/>
    <n v="0.02"/>
    <n v="30"/>
    <s v="SLA Met"/>
    <m/>
    <m/>
    <n v="0"/>
    <n v="137.97"/>
    <n v="120"/>
    <s v="SLA Breached"/>
    <m/>
    <n v="129600"/>
    <n v="129462.03"/>
    <n v="99.893541666666664"/>
    <n v="129600"/>
    <n v="100"/>
  </r>
  <r>
    <s v="Jubilant Foodworks Ltd (JFL)"/>
    <s v="Alert"/>
    <s v="Jagadisha R"/>
    <s v="PRO/INC/49910"/>
    <s v="aps went down"/>
    <s v="Meraki Managed Services"/>
    <s v="Software / Configuration"/>
    <s v="Greater Noida"/>
    <s v="Q5AA-XDV9-FKTX"/>
    <x v="92"/>
    <s v="NA"/>
    <s v="AP"/>
    <s v="JFL-GNSC-AP71"/>
    <s v="CW9162I"/>
    <s v="wireless-31-1-7"/>
    <m/>
    <s v="Non-Core"/>
    <s v="Closed"/>
    <x v="2"/>
    <m/>
    <s v="IOS graduation activity at customer site , now the device is online .."/>
    <d v="2026-06-13T06:08:13"/>
    <d v="2026-06-13T08:29:39"/>
    <n v="141.43"/>
    <d v="2026-06-13T06:08:14"/>
    <n v="0.02"/>
    <n v="30"/>
    <s v="SLA Met"/>
    <m/>
    <m/>
    <n v="0"/>
    <n v="141.43"/>
    <n v="120"/>
    <s v="SLA Breached"/>
    <m/>
    <n v="129600"/>
    <n v="129458.57"/>
    <n v="99.890871913580241"/>
    <n v="129600"/>
    <n v="100"/>
  </r>
  <r>
    <s v="Jubilant Foodworks Ltd (JFL)"/>
    <s v="Alert"/>
    <s v="Jagadisha R"/>
    <s v="PRO/INC/49911"/>
    <s v="aps went down"/>
    <s v="Meraki Managed Services"/>
    <s v="Software / Configuration"/>
    <s v="Greater Noida"/>
    <s v="Q5AA-3BVV-VQUU"/>
    <x v="93"/>
    <s v="NA"/>
    <s v="AP"/>
    <s v="JFL-GNSC-AP18"/>
    <s v="CW9162I"/>
    <s v="wireless-31-1-7"/>
    <m/>
    <s v="Non-Core"/>
    <s v="Closed"/>
    <x v="2"/>
    <m/>
    <s v="IOS graduation activity at customer site , now the device is online .."/>
    <d v="2026-06-13T06:08:13"/>
    <d v="2026-06-13T08:31:18"/>
    <n v="143.08000000000001"/>
    <d v="2026-06-13T06:08:14"/>
    <n v="0.02"/>
    <n v="30"/>
    <s v="SLA Met"/>
    <m/>
    <m/>
    <n v="0"/>
    <n v="143.08000000000001"/>
    <n v="120"/>
    <s v="SLA Breached"/>
    <m/>
    <n v="129600"/>
    <n v="129456.92"/>
    <n v="99.889598765432098"/>
    <n v="129600"/>
    <n v="100"/>
  </r>
  <r>
    <s v="Jubilant Foodworks Ltd (JFL)"/>
    <s v="Alert"/>
    <s v="Jagadisha R"/>
    <s v="PRO/INC/49913"/>
    <s v="aps went down"/>
    <s v="Meraki Managed Services"/>
    <s v="Software / Configuration"/>
    <s v="Greater Noida"/>
    <s v="Q5AA-GHXM-TRTK"/>
    <x v="78"/>
    <s v="NA"/>
    <s v="AP"/>
    <s v="JFL-GNSC-AP20"/>
    <s v="CW9162I"/>
    <s v="wireless-31-1-7"/>
    <m/>
    <s v="Non-Core"/>
    <s v="Closed"/>
    <x v="2"/>
    <m/>
    <s v="IOS graduation activity at customer site , now the device is online .."/>
    <d v="2026-06-13T06:08:23"/>
    <d v="2026-06-13T08:37:16"/>
    <n v="148.88"/>
    <d v="2026-06-13T06:08:24"/>
    <n v="0.02"/>
    <n v="30"/>
    <s v="SLA Met"/>
    <m/>
    <m/>
    <n v="0"/>
    <n v="148.88"/>
    <n v="120"/>
    <s v="SLA Breached"/>
    <m/>
    <n v="129600"/>
    <n v="129451.12"/>
    <n v="99.885123456790112"/>
    <n v="129600"/>
    <n v="100"/>
  </r>
  <r>
    <s v="Jubilant Foodworks Ltd (JFL)"/>
    <s v="Alert"/>
    <s v="Jagadisha R"/>
    <s v="PRO/INC/49916"/>
    <s v="aps went down"/>
    <s v="Meraki Managed Services"/>
    <s v="Software / Configuration"/>
    <s v="Greater Noida"/>
    <s v="Q3MV-6XWK-TVUP"/>
    <x v="94"/>
    <s v="NO RACK "/>
    <s v="SW"/>
    <n v="1"/>
    <e v="#N/A"/>
    <e v="#N/A"/>
    <m/>
    <s v="Non-Core"/>
    <s v="Closed"/>
    <x v="2"/>
    <m/>
    <s v="IOS graduation activity at customer site , now the device is online .."/>
    <d v="2026-06-13T06:08:33"/>
    <d v="2026-06-13T08:36:00"/>
    <n v="147.44999999999999"/>
    <d v="2026-06-13T06:08:35"/>
    <n v="0.03"/>
    <n v="30"/>
    <s v="SLA Met"/>
    <m/>
    <m/>
    <n v="0"/>
    <n v="147.44999999999999"/>
    <n v="120"/>
    <s v="SLA Breached"/>
    <m/>
    <n v="129600"/>
    <n v="129452.55"/>
    <n v="99.886226851851859"/>
    <n v="129600"/>
    <n v="100"/>
  </r>
  <r>
    <s v="Jubilant Foodworks Ltd (JFL)"/>
    <s v="Alert"/>
    <s v="Jagadisha R"/>
    <s v="PRO/INC/49917"/>
    <s v="aps went down"/>
    <s v="Meraki Managed Services"/>
    <s v="Software / Configuration"/>
    <s v="Greater Noida"/>
    <s v="Q5AA-FRBE-94N5"/>
    <x v="47"/>
    <s v="NA"/>
    <s v="AP"/>
    <s v="JFL-GNSC-AP27"/>
    <s v="CW9162I"/>
    <s v="wireless-31-1-7"/>
    <m/>
    <s v="Non-Core"/>
    <s v="Closed"/>
    <x v="2"/>
    <m/>
    <s v="IOS graduation activity at customer site , now the device is online .."/>
    <d v="2026-06-13T06:08:43"/>
    <d v="2026-06-13T08:36:00"/>
    <n v="147.28"/>
    <d v="2026-06-13T06:08:44"/>
    <n v="0.02"/>
    <n v="30"/>
    <s v="SLA Met"/>
    <m/>
    <m/>
    <n v="0"/>
    <n v="147.28"/>
    <n v="120"/>
    <s v="SLA Breached"/>
    <m/>
    <n v="129600"/>
    <n v="129452.72"/>
    <n v="99.886358024691361"/>
    <n v="129600"/>
    <n v="100"/>
  </r>
  <r>
    <s v="Jubilant Foodworks Ltd (JFL)"/>
    <s v="Alert"/>
    <s v="Jagadisha R"/>
    <s v="PRO/INC/49922"/>
    <s v="aps went down"/>
    <s v="Meraki Managed Services"/>
    <s v="Software / Configuration"/>
    <s v="Greater Noida"/>
    <s v="Q5AA-GJ47-DK5X"/>
    <x v="95"/>
    <s v="NA"/>
    <s v="AP"/>
    <s v="JFL-GNSC-AP28"/>
    <s v="CW9162I"/>
    <s v="wireless-31-1-7"/>
    <m/>
    <s v="Non-Core"/>
    <s v="Closed"/>
    <x v="2"/>
    <m/>
    <s v="IOS graduation activity at customer site , now the device is online .."/>
    <d v="2026-06-13T06:09:03"/>
    <d v="2026-06-13T08:37:23"/>
    <n v="148.33000000000001"/>
    <d v="2026-06-13T06:09:04"/>
    <n v="0.02"/>
    <n v="30"/>
    <s v="SLA Met"/>
    <m/>
    <m/>
    <n v="0"/>
    <n v="148.33000000000001"/>
    <n v="120"/>
    <s v="SLA Breached"/>
    <m/>
    <n v="129600"/>
    <n v="129451.67"/>
    <n v="99.885547839506174"/>
    <n v="129600"/>
    <n v="100"/>
  </r>
  <r>
    <s v="Jubilant Foodworks Ltd (JFL)"/>
    <s v="Alert"/>
    <s v="Jagadisha R"/>
    <s v="PRO/INC/49926"/>
    <s v="aps went down"/>
    <s v="Meraki Managed Services"/>
    <s v="Software / Configuration"/>
    <s v="Greater Noida"/>
    <s v="Q5AA-94E5-2UFU"/>
    <x v="96"/>
    <s v="NA"/>
    <s v="AP"/>
    <s v="JFL-GNSC-AP44"/>
    <s v="CW9162I"/>
    <s v="wireless-31-1-7"/>
    <m/>
    <s v="Non-Core"/>
    <s v="Closed"/>
    <x v="2"/>
    <m/>
    <s v="IOS graduation activity at customer site , now the device is online .."/>
    <d v="2026-06-13T06:09:23"/>
    <d v="2026-06-13T08:39:47"/>
    <n v="150.4"/>
    <d v="2026-06-13T06:09:25"/>
    <n v="0.03"/>
    <n v="30"/>
    <s v="SLA Met"/>
    <m/>
    <m/>
    <n v="0"/>
    <n v="150.4"/>
    <n v="120"/>
    <s v="SLA Breached"/>
    <m/>
    <n v="129600"/>
    <n v="129449.60000000001"/>
    <n v="99.883950617283958"/>
    <n v="129600"/>
    <n v="100"/>
  </r>
  <r>
    <s v="Jubilant Foodworks Ltd (JFL)"/>
    <s v="Alert"/>
    <s v="Jagadisha R"/>
    <s v="PRO/INC/49928"/>
    <s v="aps went down"/>
    <s v="Meraki Managed Services"/>
    <s v="Software / Configuration"/>
    <s v="Greater Noida"/>
    <s v="Q5AA-Y9EX-GL7E"/>
    <x v="97"/>
    <s v="NA"/>
    <s v="AP"/>
    <s v="JFL-GNSC-AP14"/>
    <s v="CW9162I"/>
    <s v="wireless-31-1-7"/>
    <m/>
    <s v="Non-Core"/>
    <s v="Closed"/>
    <x v="2"/>
    <m/>
    <s v="IOS graduation activity at customer site , now the device is online .."/>
    <d v="2026-06-13T06:09:34"/>
    <d v="2026-06-13T08:40:00"/>
    <n v="150.43"/>
    <d v="2026-06-13T06:09:35"/>
    <n v="0.02"/>
    <n v="30"/>
    <s v="SLA Met"/>
    <m/>
    <m/>
    <n v="0"/>
    <n v="150.43"/>
    <n v="120"/>
    <s v="SLA Breached"/>
    <m/>
    <n v="129600"/>
    <n v="129449.57"/>
    <n v="99.883927469135799"/>
    <n v="129600"/>
    <n v="100"/>
  </r>
  <r>
    <s v="Jubilant Foodworks Ltd (JFL)"/>
    <s v="Alert"/>
    <s v="Jagadisha R"/>
    <s v="PRO/INC/49931"/>
    <s v="aps went down"/>
    <s v="Meraki Managed Services"/>
    <s v="Software / Configuration"/>
    <s v="Greater Noida"/>
    <s v="Q5AA-V3B6-RSQX"/>
    <x v="98"/>
    <s v="NA"/>
    <s v="AP"/>
    <s v="JFL-GNSC-AP31"/>
    <s v="CW9162I"/>
    <s v="wireless-31-1-7"/>
    <m/>
    <s v="Non-Core"/>
    <s v="Closed"/>
    <x v="2"/>
    <m/>
    <s v="IOS graduation activity at customer site , now the device is online .."/>
    <d v="2026-06-13T06:09:43"/>
    <d v="2026-06-13T08:42:58"/>
    <n v="153.25"/>
    <d v="2026-06-13T06:09:44"/>
    <n v="0.02"/>
    <n v="30"/>
    <s v="SLA Met"/>
    <m/>
    <m/>
    <n v="0"/>
    <n v="153.25"/>
    <n v="120"/>
    <s v="SLA Breached"/>
    <m/>
    <n v="129600"/>
    <n v="129446.75"/>
    <n v="99.881751543209873"/>
    <n v="129600"/>
    <n v="100"/>
  </r>
  <r>
    <s v="Jubilant Foodworks Ltd (JFL)"/>
    <s v="Alert"/>
    <s v="Jagadisha R"/>
    <s v="PRO/INC/49932"/>
    <s v="aps went down"/>
    <s v="Meraki Managed Services"/>
    <s v="Software / Configuration"/>
    <s v="Greater Noida"/>
    <s v="Q5AA-LCK3-FDNW"/>
    <x v="77"/>
    <s v="NA"/>
    <s v="AP"/>
    <s v="JFL-GNSC-AP37"/>
    <s v="CW9162I"/>
    <s v="wireless-31-1-7"/>
    <m/>
    <s v="Non-Core"/>
    <s v="Closed"/>
    <x v="2"/>
    <m/>
    <s v="IOS graduation activity at customer site , now the device is online .."/>
    <d v="2026-06-13T06:09:44"/>
    <d v="2026-06-13T08:45:10"/>
    <n v="155.43"/>
    <d v="2026-06-13T06:09:45"/>
    <n v="0.02"/>
    <n v="30"/>
    <s v="SLA Met"/>
    <m/>
    <m/>
    <n v="0"/>
    <n v="155.43"/>
    <n v="120"/>
    <s v="SLA Breached"/>
    <m/>
    <n v="129600"/>
    <n v="129444.57"/>
    <n v="99.880069444444459"/>
    <n v="129600"/>
    <n v="100"/>
  </r>
  <r>
    <s v="Jubilant Foodworks Ltd (JFL)"/>
    <s v="Alert"/>
    <s v="Jagadisha R"/>
    <s v="PRO/INC/49935"/>
    <s v="aps went down"/>
    <s v="Meraki Managed Services"/>
    <s v="Software / Configuration"/>
    <s v="Greater Noida"/>
    <s v="Q5AA-ASYH-AKEA"/>
    <x v="85"/>
    <s v="NA"/>
    <s v="AP"/>
    <s v="JFL-GNSC-AP22"/>
    <s v="CW9162I"/>
    <s v="wireless-31-1-7"/>
    <m/>
    <s v="Non-Core"/>
    <s v="Closed"/>
    <x v="2"/>
    <m/>
    <s v="IOS graduation activity at customer site , now the device is online .."/>
    <d v="2026-06-13T06:09:54"/>
    <d v="2026-06-13T08:48:20"/>
    <n v="158.43"/>
    <d v="2026-06-13T06:09:54"/>
    <n v="0"/>
    <n v="30"/>
    <s v="SLA Met"/>
    <m/>
    <m/>
    <n v="0"/>
    <n v="158.43"/>
    <n v="120"/>
    <s v="SLA Breached"/>
    <m/>
    <n v="129600"/>
    <n v="129441.57"/>
    <n v="99.877754629629635"/>
    <n v="129600"/>
    <n v="100"/>
  </r>
  <r>
    <s v="Jubilant Foodworks Ltd (JFL)"/>
    <s v="Alert"/>
    <s v="Jagadisha R"/>
    <s v="PRO/INC/49934"/>
    <s v="aps went down"/>
    <s v="Meraki Managed Services"/>
    <s v="Software / Configuration"/>
    <s v="Greater Noida"/>
    <s v="Q5AA-XGDL-V7JB"/>
    <x v="71"/>
    <s v="NA"/>
    <s v="AP"/>
    <s v="JFL-GNSC-AP54"/>
    <s v="CW9162I"/>
    <s v="wireless-31-1-7"/>
    <m/>
    <s v="Non-Core"/>
    <s v="Closed"/>
    <x v="2"/>
    <m/>
    <s v="IOS graduation activity at customer site , now the device is online .."/>
    <d v="2026-06-13T06:09:54"/>
    <d v="2026-06-13T08:50:16"/>
    <n v="160.37"/>
    <d v="2026-06-13T06:09:55"/>
    <n v="0.02"/>
    <n v="30"/>
    <s v="SLA Met"/>
    <m/>
    <m/>
    <n v="0"/>
    <n v="160.37"/>
    <n v="120"/>
    <s v="SLA Breached"/>
    <m/>
    <n v="129600"/>
    <n v="129439.63"/>
    <n v="99.876257716049395"/>
    <n v="129600"/>
    <n v="100"/>
  </r>
  <r>
    <s v="Jubilant Foodworks Ltd (JFL)"/>
    <s v="Alert"/>
    <s v="Jagadisha R"/>
    <s v="PRO/INC/49938"/>
    <s v="aps went down"/>
    <s v="Meraki Managed Services"/>
    <s v="Software / Configuration"/>
    <s v="Greater Noida"/>
    <s v="Q5AA-DEJD-R4N5"/>
    <x v="99"/>
    <s v="NA"/>
    <s v="AP"/>
    <s v="JFL-GNSC-AP67"/>
    <s v="CW9162I"/>
    <s v="wireless-31-1-7"/>
    <m/>
    <s v="Non-Core"/>
    <s v="Closed"/>
    <x v="2"/>
    <m/>
    <s v="IOS graduation activity at customer site , now the device is online .."/>
    <d v="2026-06-13T06:10:04"/>
    <d v="2026-06-13T08:55:34"/>
    <n v="165.5"/>
    <d v="2026-06-13T06:10:06"/>
    <n v="0.03"/>
    <n v="30"/>
    <s v="SLA Met"/>
    <m/>
    <m/>
    <n v="0"/>
    <n v="165.5"/>
    <n v="120"/>
    <s v="SLA Breached"/>
    <m/>
    <n v="129600"/>
    <n v="129434.5"/>
    <n v="99.872299382716051"/>
    <n v="129600"/>
    <n v="100"/>
  </r>
  <r>
    <s v="Jubilant Foodworks Ltd (JFL)"/>
    <s v="Alert"/>
    <s v="Jagadisha R"/>
    <s v="PRO/INC/49937"/>
    <s v="aps went down"/>
    <s v="Meraki Managed Services"/>
    <s v="Software / Configuration"/>
    <s v="Greater Noida"/>
    <s v="Q5AA-SKZM-8VYM"/>
    <x v="100"/>
    <s v="NA"/>
    <s v="AP"/>
    <s v="JFL-GNSC-AP38"/>
    <s v="CW9162I"/>
    <s v="wireless-31-1-7"/>
    <m/>
    <s v="Non-Core"/>
    <s v="Closed"/>
    <x v="2"/>
    <m/>
    <s v="IOS graduation activity at customer site , now the device is online .."/>
    <d v="2026-06-13T06:10:04"/>
    <d v="2026-06-13T08:52:11"/>
    <n v="162.12"/>
    <d v="2026-06-13T06:10:06"/>
    <n v="0.03"/>
    <n v="30"/>
    <s v="SLA Met"/>
    <m/>
    <m/>
    <n v="0"/>
    <n v="162.12"/>
    <n v="120"/>
    <s v="SLA Breached"/>
    <m/>
    <n v="129600"/>
    <n v="129437.88"/>
    <n v="99.874907407407406"/>
    <n v="129600"/>
    <n v="100"/>
  </r>
  <r>
    <s v="Jubilant Foodworks Ltd (JFL)"/>
    <s v="Alert"/>
    <s v="Jagadisha R"/>
    <s v="PRO/INC/49942"/>
    <s v="aps went down"/>
    <s v="Meraki Managed Services"/>
    <s v="Software / Configuration"/>
    <s v="Greater Noida"/>
    <s v="Q5AA-JKR4-S9MX"/>
    <x v="83"/>
    <s v="NA"/>
    <s v="AP"/>
    <s v="JFL-GNSC-AP24"/>
    <s v="CW9162I"/>
    <s v="wireless-31-1-7"/>
    <m/>
    <s v="Non-Core"/>
    <s v="Closed"/>
    <x v="2"/>
    <m/>
    <s v="IOS graduation activity at customer site , now the device is online .."/>
    <d v="2026-06-13T06:10:15"/>
    <d v="2026-06-13T08:57:00"/>
    <n v="166.75"/>
    <d v="2026-06-13T06:10:15"/>
    <n v="0"/>
    <n v="30"/>
    <s v="SLA Met"/>
    <m/>
    <m/>
    <n v="0"/>
    <n v="166.75"/>
    <n v="120"/>
    <s v="SLA Breached"/>
    <m/>
    <n v="129600"/>
    <n v="129433.25"/>
    <n v="99.871334876543202"/>
    <n v="129600"/>
    <n v="100"/>
  </r>
  <r>
    <s v="Jubilant Foodworks Ltd (JFL)"/>
    <s v="Alert"/>
    <s v="Jagadisha R"/>
    <s v="PRO/INC/49941"/>
    <s v="aps went down"/>
    <s v="Meraki Managed Services"/>
    <s v="Software / Configuration"/>
    <s v="Greater Noida"/>
    <s v="Q5AA-JYZN-6KKB"/>
    <x v="45"/>
    <s v="NA"/>
    <s v="AP"/>
    <s v="JFL-GNSC-AP66"/>
    <s v="CW9162I"/>
    <s v="wireless-31-1-7"/>
    <m/>
    <s v="Non-Core"/>
    <s v="Closed"/>
    <x v="2"/>
    <m/>
    <s v="IOS graduation activity at customer site , now the device is online .."/>
    <d v="2026-06-13T06:10:15"/>
    <d v="2026-06-13T09:00:04"/>
    <n v="169.82"/>
    <d v="2026-06-13T06:10:15"/>
    <n v="0"/>
    <n v="30"/>
    <s v="SLA Met"/>
    <m/>
    <m/>
    <n v="0"/>
    <n v="169.82"/>
    <n v="120"/>
    <s v="SLA Breached"/>
    <m/>
    <n v="129600"/>
    <n v="129430.18"/>
    <n v="99.868966049382706"/>
    <n v="129600"/>
    <n v="100"/>
  </r>
  <r>
    <s v="Jubilant Foodworks Ltd (JFL)"/>
    <s v="Alert"/>
    <s v="Jagadisha R"/>
    <s v="PRO/INC/49943"/>
    <s v="aps went down"/>
    <s v="Meraki Managed Services"/>
    <s v="Software / Configuration"/>
    <s v="Greater Noida"/>
    <s v="Q5AA-TSZZ-HUFQ"/>
    <x v="61"/>
    <s v="NA"/>
    <s v="AP"/>
    <s v="JFL-GNSC-AP34"/>
    <s v="CW9162I"/>
    <s v="wireless-31-1-7"/>
    <m/>
    <s v="Non-Core"/>
    <s v="Closed"/>
    <x v="2"/>
    <m/>
    <s v="IOS graduation activity at customer site , now the device is online .."/>
    <d v="2026-06-13T06:10:15"/>
    <d v="2026-06-13T09:00:57"/>
    <n v="170.7"/>
    <d v="2026-06-13T06:10:16"/>
    <n v="0.02"/>
    <n v="30"/>
    <s v="SLA Met"/>
    <m/>
    <m/>
    <n v="0"/>
    <n v="170.7"/>
    <n v="120"/>
    <s v="SLA Breached"/>
    <m/>
    <n v="129600"/>
    <n v="129429.3"/>
    <n v="99.868287037037035"/>
    <n v="129600"/>
    <n v="100"/>
  </r>
  <r>
    <s v="Jubilant Foodworks Ltd (JFL)"/>
    <s v="Alert"/>
    <s v="Jagadisha R"/>
    <s v="PRO/INC/49946"/>
    <s v="aps went down"/>
    <s v="Meraki Managed Services"/>
    <s v="Software / Configuration"/>
    <s v="Greater Noida"/>
    <s v="Q5AA-YF4N-2L5P"/>
    <x v="101"/>
    <s v="NA"/>
    <s v="AP"/>
    <s v="JFL-GNSC-AP40"/>
    <s v="CW9162I"/>
    <s v="wireless-31-1-7"/>
    <m/>
    <s v="Non-Core"/>
    <s v="Closed"/>
    <x v="2"/>
    <m/>
    <s v="IOS graduation activity at customer site , now the device is online .."/>
    <d v="2026-06-13T06:10:25"/>
    <d v="2026-06-13T09:01:33"/>
    <n v="171.13"/>
    <d v="2026-06-13T06:10:26"/>
    <n v="0.02"/>
    <n v="30"/>
    <s v="SLA Met"/>
    <m/>
    <m/>
    <n v="0"/>
    <n v="171.13"/>
    <n v="120"/>
    <s v="SLA Breached"/>
    <m/>
    <n v="129600"/>
    <n v="129428.87"/>
    <n v="99.867955246913581"/>
    <n v="129600"/>
    <n v="100"/>
  </r>
  <r>
    <s v="Jubilant Foodworks Ltd (JFL)"/>
    <s v="Alert"/>
    <s v="Chhitij Kumar Rai"/>
    <s v="PRO/INC/49947"/>
    <s v="aps went down"/>
    <s v="Meraki Managed Services"/>
    <s v="Software / Configuration"/>
    <s v="Greater Noida"/>
    <s v="Q5AA-8AST-YPV4"/>
    <x v="102"/>
    <s v="NA"/>
    <s v="AP"/>
    <s v="JFL-GNSC-AP41"/>
    <s v="CW9162I"/>
    <s v="wireless-31-1-7"/>
    <m/>
    <s v="Non-Core"/>
    <s v="Closed"/>
    <x v="2"/>
    <m/>
    <s v="ios upgrade on core switch"/>
    <d v="2026-06-13T06:10:35"/>
    <d v="2026-06-13T09:02:00"/>
    <n v="171.42"/>
    <d v="2026-06-13T06:10:36"/>
    <n v="0.02"/>
    <n v="30"/>
    <s v="SLA Met"/>
    <m/>
    <m/>
    <n v="0"/>
    <n v="171.42"/>
    <n v="120"/>
    <s v="SLA Breached"/>
    <m/>
    <n v="129600"/>
    <n v="129428.58"/>
    <n v="99.867731481481485"/>
    <n v="129600"/>
    <n v="100"/>
  </r>
  <r>
    <s v="Jubilant Foodworks Ltd (JFL)"/>
    <s v="Alert"/>
    <s v="Chhitij Kumar Rai"/>
    <s v="PRO/INC/49949"/>
    <s v="aps went down"/>
    <s v="Meraki Managed Services"/>
    <s v="Software / Configuration"/>
    <s v="Greater Noida"/>
    <s v="Q5AA-EZ6A-S56Y"/>
    <x v="84"/>
    <s v="NA"/>
    <s v="AP"/>
    <s v="JFL-GNSC-AP42"/>
    <s v="CW9162I"/>
    <s v="wireless-31-1-7"/>
    <m/>
    <s v="Non-Core"/>
    <s v="Closed"/>
    <x v="2"/>
    <m/>
    <s v="ios upgradation core switch"/>
    <d v="2026-06-13T06:10:35"/>
    <d v="2026-06-13T08:59:00"/>
    <n v="168.42"/>
    <d v="2026-06-13T06:10:37"/>
    <n v="0.03"/>
    <n v="30"/>
    <s v="SLA Met"/>
    <m/>
    <m/>
    <n v="0"/>
    <n v="168.42"/>
    <n v="120"/>
    <s v="SLA Breached"/>
    <m/>
    <n v="129600"/>
    <n v="129431.58"/>
    <n v="99.870046296296294"/>
    <n v="129600"/>
    <n v="100"/>
  </r>
  <r>
    <s v="Jubilant Foodworks Ltd (JFL)"/>
    <s v="Alert"/>
    <s v="Chhitij Kumar Rai"/>
    <s v="PRO/INC/49948"/>
    <s v="aps went down"/>
    <s v="Meraki Managed Services"/>
    <s v="Software / Configuration"/>
    <s v="Greater Noida"/>
    <s v="Q5AA-5L7V-QSYU"/>
    <x v="103"/>
    <s v="NA"/>
    <s v="AP"/>
    <s v="JFL-GNSC-AP46"/>
    <s v="CW9162I"/>
    <s v="wireless-31-1-7"/>
    <m/>
    <s v="Non-Core"/>
    <s v="Closed"/>
    <x v="2"/>
    <m/>
    <s v="ios upgradation core switch"/>
    <d v="2026-06-13T06:10:35"/>
    <d v="2026-06-13T08:57:00"/>
    <n v="166.42"/>
    <d v="2026-06-13T06:10:36"/>
    <n v="0.02"/>
    <n v="30"/>
    <s v="SLA Met"/>
    <m/>
    <m/>
    <n v="0"/>
    <n v="166.42"/>
    <n v="120"/>
    <s v="SLA Breached"/>
    <m/>
    <n v="129600"/>
    <n v="129433.58"/>
    <n v="99.871589506172839"/>
    <n v="129600"/>
    <n v="100"/>
  </r>
  <r>
    <s v="Jubilant Foodworks Ltd (JFL)"/>
    <s v="Alert"/>
    <s v="Chhitij Kumar Rai"/>
    <s v="PRO/INC/49950"/>
    <s v="aps went down"/>
    <s v="Meraki Managed Services"/>
    <s v="Software / Configuration"/>
    <s v="Greater Noida"/>
    <s v="Q5AA-U98X-3FD7"/>
    <x v="50"/>
    <s v="NA"/>
    <s v="AP"/>
    <s v="JFL-GNSC-AP35"/>
    <s v="CW9162I"/>
    <s v="wireless-31-1-7"/>
    <m/>
    <s v="Non-Core"/>
    <s v="Closed"/>
    <x v="2"/>
    <m/>
    <s v="core ios upgradation"/>
    <d v="2026-06-13T06:10:36"/>
    <d v="2026-06-13T08:53:00"/>
    <n v="162.4"/>
    <d v="2026-06-13T06:10:37"/>
    <n v="0.02"/>
    <n v="30"/>
    <s v="SLA Met"/>
    <m/>
    <m/>
    <n v="0"/>
    <n v="162.4"/>
    <n v="120"/>
    <s v="SLA Breached"/>
    <m/>
    <n v="129600"/>
    <n v="129437.6"/>
    <n v="99.874691358024691"/>
    <n v="129600"/>
    <n v="100"/>
  </r>
  <r>
    <s v="Jubilant Foodworks Ltd (JFL)"/>
    <s v="Alert"/>
    <s v="Chhitij Kumar Rai"/>
    <s v="PRO/INC/49951"/>
    <s v="aps went down"/>
    <s v="Meraki Managed Services"/>
    <s v="Software / Configuration"/>
    <s v="Greater Noida"/>
    <s v="Q5AA-SK3L-NVFH"/>
    <x v="104"/>
    <s v="NA"/>
    <s v="AP"/>
    <s v="JFL-GNSC-AP10"/>
    <s v="CW9162I"/>
    <s v="wireless-31-1-7"/>
    <m/>
    <s v="Non-Core"/>
    <s v="Closed"/>
    <x v="2"/>
    <m/>
    <s v="ios upgradation activity on core switch"/>
    <d v="2026-06-13T06:10:45"/>
    <d v="2026-06-13T08:51:00"/>
    <n v="160.25"/>
    <d v="2026-06-13T06:10:46"/>
    <n v="0.02"/>
    <n v="30"/>
    <s v="SLA Met"/>
    <m/>
    <m/>
    <n v="0"/>
    <n v="160.25"/>
    <n v="120"/>
    <s v="SLA Breached"/>
    <m/>
    <n v="129600"/>
    <n v="129439.75"/>
    <n v="99.876350308641975"/>
    <n v="129600"/>
    <n v="100"/>
  </r>
  <r>
    <s v="Jubilant Foodworks Ltd (JFL)"/>
    <s v="Alert"/>
    <s v="Chhitij Kumar Rai"/>
    <s v="PRO/INC/49953"/>
    <s v="aps went down"/>
    <s v="Meraki Managed Services"/>
    <s v="Software / Configuration"/>
    <s v="Greater Noida"/>
    <s v="Q5AA-7VMH-YF9G"/>
    <x v="105"/>
    <s v="NA"/>
    <s v="AP"/>
    <s v="JFL-GNSC-AP64"/>
    <s v="CW9162I"/>
    <s v="wireless-31-1-7"/>
    <m/>
    <s v="Non-Core"/>
    <s v="Closed"/>
    <x v="2"/>
    <m/>
    <s v="ios upgradation at core switch"/>
    <d v="2026-06-13T06:10:49"/>
    <d v="2026-06-13T08:42:00"/>
    <n v="151.18"/>
    <d v="2026-06-13T06:10:50"/>
    <n v="0.02"/>
    <n v="30"/>
    <s v="SLA Met"/>
    <m/>
    <m/>
    <n v="0"/>
    <n v="151.18"/>
    <n v="120"/>
    <s v="SLA Breached"/>
    <m/>
    <n v="129600"/>
    <n v="129448.82"/>
    <n v="99.883348765432103"/>
    <n v="129600"/>
    <n v="100"/>
  </r>
  <r>
    <s v="Jubilant Foodworks Ltd (JFL)"/>
    <s v="Alert"/>
    <s v="Chhitij Kumar Rai"/>
    <s v="PRO/INC/49952"/>
    <s v="aps went down"/>
    <s v="Meraki Managed Services"/>
    <s v="Software / Configuration"/>
    <s v="Greater Noida"/>
    <s v="Q5AA-QK4J-4K9J"/>
    <x v="106"/>
    <s v="NA"/>
    <s v="AP"/>
    <s v="JFL-GNSC-AP19"/>
    <s v="CW9162I"/>
    <s v="wireless-31-1-7"/>
    <m/>
    <s v="Non-Core"/>
    <s v="Closed"/>
    <x v="2"/>
    <m/>
    <s v="core switch upgradation"/>
    <d v="2026-06-13T06:10:49"/>
    <d v="2026-06-13T08:45:00"/>
    <n v="154.18"/>
    <d v="2026-06-13T06:10:50"/>
    <n v="0.02"/>
    <n v="30"/>
    <s v="SLA Met"/>
    <m/>
    <m/>
    <n v="0"/>
    <n v="154.18"/>
    <n v="120"/>
    <s v="SLA Breached"/>
    <m/>
    <n v="129600"/>
    <n v="129445.82"/>
    <n v="99.881033950617294"/>
    <n v="129600"/>
    <n v="100"/>
  </r>
  <r>
    <s v="Jubilant Foodworks Ltd (JFL)"/>
    <s v="Alert"/>
    <s v="Chhitij Kumar Rai"/>
    <s v="PRO/INC/49956"/>
    <s v="aps went down"/>
    <s v="Meraki Managed Services"/>
    <s v="Software / Configuration"/>
    <s v="Greater Noida"/>
    <s v="Q5AA-J9A9-ZJ2B"/>
    <x v="19"/>
    <s v="NA"/>
    <s v="AP"/>
    <s v="JFL-GNSC-AP30"/>
    <s v="CW9162I"/>
    <s v="wireless-31-1-7"/>
    <m/>
    <s v="Non-Core"/>
    <s v="Closed"/>
    <x v="2"/>
    <m/>
    <s v="ios upgradation activity at client end"/>
    <d v="2026-06-13T06:10:56"/>
    <d v="2026-06-13T08:36:00"/>
    <n v="145.07"/>
    <d v="2026-06-13T06:10:57"/>
    <n v="0.02"/>
    <n v="30"/>
    <s v="SLA Met"/>
    <m/>
    <m/>
    <n v="0"/>
    <n v="145.07"/>
    <n v="120"/>
    <s v="SLA Breached"/>
    <m/>
    <n v="129600"/>
    <n v="129454.93"/>
    <n v="99.888063271604935"/>
    <n v="129600"/>
    <n v="100"/>
  </r>
  <r>
    <s v="Jubilant Foodworks Ltd (JFL)"/>
    <s v="Alert"/>
    <s v="Chhitij Kumar Rai"/>
    <s v="PRO/INC/49957"/>
    <s v="aps went down"/>
    <s v="Meraki Managed Services"/>
    <s v="Software / Configuration"/>
    <s v="Greater Noida"/>
    <s v="Q5AA-H6R3-LUMM"/>
    <x v="107"/>
    <s v="NA"/>
    <s v="AP"/>
    <s v="JFL-GNSC-AP26"/>
    <s v="CW9162I"/>
    <s v="wireless-31-1-7"/>
    <m/>
    <s v="Non-Core"/>
    <s v="Closed"/>
    <x v="2"/>
    <m/>
    <s v="ios upgradation at customer end"/>
    <d v="2026-06-13T06:10:56"/>
    <d v="2026-06-13T08:39:00"/>
    <n v="148.07"/>
    <d v="2026-06-13T06:10:58"/>
    <n v="0.03"/>
    <n v="30"/>
    <s v="SLA Met"/>
    <m/>
    <m/>
    <n v="0"/>
    <n v="148.07"/>
    <n v="120"/>
    <s v="SLA Breached"/>
    <m/>
    <n v="129600"/>
    <n v="129451.93"/>
    <n v="99.885748456790111"/>
    <n v="129600"/>
    <n v="100"/>
  </r>
  <r>
    <s v="Jubilant Foodworks Ltd (JFL)"/>
    <s v="Alert"/>
    <s v="Jagadisha R"/>
    <s v="PRO/INC/49970"/>
    <s v="new dhcp server detected"/>
    <s v="Meraki Managed Services"/>
    <s v="Software / Configuration"/>
    <s v="Nagpur"/>
    <s v="Q5JJ-68KZ-MXAS"/>
    <x v="3"/>
    <s v="RACK 1"/>
    <s v="SW"/>
    <s v="JFL-NAG-SSC-SW01"/>
    <s v="C9300L-48P-4X"/>
    <s v="cs-17-2-2"/>
    <m/>
    <s v="Non-Core"/>
    <s v="Closed"/>
    <x v="4"/>
    <s v="dropped mail with customer"/>
    <s v="customer is not responding , we are closing the case .."/>
    <d v="2026-06-13T06:46:27"/>
    <d v="2026-06-16T22:40:00"/>
    <n v="5273.55"/>
    <d v="2026-06-13T06:46:28"/>
    <n v="0.02"/>
    <n v="30"/>
    <s v="SLA Met"/>
    <d v="2026-06-13T07:52:28"/>
    <d v="2026-06-16T22:37:10"/>
    <n v="5204.7"/>
    <n v="68.849999999999994"/>
    <n v="120"/>
    <s v="SLA Met"/>
    <m/>
    <n v="129600"/>
    <n v="129531.15"/>
    <n v="99.946874999999991"/>
    <n v="124395.3"/>
    <n v="95.984027777777783"/>
  </r>
  <r>
    <s v="Jubilant Foodworks Ltd (JFL)"/>
    <s v="Alert"/>
    <s v="Chhitij Kumar Rai"/>
    <s v="PRO/INC/49975"/>
    <s v="aps went down"/>
    <s v="Meraki Managed Services"/>
    <s v="Software / Configuration"/>
    <s v="Greater Noida"/>
    <s v="Q3KG-GWW5-CHJC"/>
    <x v="33"/>
    <s v="NA"/>
    <s v="AP"/>
    <s v="JFL-GNSC-AP52"/>
    <s v="MR86"/>
    <s v="wireless-31-1-7"/>
    <m/>
    <s v="Non-Core"/>
    <s v="Closed"/>
    <x v="2"/>
    <m/>
    <s v="ios upgradation activity art customer side"/>
    <d v="2026-06-13T07:57:40"/>
    <d v="2026-06-13T08:30:00"/>
    <n v="32.33"/>
    <d v="2026-06-13T07:57:40"/>
    <n v="0"/>
    <n v="30"/>
    <s v="SLA Met"/>
    <m/>
    <m/>
    <n v="0"/>
    <n v="32.33"/>
    <n v="120"/>
    <s v="SLA Met"/>
    <m/>
    <n v="129600"/>
    <n v="129567.67"/>
    <n v="99.97505401234568"/>
    <n v="129600"/>
    <n v="100"/>
  </r>
  <r>
    <s v="Jubilant Foodworks Ltd (JFL)"/>
    <s v="Alert"/>
    <s v="Chhitij Kumar Rai"/>
    <s v="PRO/INC/49976"/>
    <s v="aps went down"/>
    <s v="Meraki Managed Services"/>
    <s v="Software / Configuration"/>
    <s v="Greater Noida"/>
    <s v="Q5AA-SFG2-7EPQ"/>
    <x v="108"/>
    <s v="NA"/>
    <s v="AP"/>
    <s v="JFL-GNSC-AP45"/>
    <s v="CW9162I"/>
    <s v="wireless-31-1-7"/>
    <m/>
    <s v="Non-Core"/>
    <s v="Closed"/>
    <x v="2"/>
    <m/>
    <s v="ios upgradation at client ite"/>
    <d v="2026-06-13T07:57:42"/>
    <d v="2026-06-13T08:21:00"/>
    <n v="23.3"/>
    <d v="2026-06-13T07:57:43"/>
    <n v="0.02"/>
    <n v="30"/>
    <s v="SLA Met"/>
    <m/>
    <m/>
    <n v="0"/>
    <n v="23.3"/>
    <n v="120"/>
    <s v="SLA Met"/>
    <m/>
    <n v="129600"/>
    <n v="129576.7"/>
    <n v="99.982021604938268"/>
    <n v="129600"/>
    <n v="100"/>
  </r>
  <r>
    <s v="Jubilant Foodworks Ltd (JFL)"/>
    <s v="Alert"/>
    <s v="Chhitij Kumar Rai"/>
    <s v="PRO/INC/49980"/>
    <s v="aps went down"/>
    <s v="Meraki Managed Services"/>
    <s v="Software / Configuration"/>
    <s v="Greater Noida"/>
    <s v="Q5AA-A6S6-XG3H"/>
    <x v="109"/>
    <s v="NA"/>
    <s v="AP"/>
    <s v="JFL-GNSC-AP16"/>
    <s v="CW9162I"/>
    <s v="wireless-31-1-7"/>
    <m/>
    <s v="Non-Core"/>
    <s v="Closed"/>
    <x v="2"/>
    <m/>
    <s v="ios upgradation of core switch at customer end"/>
    <d v="2026-06-13T07:57:53"/>
    <d v="2026-06-13T08:27:00"/>
    <n v="29.12"/>
    <d v="2026-06-13T07:57:54"/>
    <n v="0.02"/>
    <n v="30"/>
    <s v="SLA Met"/>
    <m/>
    <m/>
    <n v="0"/>
    <n v="29.12"/>
    <n v="120"/>
    <s v="SLA Met"/>
    <m/>
    <n v="129600"/>
    <n v="129570.88"/>
    <n v="99.977530864197533"/>
    <n v="129600"/>
    <n v="100"/>
  </r>
  <r>
    <s v="Jubilant Foodworks Ltd (JFL)"/>
    <s v="Alert"/>
    <s v="Aneesh P S"/>
    <s v="PRO/INC/50002"/>
    <s v="aps went down"/>
    <s v="Meraki Managed Services"/>
    <s v="Software / Configuration"/>
    <s v="Greater Noida"/>
    <s v="Q5AA-LCK3-FDNW"/>
    <x v="77"/>
    <s v="NA"/>
    <s v="AP"/>
    <s v="JFL-GNSC-AP37"/>
    <s v="CW9162I"/>
    <s v="wireless-31-1-7"/>
    <m/>
    <s v="Non-Core"/>
    <s v="Closed"/>
    <x v="2"/>
    <s v="checking on dashboard"/>
    <s v="client side activity"/>
    <d v="2026-06-13T17:24:47"/>
    <d v="2026-06-14T09:00:00"/>
    <n v="935.22"/>
    <d v="2026-06-13T17:24:48"/>
    <n v="0.02"/>
    <n v="30"/>
    <s v="SLA Met"/>
    <d v="2026-06-13T17:29:28"/>
    <d v="2026-06-14T08:00:16"/>
    <n v="870.8"/>
    <n v="64.42"/>
    <n v="120"/>
    <s v="SLA Met"/>
    <m/>
    <n v="129600"/>
    <n v="129535.58"/>
    <n v="99.950293209876534"/>
    <n v="128729.2"/>
    <n v="99.328086419753078"/>
  </r>
  <r>
    <s v="Jubilant Foodworks Ltd (JFL)"/>
    <s v="Alert"/>
    <s v="Aneesh P S"/>
    <s v="PRO/INC/50005"/>
    <s v="aps went down"/>
    <s v="Meraki Managed Services"/>
    <s v="Software / Configuration"/>
    <s v="Greater Noida"/>
    <s v="Q5AA-FTAU-94AS"/>
    <x v="80"/>
    <s v="NO RACK "/>
    <s v="SW"/>
    <n v="1"/>
    <e v="#N/A"/>
    <e v="#N/A"/>
    <m/>
    <s v="Non-Core"/>
    <s v="Closed"/>
    <x v="2"/>
    <s v="checking on dashboard"/>
    <s v="client side activity"/>
    <d v="2026-06-13T17:43:20"/>
    <d v="2026-06-14T08:00:00"/>
    <n v="856.67"/>
    <d v="2026-06-13T17:43:21"/>
    <n v="0.02"/>
    <n v="30"/>
    <s v="SLA Met"/>
    <d v="2026-06-13T17:48:00"/>
    <d v="2026-06-14T07:59:29"/>
    <n v="851.48"/>
    <n v="5.18"/>
    <n v="120"/>
    <s v="SLA Met"/>
    <m/>
    <n v="129600"/>
    <n v="129594.82"/>
    <n v="99.996003086419762"/>
    <n v="128748.52"/>
    <n v="99.342993827160498"/>
  </r>
  <r>
    <s v="Jubilant Foodworks Ltd (JFL)"/>
    <s v="Alert"/>
    <s v="Aneesh P S"/>
    <s v="PRO/INC/50007"/>
    <s v="aps went down"/>
    <s v="Meraki Managed Services"/>
    <s v="Software / Configuration"/>
    <s v="Greater Noida"/>
    <s v="Q5AA-GHXM-TRTK"/>
    <x v="78"/>
    <s v="NA"/>
    <s v="AP"/>
    <s v="JFL-GNSC-AP20"/>
    <s v="CW9162I"/>
    <s v="wireless-31-1-7"/>
    <m/>
    <s v="Non-Core"/>
    <s v="Closed"/>
    <x v="2"/>
    <s v="checking on dashboard"/>
    <s v="client side activity"/>
    <d v="2026-06-13T17:45:40"/>
    <d v="2026-06-14T08:00:00"/>
    <n v="854.33"/>
    <d v="2026-06-13T17:45:41"/>
    <n v="0.02"/>
    <n v="30"/>
    <s v="SLA Met"/>
    <d v="2026-06-13T17:49:38"/>
    <d v="2026-06-14T07:58:52"/>
    <n v="849.23"/>
    <n v="5.0999999999999996"/>
    <n v="120"/>
    <s v="SLA Met"/>
    <m/>
    <n v="129600"/>
    <n v="129594.9"/>
    <n v="99.996064814814815"/>
    <n v="128750.77"/>
    <n v="99.344729938271598"/>
  </r>
  <r>
    <s v="Jubilant Foodworks Ltd (JFL)"/>
    <s v="Alert"/>
    <s v="Aneesh P S"/>
    <s v="PRO/INC/50011"/>
    <s v="aps went down"/>
    <s v="Meraki Managed Services"/>
    <s v="Software / Configuration"/>
    <s v="Greater Noida"/>
    <s v="Q5AA-GHXM-TRTK"/>
    <x v="78"/>
    <s v="NA"/>
    <s v="AP"/>
    <s v="JFL-GNSC-AP20"/>
    <s v="CW9162I"/>
    <s v="wireless-31-1-7"/>
    <m/>
    <s v="Non-Core"/>
    <s v="Closed"/>
    <x v="2"/>
    <s v="checking on dashboard"/>
    <s v="client side activity"/>
    <d v="2026-06-13T18:06:31"/>
    <d v="2026-06-14T08:00:00"/>
    <n v="833.48"/>
    <d v="2026-06-13T18:06:31"/>
    <n v="0"/>
    <n v="30"/>
    <s v="SLA Met"/>
    <d v="2026-06-13T18:29:52"/>
    <d v="2026-06-14T07:58:14"/>
    <n v="808.37"/>
    <n v="25.12"/>
    <n v="120"/>
    <s v="SLA Met"/>
    <m/>
    <n v="129600"/>
    <n v="129574.88"/>
    <n v="99.980617283950622"/>
    <n v="128791.63"/>
    <n v="99.376257716049395"/>
  </r>
  <r>
    <s v="Jubilant Foodworks Ltd (JFL)"/>
    <s v="Alert"/>
    <s v="Aneesh P S"/>
    <s v="PRO/INC/50014"/>
    <s v="aps went down"/>
    <s v="Meraki Managed Services"/>
    <s v="Software / Configuration"/>
    <s v="Greater Noida"/>
    <s v="Q3KG-JH9T-FL7Z"/>
    <x v="24"/>
    <s v="NA"/>
    <s v="AP"/>
    <s v="JFL-GNSC-AP48"/>
    <s v="MR86"/>
    <s v="wireless-31-1-7"/>
    <m/>
    <s v="Non-Core"/>
    <s v="Closed"/>
    <x v="2"/>
    <s v="checking on the dashboard"/>
    <s v="client side activity"/>
    <d v="2026-06-13T18:22:43"/>
    <d v="2026-06-14T08:00:00"/>
    <n v="817.28"/>
    <d v="2026-06-13T18:22:44"/>
    <n v="0.02"/>
    <n v="30"/>
    <s v="SLA Met"/>
    <d v="2026-06-13T18:32:05"/>
    <d v="2026-06-14T07:57:18"/>
    <n v="805.22"/>
    <n v="12.07"/>
    <n v="120"/>
    <s v="SLA Met"/>
    <m/>
    <n v="129600"/>
    <n v="129587.93"/>
    <n v="99.990686728395062"/>
    <n v="128794.78"/>
    <n v="99.378688271604943"/>
  </r>
  <r>
    <s v="Jubilant Foodworks Ltd (JFL)"/>
    <s v="Alert"/>
    <s v="Aneesh P S"/>
    <s v="PRO/INC/50017"/>
    <s v="aps went down"/>
    <s v="Meraki Managed Services"/>
    <s v="Software / Configuration"/>
    <s v="Greater Noida"/>
    <s v="Q3KG-A9R2-ATYY"/>
    <x v="73"/>
    <s v="NA"/>
    <s v="AP"/>
    <s v="JFL-GNSC-AP50"/>
    <s v="MR86"/>
    <s v="wireless-31-1-7"/>
    <m/>
    <s v="Non-Core"/>
    <s v="Closed"/>
    <x v="2"/>
    <s v="checking on dashboard"/>
    <s v="client side activity"/>
    <d v="2026-06-13T18:51:55"/>
    <d v="2026-06-14T08:00:00"/>
    <n v="788.08"/>
    <d v="2026-06-13T18:51:55"/>
    <n v="0"/>
    <n v="30"/>
    <s v="SLA Met"/>
    <d v="2026-06-13T18:54:33"/>
    <d v="2026-06-14T07:56:21"/>
    <n v="781.8"/>
    <n v="6.28"/>
    <n v="120"/>
    <s v="SLA Met"/>
    <m/>
    <n v="129600"/>
    <n v="129593.72"/>
    <n v="99.995154320987652"/>
    <n v="128818.2"/>
    <n v="99.396759259259255"/>
  </r>
  <r>
    <s v="Jubilant Foodworks Ltd (JFL)"/>
    <s v="Alert"/>
    <s v="Aneesh P S"/>
    <s v="PRO/INC/50541"/>
    <s v="aps went down"/>
    <s v="Meraki Managed Services"/>
    <s v="Software / Configuration"/>
    <s v="Bangalore"/>
    <s v="Q3AC-PV6N-6QRC"/>
    <x v="110"/>
    <s v="NA"/>
    <s v="AP"/>
    <s v="GF-AP12-R02-SW01-18P"/>
    <s v="MR46"/>
    <s v="wireless-31-1-8"/>
    <m/>
    <s v="Non-Core"/>
    <s v="Closed"/>
    <x v="0"/>
    <s v="Device Power issues"/>
    <s v="Device Power issues"/>
    <d v="2026-06-14T17:17:14"/>
    <d v="2026-06-14T17:32:00"/>
    <n v="14.77"/>
    <d v="2026-06-14T17:17:15"/>
    <n v="0.02"/>
    <n v="30"/>
    <s v="SLA Met"/>
    <d v="2026-06-14T17:24:32"/>
    <d v="2026-06-14T17:29:57"/>
    <n v="5.42"/>
    <n v="9.35"/>
    <n v="120"/>
    <s v="SLA Met"/>
    <m/>
    <n v="129600"/>
    <n v="129590.65"/>
    <n v="99.992785493827157"/>
    <n v="129594.58"/>
    <n v="99.995817901234574"/>
  </r>
  <r>
    <s v="Jubilant Foodworks Ltd (JFL)"/>
    <s v="Alert"/>
    <s v="Aneesh P S"/>
    <s v="PRO/INC/50542"/>
    <s v="aps went down"/>
    <s v="Meraki Managed Services"/>
    <s v="Software / Configuration"/>
    <s v="Bangalore"/>
    <s v="Q3AC-DK8K-8UBR"/>
    <x v="111"/>
    <s v="NA"/>
    <s v="AP"/>
    <s v="GF-AP09-R02-SW01-22P"/>
    <s v="MR46"/>
    <s v="wireless-31-1-8"/>
    <m/>
    <s v="Non-Core"/>
    <s v="Closed"/>
    <x v="0"/>
    <s v="Device Power issues"/>
    <s v="Device Power issues"/>
    <d v="2026-06-14T17:17:23"/>
    <d v="2026-06-14T17:32:00"/>
    <n v="14.62"/>
    <d v="2026-06-14T17:17:24"/>
    <n v="0.02"/>
    <n v="30"/>
    <s v="SLA Met"/>
    <d v="2026-06-14T17:23:27"/>
    <d v="2026-06-14T17:29:02"/>
    <n v="5.58"/>
    <n v="9.0299999999999994"/>
    <n v="120"/>
    <s v="SLA Met"/>
    <m/>
    <n v="129600"/>
    <n v="129590.97"/>
    <n v="99.993032407407412"/>
    <n v="129594.42"/>
    <n v="99.995694444444439"/>
  </r>
  <r>
    <s v="Jubilant Foodworks Ltd (JFL)"/>
    <s v="Alert"/>
    <s v="Aneesh P S"/>
    <s v="PRO/INC/50543"/>
    <s v="aps went down"/>
    <s v="Meraki Managed Services"/>
    <s v="Software / Configuration"/>
    <s v="Bangalore"/>
    <s v="Q3AC-MPDZ-UTHS"/>
    <x v="112"/>
    <s v="NA"/>
    <s v="AP"/>
    <s v="GF-AP46-R02-SW01-26P"/>
    <s v="MR46"/>
    <s v="wireless-31-1-8"/>
    <m/>
    <s v="Non-Core"/>
    <s v="Closed"/>
    <x v="0"/>
    <s v="Device Power issues"/>
    <s v="Device Power issues"/>
    <d v="2026-06-14T17:17:26"/>
    <d v="2026-06-14T17:30:00"/>
    <n v="12.57"/>
    <d v="2026-06-14T17:17:27"/>
    <n v="0.02"/>
    <n v="30"/>
    <s v="SLA Met"/>
    <d v="2026-06-14T17:22:16"/>
    <d v="2026-06-14T17:28:14"/>
    <n v="5.97"/>
    <n v="6.6"/>
    <n v="120"/>
    <s v="SLA Met"/>
    <m/>
    <n v="129600"/>
    <n v="129593.4"/>
    <n v="99.99490740740741"/>
    <n v="129594.03"/>
    <n v="99.995393518518512"/>
  </r>
  <r>
    <s v="Jubilant Foodworks Ltd (JFL)"/>
    <s v="Email"/>
    <s v="Aneesh P S"/>
    <s v="PRO/INC/50985"/>
    <s v="1 AP Down at GNSC"/>
    <s v="Meraki Managed Services"/>
    <s v="Software / Configuration"/>
    <s v="Greater Noida"/>
    <s v="Q3KG-A9R2-ATYY"/>
    <x v="73"/>
    <s v="NA"/>
    <s v="AP"/>
    <s v="JFL-GNSC-AP50"/>
    <s v="MR86"/>
    <s v="wireless-31-1-7"/>
    <m/>
    <s v="P3"/>
    <s v="Closed"/>
    <x v="0"/>
    <s v="Device power issue"/>
    <s v="Device Power issues"/>
    <d v="2026-06-15T11:47:42"/>
    <d v="2026-06-15T14:50:00"/>
    <n v="182.3"/>
    <d v="2026-06-15T11:47:41"/>
    <n v="0"/>
    <n v="30"/>
    <s v="SLA Met"/>
    <d v="2026-06-15T11:53:07"/>
    <d v="2026-06-15T14:47:19"/>
    <n v="174.2"/>
    <n v="8.1"/>
    <n v="1440"/>
    <s v="SLA Met"/>
    <m/>
    <n v="129600"/>
    <n v="129591.9"/>
    <n v="99.993749999999991"/>
    <n v="129425.8"/>
    <n v="99.8655864197531"/>
  </r>
  <r>
    <s v="Jubilant Foodworks Ltd (JFL)"/>
    <s v="Alert"/>
    <s v="Arvind Kumar Arya"/>
    <s v="PRO/INC/51176"/>
    <s v="switches went down"/>
    <s v="Meraki Managed Services"/>
    <s v="Software / Configuration"/>
    <s v="Nagpur"/>
    <s v="Q5JG-SL55-CZ9Z"/>
    <x v="113"/>
    <s v="RACK 2"/>
    <s v="SW"/>
    <s v="JFL-NAG-SSC-SW04"/>
    <s v="C9300L-24P-4X"/>
    <s v="cs-17-2-2"/>
    <m/>
    <s v="Core"/>
    <s v="Closed"/>
    <x v="2"/>
    <s v="Power issue on client side."/>
    <s v="IOS upgrade activity at customer site , now the device came up"/>
    <d v="2026-06-17T02:55:33"/>
    <d v="2026-06-17T03:32:00"/>
    <n v="36.450000000000003"/>
    <d v="2026-06-17T02:55:34"/>
    <n v="0.02"/>
    <n v="30"/>
    <s v="SLA Met"/>
    <d v="2026-06-17T02:58:38"/>
    <d v="2026-06-17T03:23:03"/>
    <n v="24.42"/>
    <n v="12.03"/>
    <n v="120"/>
    <s v="SLA Met"/>
    <m/>
    <n v="129600"/>
    <n v="129587.97"/>
    <n v="99.990717592592588"/>
    <n v="129575.58"/>
    <n v="99.981157407407409"/>
  </r>
  <r>
    <s v="Jubilant Foodworks Ltd (JFL)"/>
    <s v="Alert"/>
    <s v="Arvind Kumar Arya"/>
    <s v="PRO/INC/51178"/>
    <s v="aps went down"/>
    <s v="Meraki Managed Services"/>
    <s v="Software / Configuration"/>
    <s v="Nagpur"/>
    <s v="Q3KG-P7GS-UMEQ"/>
    <x v="114"/>
    <s v="NA"/>
    <s v="AP"/>
    <s v="JFL-NAG-SSC-AP04"/>
    <s v="MR86"/>
    <s v="wireless-31-1-8"/>
    <m/>
    <s v="Non-Core"/>
    <s v="Closed"/>
    <x v="2"/>
    <s v="Power issue on client side."/>
    <s v="Switch IOS upgrade activity at customer site , now the device came up"/>
    <d v="2026-06-17T02:56:32"/>
    <d v="2026-06-17T03:32:00"/>
    <n v="35.47"/>
    <d v="2026-06-17T02:56:33"/>
    <n v="0.02"/>
    <n v="30"/>
    <s v="SLA Met"/>
    <d v="2026-06-17T03:00:20"/>
    <d v="2026-06-17T03:31:04"/>
    <n v="30.73"/>
    <n v="4.7300000000000004"/>
    <n v="120"/>
    <s v="SLA Met"/>
    <m/>
    <n v="129600"/>
    <n v="129595.27"/>
    <n v="99.996350308641979"/>
    <n v="129569.27"/>
    <n v="99.976288580246916"/>
  </r>
  <r>
    <s v="Jubilant Foodworks Ltd (JFL)"/>
    <s v="Alert"/>
    <s v="Dharmendra Bhadoriya"/>
    <s v="PRO/INC/51179"/>
    <s v="aps went down"/>
    <s v="Meraki Managed Services"/>
    <s v="Software / Configuration"/>
    <s v="Nagpur"/>
    <s v="Q3KG-FBVZ-2RBN"/>
    <x v="69"/>
    <s v="NA"/>
    <s v="AP"/>
    <s v="JFL-NAG-SSC-AP05"/>
    <s v="MR86"/>
    <s v="wireless-31-1-8"/>
    <m/>
    <s v="Non-Core"/>
    <s v="Closed"/>
    <x v="5"/>
    <s v="Power issue on client side."/>
    <s v="After Upgradation Issue has been resolved ."/>
    <d v="2026-06-17T02:56:32"/>
    <d v="2026-06-17T09:40:00"/>
    <n v="403.47"/>
    <d v="2026-06-17T02:56:33"/>
    <n v="0.02"/>
    <n v="30"/>
    <s v="SLA Met"/>
    <d v="2026-06-17T03:01:25"/>
    <d v="2026-06-17T09:36:15"/>
    <n v="394.83"/>
    <n v="8.6300000000000008"/>
    <n v="120"/>
    <s v="SLA Met"/>
    <m/>
    <n v="129600"/>
    <n v="129591.37"/>
    <n v="99.993341049382707"/>
    <n v="129205.17"/>
    <n v="99.695347222222225"/>
  </r>
  <r>
    <s v="Jubilant Foodworks Ltd (JFL)"/>
    <s v="Alert"/>
    <s v="Arvind Kumar Arya"/>
    <s v="PRO/INC/51181"/>
    <s v="aps went down"/>
    <s v="Meraki Managed Services"/>
    <s v="Software / Configuration"/>
    <s v="Nagpur"/>
    <s v="Q3KG-MBCN-DSBC"/>
    <x v="115"/>
    <s v="NA"/>
    <s v="AP"/>
    <s v="JFL-NAG-SSC-AP06"/>
    <s v="MR86"/>
    <s v="wireless-31-1-8"/>
    <m/>
    <s v="Non-Core"/>
    <s v="Closed"/>
    <x v="2"/>
    <s v="Power issue on client side."/>
    <s v="iOS upgradation activity at customer site The device came up ,closing the case"/>
    <d v="2026-06-17T02:56:42"/>
    <d v="2026-06-17T03:34:00"/>
    <n v="37.299999999999997"/>
    <d v="2026-06-17T02:56:43"/>
    <n v="0.02"/>
    <n v="30"/>
    <s v="SLA Met"/>
    <d v="2026-06-17T03:03:05"/>
    <d v="2026-06-17T03:32:48"/>
    <n v="29.72"/>
    <n v="7.58"/>
    <n v="120"/>
    <s v="SLA Met"/>
    <m/>
    <n v="129600"/>
    <n v="129592.42"/>
    <n v="99.994151234567894"/>
    <n v="129570.28"/>
    <n v="99.977067901234562"/>
  </r>
  <r>
    <s v="Jubilant Foodworks Ltd (JFL)"/>
    <s v="Alert"/>
    <s v="Arvind Kumar Arya"/>
    <s v="PRO/INC/51183"/>
    <s v="switches went down"/>
    <s v="Meraki Managed Services"/>
    <s v="Software / Configuration"/>
    <s v="Nagpur"/>
    <s v="Q5JG-STQ9-EUPF"/>
    <x v="116"/>
    <s v="RACK 3"/>
    <s v="SW"/>
    <s v="JFL-NAG-SSC-SW03"/>
    <s v="C9300L-24P-4X"/>
    <s v="cs-17-2-2"/>
    <m/>
    <s v="Core"/>
    <s v="Closed"/>
    <x v="2"/>
    <s v="Power issue on client side."/>
    <s v="IOS upgrade activity at customer site , now the device came up"/>
    <d v="2026-06-17T02:56:52"/>
    <d v="2026-06-17T03:31:00"/>
    <n v="34.130000000000003"/>
    <d v="2026-06-17T02:56:52"/>
    <n v="0"/>
    <n v="30"/>
    <s v="SLA Met"/>
    <d v="2026-06-17T03:04:49"/>
    <d v="2026-06-17T03:29:20"/>
    <n v="24.52"/>
    <n v="9.6199999999999992"/>
    <n v="120"/>
    <s v="SLA Met"/>
    <m/>
    <n v="129600"/>
    <n v="129590.38"/>
    <n v="99.992577160493838"/>
    <n v="129575.48"/>
    <n v="99.981080246913578"/>
  </r>
  <r>
    <s v="Jubilant Foodworks Ltd (JFL)"/>
    <s v="Alert"/>
    <s v="Arvind Kumar Arya"/>
    <s v="PRO/INC/51184"/>
    <s v="switches went down"/>
    <s v="Meraki Managed Services"/>
    <s v="Software / Configuration"/>
    <s v="Nagpur"/>
    <s v="Q5JJ-68KZ-MXAS"/>
    <x v="3"/>
    <s v="RACK 1"/>
    <s v="SW"/>
    <s v="JFL-NAG-SSC-SW01"/>
    <s v="C9300L-48P-4X"/>
    <s v="cs-17-2-2"/>
    <m/>
    <s v="Core"/>
    <s v="Closed"/>
    <x v="2"/>
    <s v="Power issue on client side."/>
    <s v="IOS upgrade activity at customer site , now the device came up"/>
    <d v="2026-06-17T02:57:12"/>
    <d v="2026-06-17T03:32:00"/>
    <n v="34.799999999999997"/>
    <d v="2026-06-17T02:57:13"/>
    <n v="0.02"/>
    <n v="30"/>
    <s v="SLA Met"/>
    <d v="2026-06-17T03:07:26"/>
    <d v="2026-06-17T03:30:10"/>
    <n v="22.73"/>
    <n v="12.07"/>
    <n v="120"/>
    <s v="SLA Met"/>
    <m/>
    <n v="129600"/>
    <n v="129587.93"/>
    <n v="99.990686728395062"/>
    <n v="129577.27"/>
    <n v="99.982461419753093"/>
  </r>
  <r>
    <s v="Jubilant Foodworks Ltd (JFL)"/>
    <s v="Alert"/>
    <s v="Arvind Kumar Arya"/>
    <s v="PRO/INC/51185"/>
    <s v="aps went down"/>
    <s v="Meraki Managed Services"/>
    <s v="Software / Configuration"/>
    <s v="Nagpur"/>
    <s v="Q5AR-4FGW-G4PW"/>
    <x v="117"/>
    <s v="NA"/>
    <s v="AP"/>
    <s v="JFL-NAG-SSC-AP02"/>
    <s v="CW9166I"/>
    <s v="wireless-31-1-8"/>
    <m/>
    <s v="Non-Core"/>
    <s v="Closed"/>
    <x v="2"/>
    <s v="Power issue on client side."/>
    <s v="iOS upgradation activity at customer site The device came up ,closing the case"/>
    <d v="2026-06-17T02:57:12"/>
    <d v="2026-06-17T03:35:00"/>
    <n v="37.799999999999997"/>
    <d v="2026-06-17T02:57:13"/>
    <n v="0.02"/>
    <n v="30"/>
    <s v="SLA Met"/>
    <d v="2026-06-17T03:05:54"/>
    <d v="2026-06-17T03:33:47"/>
    <n v="27.88"/>
    <n v="9.92"/>
    <n v="120"/>
    <s v="SLA Met"/>
    <m/>
    <n v="129600"/>
    <n v="129590.08"/>
    <n v="99.992345679012345"/>
    <n v="129572.12"/>
    <n v="99.978487654320986"/>
  </r>
  <r>
    <s v="Jubilant Foodworks Ltd (JFL)"/>
    <s v="Alert"/>
    <s v="Arvind Kumar Arya"/>
    <s v="PRO/INC/51191"/>
    <s v="power supply came up"/>
    <s v="Meraki Managed Services"/>
    <s v="Software / Configuration"/>
    <s v="Nagpur"/>
    <s v="Q5JJ-68KZ-MXAS"/>
    <x v="3"/>
    <s v="RACK 1"/>
    <s v="SW"/>
    <s v="JFL-NAG-SSC-SW01"/>
    <s v="C9300L-48P-4X"/>
    <s v="cs-17-2-2"/>
    <m/>
    <s v="P3"/>
    <s v="Closed"/>
    <x v="0"/>
    <m/>
    <s v="The node automatically rebooted after the OS upgrade."/>
    <d v="2026-06-17T03:00:38"/>
    <d v="2026-06-17T03:23:00"/>
    <n v="22.37"/>
    <d v="2026-06-17T03:00:39"/>
    <n v="0.02"/>
    <n v="30"/>
    <s v="SLA Met"/>
    <m/>
    <m/>
    <n v="0"/>
    <n v="22.37"/>
    <n v="1440"/>
    <s v="SLA Met"/>
    <m/>
    <n v="129600"/>
    <n v="129577.63"/>
    <n v="99.982739197530861"/>
    <n v="129600"/>
    <n v="100"/>
  </r>
  <r>
    <s v="Jubilant Foodworks Ltd (JFL)"/>
    <s v="Alert"/>
    <s v="Jagadisha R"/>
    <s v="PRO/INC/51194"/>
    <s v="power supply came up"/>
    <s v="Meraki Managed Services"/>
    <s v="Software / Configuration"/>
    <s v="Nagpur"/>
    <s v="Q5JG-TM9S-PLFP"/>
    <x v="38"/>
    <s v="RACK 2"/>
    <s v="SW"/>
    <s v="JFL-NAG-SSC-SW02"/>
    <s v="C9300L-24P-4X"/>
    <s v="cs-17-2-2"/>
    <m/>
    <s v="P3"/>
    <s v="Closed"/>
    <x v="2"/>
    <m/>
    <s v="IOS upgradation activity at customer site As the device came up , closing the case ."/>
    <d v="2026-06-17T03:01:43"/>
    <d v="2026-06-17T03:25:36"/>
    <n v="23.88"/>
    <d v="2026-06-17T03:01:44"/>
    <n v="0.02"/>
    <n v="30"/>
    <s v="SLA Met"/>
    <m/>
    <m/>
    <n v="0"/>
    <n v="23.88"/>
    <n v="1440"/>
    <s v="SLA Met"/>
    <m/>
    <n v="129600"/>
    <n v="129576.12"/>
    <n v="99.981574074074075"/>
    <n v="129600"/>
    <n v="100"/>
  </r>
  <r>
    <s v="Jubilant Foodworks Ltd (JFL)"/>
    <s v="Alert"/>
    <s v="Jagadisha R"/>
    <s v="PRO/INC/51196"/>
    <s v="power supply came up"/>
    <s v="Meraki Managed Services"/>
    <s v="Software / Configuration"/>
    <s v="Nagpur"/>
    <s v="Q5JG-SL55-CZ9Z"/>
    <x v="113"/>
    <s v="RACK 2"/>
    <s v="SW"/>
    <s v="JFL-NAG-SSC-SW04"/>
    <s v="C9300L-24P-4X"/>
    <s v="cs-17-2-2"/>
    <m/>
    <s v="P3"/>
    <s v="Closed"/>
    <x v="2"/>
    <m/>
    <s v="IOS upgradation activity at customer site As the device came up , closing the case ."/>
    <d v="2026-06-17T03:01:53"/>
    <d v="2026-06-17T03:25:21"/>
    <n v="23.47"/>
    <d v="2026-06-17T03:01:54"/>
    <n v="0.02"/>
    <n v="30"/>
    <s v="SLA Met"/>
    <m/>
    <m/>
    <n v="0"/>
    <n v="23.47"/>
    <n v="1440"/>
    <s v="SLA Met"/>
    <m/>
    <n v="129600"/>
    <n v="129576.53"/>
    <n v="99.981890432098766"/>
    <n v="129600"/>
    <n v="100"/>
  </r>
  <r>
    <s v="Jubilant Foodworks Ltd (JFL)"/>
    <s v="Alert"/>
    <s v="Jagadisha R"/>
    <s v="PRO/INC/51198"/>
    <s v="power supply came up"/>
    <s v="Meraki Managed Services"/>
    <s v="Software / Configuration"/>
    <s v="Nagpur"/>
    <s v="Q5JG-STQ9-EUPF"/>
    <x v="116"/>
    <s v="RACK 3"/>
    <s v="SW"/>
    <s v="JFL-NAG-SSC-SW03"/>
    <s v="C9300L-24P-4X"/>
    <s v="cs-17-2-2"/>
    <m/>
    <s v="P3"/>
    <s v="Closed"/>
    <x v="2"/>
    <m/>
    <s v="IOS upgradation activity at customer site As the device came up , closing the case ."/>
    <d v="2026-06-17T03:02:59"/>
    <d v="2026-06-17T03:22:15"/>
    <n v="19.27"/>
    <d v="2026-06-17T03:02:59"/>
    <n v="0"/>
    <n v="30"/>
    <s v="SLA Met"/>
    <m/>
    <m/>
    <n v="0"/>
    <n v="19.27"/>
    <n v="1440"/>
    <s v="SLA Met"/>
    <m/>
    <n v="129600"/>
    <n v="129580.73"/>
    <n v="99.985131172839502"/>
    <n v="129600"/>
    <n v="100"/>
  </r>
  <r>
    <s v="Jubilant Foodworks Ltd (JFL)"/>
    <s v="Email"/>
    <s v="Dheerendra Maurya"/>
    <s v="PRO/INC/51585"/>
    <s v="RE: Request to Whitelist MAC Address"/>
    <s v="Meraki Managed Services"/>
    <s v="Change Request"/>
    <s v="Mohali"/>
    <m/>
    <x v="118"/>
    <s v="NA"/>
    <s v="AP"/>
    <s v="JFL-Mohali-SCC-AP02"/>
    <s v="CW9162I"/>
    <s v="wireless-31-1-7"/>
    <m/>
    <s v="P4"/>
    <s v="Closed"/>
    <x v="1"/>
    <s v="IP WHITLISTING"/>
    <s v="The device with IP address 10.168.94.226 has been successfully whitelisted. Post implementation, the device has successfully connected to the internet and is now working fine"/>
    <d v="2026-06-18T15:06:55"/>
    <d v="2026-06-18T15:42:00"/>
    <n v="35.08"/>
    <d v="2026-06-18T15:06:54"/>
    <n v="0"/>
    <n v="30"/>
    <s v="SLA Met"/>
    <d v="2026-06-18T15:15:57"/>
    <d v="2026-06-18T15:37:59"/>
    <n v="22.03"/>
    <n v="13.05"/>
    <n v="2880"/>
    <s v="SLA Met"/>
    <m/>
    <n v="129600"/>
    <n v="129586.95"/>
    <n v="99.989930555555546"/>
    <n v="129577.97"/>
    <n v="99.98300154320988"/>
  </r>
  <r>
    <s v="Jubilant Foodworks Ltd (JFL)"/>
    <s v="Alert"/>
    <s v="Aneesh P S"/>
    <s v="PRO/INC/51593"/>
    <s v="new dhcp server detected"/>
    <s v="Meraki Managed Services"/>
    <s v="Software / Configuration"/>
    <s v="Nagpur"/>
    <s v="Q5JJ-68KZ-MXAS"/>
    <x v="3"/>
    <s v="RACK 1"/>
    <s v="SW"/>
    <s v="JFL-NAG-SSC-SW01"/>
    <s v="C9300L-48P-4X"/>
    <s v="cs-17-2-2"/>
    <m/>
    <s v="Non-Core"/>
    <s v="Closed"/>
    <x v="9"/>
    <s v="new device detected on network need customer confirmation to block"/>
    <s v="no response from customer"/>
    <d v="2026-06-18T15:19:26"/>
    <d v="2026-07-01T15:50:00"/>
    <n v="18750.57"/>
    <d v="2026-06-18T15:19:27"/>
    <n v="0.02"/>
    <n v="30"/>
    <s v="SLA Met"/>
    <d v="2026-06-18T15:20:58"/>
    <d v="2026-07-01T15:42:55"/>
    <n v="18741.95"/>
    <n v="8.6199999999999992"/>
    <n v="120"/>
    <s v="SLA Met"/>
    <m/>
    <n v="129600"/>
    <n v="129591.38"/>
    <n v="99.993348765432103"/>
    <n v="110858.05"/>
    <n v="85.538618827160491"/>
  </r>
  <r>
    <s v="Jubilant Foodworks Ltd (JFL)"/>
    <s v="Alert"/>
    <s v="Aneesh P S"/>
    <s v="PRO/INC/51658"/>
    <s v="new dhcp server detected"/>
    <s v="Meraki Managed Services"/>
    <s v="Software / Configuration"/>
    <s v="Nagpur"/>
    <s v="Q5JG-TM9S-PLFP"/>
    <x v="38"/>
    <s v="RACK 2"/>
    <s v="SW"/>
    <s v="JFL-NAG-SSC-SW02"/>
    <s v="C9300L-24P-4X"/>
    <s v="cs-17-2-2"/>
    <m/>
    <s v="Non-Core"/>
    <s v="Closed"/>
    <x v="1"/>
    <s v="client-side activity"/>
    <s v="new server detected blocked as per customer confirmation"/>
    <d v="2026-06-19T02:30:31"/>
    <d v="2026-06-19T11:00:00"/>
    <n v="509.48"/>
    <d v="2026-06-19T02:30:33"/>
    <n v="0.03"/>
    <n v="30"/>
    <s v="SLA Met"/>
    <d v="2026-06-19T02:32:11"/>
    <d v="2026-06-19T10:52:06"/>
    <n v="499.92"/>
    <n v="9.57"/>
    <n v="120"/>
    <s v="SLA Met"/>
    <m/>
    <n v="129600"/>
    <n v="129590.43"/>
    <n v="99.992615740740732"/>
    <n v="129100.08"/>
    <n v="99.614259259259256"/>
  </r>
  <r>
    <s v="Jubilant Foodworks Ltd (JFL)"/>
    <s v="Alert"/>
    <s v="Aneesh P S"/>
    <s v="PRO/INC/51680"/>
    <s v="new dhcp server detected"/>
    <s v="Meraki Managed Services"/>
    <s v="Software / Configuration"/>
    <s v="Nagpur"/>
    <s v="Q5JJ-68KZ-MXAS"/>
    <x v="3"/>
    <s v="RACK 1"/>
    <s v="SW"/>
    <s v="JFL-NAG-SSC-SW01"/>
    <s v="C9300L-48P-4X"/>
    <s v="cs-17-2-2"/>
    <m/>
    <s v="Non-Core"/>
    <s v="Closed"/>
    <x v="1"/>
    <s v="need Customer confirmation to proceed"/>
    <s v="New DHCP server detected on the netwrok, blocked those as per customer confirmation"/>
    <d v="2026-06-19T10:46:17"/>
    <d v="2026-06-19T12:12:00"/>
    <n v="85.72"/>
    <d v="2026-06-19T10:46:18"/>
    <n v="0.02"/>
    <n v="30"/>
    <s v="SLA Met"/>
    <d v="2026-06-19T10:50:11"/>
    <d v="2026-06-19T12:09:20"/>
    <n v="79.150000000000006"/>
    <n v="6.57"/>
    <n v="120"/>
    <s v="SLA Met"/>
    <m/>
    <n v="129600"/>
    <n v="129593.43"/>
    <n v="99.994930555555555"/>
    <n v="129520.85"/>
    <n v="99.938927469135805"/>
  </r>
  <r>
    <s v="Jubilant Foodworks Ltd (JFL)"/>
    <s v="Alert"/>
    <s v="Aneesh P S"/>
    <s v="PRO/INC/51689"/>
    <s v="new dhcp server detected"/>
    <s v="Meraki Managed Services"/>
    <s v="Software / Configuration"/>
    <s v="Nagpur"/>
    <s v="Q5JJ-68KZ-MXAS"/>
    <x v="3"/>
    <s v="RACK 1"/>
    <s v="SW"/>
    <s v="JFL-NAG-SSC-SW01"/>
    <s v="C9300L-48P-4X"/>
    <s v="cs-17-2-2"/>
    <m/>
    <s v="Non-Core"/>
    <s v="Closed"/>
    <x v="1"/>
    <s v="need customer confirmation to proceed further"/>
    <s v="new DHCP server detected blocked those as per customer confirmation"/>
    <d v="2026-06-19T10:55:28"/>
    <d v="2026-06-19T12:10:00"/>
    <n v="74.53"/>
    <d v="2026-06-19T10:55:29"/>
    <n v="0.02"/>
    <n v="30"/>
    <s v="SLA Met"/>
    <d v="2026-06-19T10:58:18"/>
    <d v="2026-06-19T12:08:26"/>
    <n v="70.13"/>
    <n v="4.4000000000000004"/>
    <n v="120"/>
    <s v="SLA Met"/>
    <m/>
    <n v="129600"/>
    <n v="129595.6"/>
    <n v="99.996604938271602"/>
    <n v="129529.87"/>
    <n v="99.945887345679012"/>
  </r>
  <r>
    <s v="Jubilant Foodworks Ltd (JFL)"/>
    <s v="Alert"/>
    <s v="Aneesh P S"/>
    <s v="PRO/INC/51780"/>
    <s v="new dhcp server detected"/>
    <s v="Meraki Managed Services"/>
    <s v="Software / Configuration"/>
    <s v="Bangalore"/>
    <s v="Q2QW-BWS8-7ULR"/>
    <x v="119"/>
    <s v="GF-R5"/>
    <s v="SW"/>
    <s v="GF-R5-SW3"/>
    <s v="MS250-48FP"/>
    <s v="switch-17-1-4"/>
    <m/>
    <s v="Non-Core"/>
    <s v="Closed"/>
    <x v="1"/>
    <s v="Need customer confirmation to close the case"/>
    <s v="blocked as per customer confirmation"/>
    <d v="2026-06-19T17:56:05"/>
    <d v="2026-06-29T10:00:00"/>
    <n v="13923.92"/>
    <d v="2026-06-19T17:56:06"/>
    <n v="0.02"/>
    <n v="30"/>
    <s v="SLA Met"/>
    <d v="2026-06-19T18:03:08"/>
    <d v="2026-06-29T09:50:41"/>
    <n v="13907.55"/>
    <n v="16.37"/>
    <n v="120"/>
    <s v="SLA Met"/>
    <m/>
    <n v="129600"/>
    <n v="129583.63"/>
    <n v="99.987368827160495"/>
    <n v="115692.45"/>
    <n v="89.26886574074075"/>
  </r>
  <r>
    <s v="Jubilant Foodworks Ltd (JFL)"/>
    <s v="Email"/>
    <s v="Dheerendra Maurya"/>
    <s v="PRO/INC/51782"/>
    <s v="IP Assign Issue | Nagpur-- Q5JG-TM9S-PLFP"/>
    <s v="Meraki Managed Services"/>
    <s v="Software / Configuration"/>
    <s v="Nagpur"/>
    <s v="Q5JG-TM9S-PLFP"/>
    <x v="38"/>
    <s v="RACK 2"/>
    <s v="SW"/>
    <s v="JFL-NAG-SSC-SW02"/>
    <s v="C9300L-24P-4X"/>
    <s v="cs-17-2-2"/>
    <m/>
    <s v="Non-Core"/>
    <s v="Closed"/>
    <x v="6"/>
    <s v="checking on meraki dashboard"/>
    <s v="we observed that the DHCP server MAC address was blocked. After unblocking the DHCP MAC address, the client was able to obtain an IP address successfully and is now functioning normally"/>
    <d v="2026-06-19T18:23:14"/>
    <d v="2026-06-20T19:27:00"/>
    <n v="1503.77"/>
    <d v="2026-06-19T18:23:13"/>
    <n v="0"/>
    <n v="30"/>
    <s v="SLA Met"/>
    <d v="2026-06-19T18:49:55"/>
    <d v="2026-06-20T19:25:28"/>
    <n v="1475.55"/>
    <n v="28.22"/>
    <n v="120"/>
    <s v="SLA Met"/>
    <m/>
    <n v="129600"/>
    <n v="129571.78"/>
    <n v="99.978225308641981"/>
    <n v="128124.45"/>
    <n v="98.861458333333331"/>
  </r>
  <r>
    <s v="Jubilant Foodworks Ltd (JFL)"/>
    <s v="Alert"/>
    <s v="Jagadisha R"/>
    <s v="PRO/INC/51790"/>
    <s v="new dhcp server detected"/>
    <s v="Meraki Managed Services"/>
    <s v="Software / Configuration"/>
    <s v="Bangalore"/>
    <s v="Q2DW-FPMF-3AL6"/>
    <x v="120"/>
    <s v="CORE"/>
    <s v="SW"/>
    <s v="CORE-2"/>
    <s v="MS425-32"/>
    <s v="switch-17-1-4"/>
    <m/>
    <s v="Non-Core"/>
    <s v="Closed"/>
    <x v="4"/>
    <s v="Will inform customer, will wait for his confirmation"/>
    <s v="we are closing the case internally as of now, if same mac appears in the future , will take action"/>
    <d v="2026-06-19T21:52:08"/>
    <d v="2026-06-25T12:25:00"/>
    <n v="8072.87"/>
    <d v="2026-06-19T21:52:08"/>
    <n v="0"/>
    <n v="30"/>
    <s v="SLA Met"/>
    <d v="2026-06-19T21:58:34"/>
    <d v="2026-06-25T12:21:33"/>
    <n v="8062.98"/>
    <n v="9.8800000000000008"/>
    <n v="120"/>
    <s v="SLA Met"/>
    <m/>
    <n v="129600"/>
    <n v="129590.12"/>
    <n v="99.992376543209872"/>
    <n v="121537.02"/>
    <n v="93.778564814814814"/>
  </r>
  <r>
    <s v="Jubilant Foodworks Ltd (JFL)"/>
    <s v="Alert"/>
    <s v="Jagadisha R"/>
    <s v="PRO/INC/51792"/>
    <s v="switches went down"/>
    <s v="Meraki Managed Services"/>
    <s v="Software / Configuration"/>
    <s v="Bangalore"/>
    <s v="Q2ZP-D487-83QR"/>
    <x v="121"/>
    <s v="GF-R1"/>
    <s v="SW"/>
    <s v="GF-R1-SW1"/>
    <s v="MS350-48FP"/>
    <s v="switch-17-2-2"/>
    <m/>
    <s v="Core"/>
    <s v="Closed"/>
    <x v="0"/>
    <s v="Power issues"/>
    <s v="power issue"/>
    <d v="2026-06-19T21:55:59"/>
    <d v="2026-06-20T11:35:01"/>
    <n v="819.03"/>
    <d v="2026-06-19T21:56:00"/>
    <n v="0.02"/>
    <n v="30"/>
    <s v="SLA Met"/>
    <d v="2026-06-19T21:59:33"/>
    <d v="2026-06-20T11:31:41"/>
    <n v="812.13"/>
    <n v="6.9"/>
    <n v="120"/>
    <s v="SLA Met"/>
    <m/>
    <n v="129600"/>
    <n v="129593.1"/>
    <n v="99.994675925925932"/>
    <n v="128787.87"/>
    <n v="99.37335648148148"/>
  </r>
  <r>
    <s v="Jubilant Foodworks Ltd (JFL)"/>
    <s v="Alert"/>
    <s v="Jagadisha R"/>
    <s v="PRO/INC/51791"/>
    <s v="switches went down"/>
    <s v="Meraki Managed Services"/>
    <s v="Software / Configuration"/>
    <s v="Bangalore"/>
    <s v="Q2ZP-AZ5F-V97Y"/>
    <x v="122"/>
    <s v="GF-R1"/>
    <s v="SW"/>
    <s v="GF-R1-SW2"/>
    <s v="MS350-48FP"/>
    <s v="switch-17-2-2"/>
    <m/>
    <s v="Core"/>
    <s v="Closed"/>
    <x v="0"/>
    <s v="Power issues"/>
    <s v="Power issues"/>
    <d v="2026-06-19T21:55:59"/>
    <d v="2026-06-20T11:36:14"/>
    <n v="820.25"/>
    <d v="2026-06-19T21:55:59"/>
    <n v="0"/>
    <n v="30"/>
    <s v="SLA Met"/>
    <d v="2026-06-19T22:00:16"/>
    <d v="2026-06-20T11:32:45"/>
    <n v="812.48"/>
    <n v="7.77"/>
    <n v="120"/>
    <s v="SLA Met"/>
    <m/>
    <n v="129600"/>
    <n v="129592.23"/>
    <n v="99.994004629629629"/>
    <n v="128787.52"/>
    <n v="99.373086419753093"/>
  </r>
  <r>
    <s v="Jubilant Foodworks Ltd (JFL)"/>
    <s v="Alert"/>
    <s v="Jagadisha R"/>
    <s v="PRO/INC/51793"/>
    <s v="aps went down"/>
    <s v="Meraki Managed Services"/>
    <s v="Software / Configuration"/>
    <s v="Bangalore"/>
    <s v="Q5AE-C77W-8YW3"/>
    <x v="123"/>
    <s v="NA"/>
    <s v="AP"/>
    <s v="GF-AP03-R01-SW02-39P"/>
    <s v="CW9166I"/>
    <s v="wireless-31-1-8"/>
    <m/>
    <s v="Non-Core"/>
    <s v="Closed"/>
    <x v="0"/>
    <s v="Power issues"/>
    <s v="Power issues"/>
    <d v="2026-06-19T21:57:49"/>
    <d v="2026-06-20T11:37:14"/>
    <n v="819.42"/>
    <d v="2026-06-19T21:57:50"/>
    <n v="0.02"/>
    <n v="30"/>
    <s v="SLA Met"/>
    <d v="2026-06-19T22:01:07"/>
    <d v="2026-06-20T11:34:00"/>
    <n v="812.88"/>
    <n v="6.53"/>
    <n v="120"/>
    <s v="SLA Met"/>
    <m/>
    <n v="129600"/>
    <n v="129593.47"/>
    <n v="99.994961419753096"/>
    <n v="128787.12"/>
    <n v="99.37277777777777"/>
  </r>
  <r>
    <s v="Jubilant Foodworks Ltd (JFL)"/>
    <s v="Alert"/>
    <s v="Abhishek Satish Pawar"/>
    <s v="PRO/INC/51925"/>
    <s v="new dhcp server detected"/>
    <s v="Meraki Managed Services"/>
    <s v="Software / Configuration"/>
    <s v="Nagpur"/>
    <s v="Q5JJ-68KZ-MXAS"/>
    <x v="3"/>
    <s v="RACK 1"/>
    <s v="SW"/>
    <s v="JFL-NAG-SSC-SW01"/>
    <s v="C9300L-48P-4X"/>
    <s v="cs-17-2-2"/>
    <m/>
    <s v="Non-Core"/>
    <s v="Closed"/>
    <x v="3"/>
    <s v="New server detected"/>
    <s v="Resolved"/>
    <d v="2026-06-21T07:06:28"/>
    <d v="2026-06-24T12:07:00"/>
    <n v="4620.53"/>
    <d v="2026-06-21T07:06:29"/>
    <n v="0.02"/>
    <n v="30"/>
    <s v="SLA Met"/>
    <d v="2026-06-21T07:25:53"/>
    <d v="2026-06-24T12:02:08"/>
    <n v="4596.25"/>
    <n v="24.28"/>
    <n v="120"/>
    <s v="SLA Met"/>
    <m/>
    <n v="129600"/>
    <n v="129575.72"/>
    <n v="99.981265432098766"/>
    <n v="125003.75"/>
    <n v="96.45351080246914"/>
  </r>
  <r>
    <s v="Jubilant Foodworks Ltd (JFL)"/>
    <s v="Alert"/>
    <s v="Abhishek Satish Pawar"/>
    <s v="PRO/INC/51927"/>
    <s v="new dhcp server detected"/>
    <s v="Meraki Managed Services"/>
    <s v="Software / Configuration"/>
    <s v="Nagpur"/>
    <s v="Q5JJ-68KZ-MXAS"/>
    <x v="3"/>
    <s v="RACK 1"/>
    <s v="SW"/>
    <s v="JFL-NAG-SSC-SW01"/>
    <s v="C9300L-48P-4X"/>
    <s v="cs-17-2-2"/>
    <m/>
    <s v="Non-Core"/>
    <s v="Closed"/>
    <x v="3"/>
    <s v="new server detected"/>
    <s v="Resolved"/>
    <d v="2026-06-21T07:15:59"/>
    <d v="2026-06-24T12:10:00"/>
    <n v="4614.0200000000004"/>
    <d v="2026-06-21T07:16:00"/>
    <n v="0.02"/>
    <n v="30"/>
    <s v="SLA Met"/>
    <d v="2026-06-21T07:27:49"/>
    <d v="2026-06-24T12:04:54"/>
    <n v="4597.08"/>
    <n v="16.93"/>
    <n v="120"/>
    <s v="SLA Met"/>
    <m/>
    <n v="129600"/>
    <n v="129583.07"/>
    <n v="99.986936728395065"/>
    <n v="125002.92"/>
    <n v="96.452870370370363"/>
  </r>
  <r>
    <s v="Jubilant Foodworks Ltd (JFL)"/>
    <s v="Alert"/>
    <s v="Shresth Kushwaha"/>
    <s v="PRO/INC/52387"/>
    <s v="switches went down"/>
    <s v="Meraki Managed Services"/>
    <s v="Software / Configuration"/>
    <s v="Mohali"/>
    <s v="Q3LP-2PSJ-6DLB"/>
    <x v="11"/>
    <s v="TRANSPORT ROOM"/>
    <s v="SW"/>
    <s v="JFL-MOHALI-ACC-SW-01(Transport Room)"/>
    <s v="MS130-12X"/>
    <s v="switch-17-2-1"/>
    <m/>
    <s v="Core"/>
    <s v="Closed"/>
    <x v="0"/>
    <s v="power issue"/>
    <s v="switch wents down due to Power issue"/>
    <d v="2026-06-21T14:59:10"/>
    <d v="2026-06-21T18:28:00"/>
    <n v="208.83"/>
    <d v="2026-06-21T14:59:12"/>
    <n v="0.03"/>
    <n v="30"/>
    <s v="SLA Met"/>
    <d v="2026-06-21T15:03:02"/>
    <d v="2026-06-21T18:26:54"/>
    <n v="203.87"/>
    <n v="4.97"/>
    <n v="120"/>
    <s v="SLA Met"/>
    <m/>
    <n v="129600"/>
    <n v="129595.03"/>
    <n v="99.996165123456791"/>
    <n v="129396.13"/>
    <n v="99.842692901234571"/>
  </r>
  <r>
    <s v="Jubilant Foodworks Ltd (JFL)"/>
    <s v="Alert"/>
    <s v="Shresth Kushwaha"/>
    <s v="PRO/INC/52389"/>
    <s v="aps went down"/>
    <s v="Meraki Managed Services"/>
    <s v="Software / Configuration"/>
    <s v="Mohali"/>
    <s v="Q3KG-9RDD-U5HG"/>
    <x v="41"/>
    <s v="NA"/>
    <s v="AP"/>
    <s v="JFL-Mohali-SCC-AP12"/>
    <s v="MR86"/>
    <s v="wireless-31-1-7"/>
    <m/>
    <s v="Non-Core"/>
    <s v="Closed"/>
    <x v="0"/>
    <s v="power issue"/>
    <s v="AP wents down due to power issue"/>
    <d v="2026-06-21T14:59:11"/>
    <d v="2026-06-21T18:45:00"/>
    <n v="225.82"/>
    <d v="2026-06-21T14:59:12"/>
    <n v="0.02"/>
    <n v="30"/>
    <s v="SLA Met"/>
    <d v="2026-06-21T15:06:09"/>
    <d v="2026-06-21T18:42:59"/>
    <n v="216.83"/>
    <n v="8.98"/>
    <n v="120"/>
    <s v="SLA Met"/>
    <m/>
    <n v="129600"/>
    <n v="129591.02"/>
    <n v="99.99307098765432"/>
    <n v="129383.17"/>
    <n v="99.832692901234566"/>
  </r>
  <r>
    <s v="Jubilant Foodworks Ltd (JFL)"/>
    <s v="Alert"/>
    <s v="Shresth Kushwaha"/>
    <s v="PRO/INC/52388"/>
    <s v="aps went down"/>
    <s v="Meraki Managed Services"/>
    <s v="Software / Configuration"/>
    <s v="Mohali"/>
    <s v="Q3KG-Y9ZZ-W8HK"/>
    <x v="124"/>
    <s v="NA"/>
    <s v="AP"/>
    <s v="JFL-Mohali-SCC-AP15"/>
    <s v="MR86"/>
    <s v="wireless-31-1-7"/>
    <m/>
    <s v="Non-Core"/>
    <s v="Closed"/>
    <x v="0"/>
    <s v="power issue"/>
    <s v="ap wents down due to Power issue"/>
    <d v="2026-06-21T14:59:11"/>
    <d v="2026-06-21T18:27:00"/>
    <n v="207.82"/>
    <d v="2026-06-21T14:59:12"/>
    <n v="0.02"/>
    <n v="30"/>
    <s v="SLA Met"/>
    <d v="2026-06-21T15:08:11"/>
    <d v="2026-06-21T18:26:12"/>
    <n v="198.02"/>
    <n v="9.8000000000000007"/>
    <n v="120"/>
    <s v="SLA Met"/>
    <m/>
    <n v="129600"/>
    <n v="129590.2"/>
    <n v="99.992438271604939"/>
    <n v="129401.98"/>
    <n v="99.847206790123451"/>
  </r>
  <r>
    <s v="Jubilant Foodworks Ltd (JFL)"/>
    <s v="Alert"/>
    <s v="Shresth Kushwaha"/>
    <s v="PRO/INC/52392"/>
    <s v="aps went down"/>
    <s v="Meraki Managed Services"/>
    <s v="Software / Configuration"/>
    <s v="Mohali"/>
    <s v="Q5AR-A7VQ-MZJM"/>
    <x v="30"/>
    <s v="NA"/>
    <s v="AP"/>
    <s v="JFL-Mohali-SCC-AP13"/>
    <s v="CW9166I"/>
    <s v="wireless-31-1-7"/>
    <m/>
    <s v="Non-Core"/>
    <s v="Closed"/>
    <x v="0"/>
    <s v="power issue"/>
    <s v="ap wents down due to Power issue"/>
    <d v="2026-06-21T14:59:30"/>
    <d v="2026-06-21T18:29:00"/>
    <n v="209.5"/>
    <d v="2026-06-21T14:59:30"/>
    <n v="0"/>
    <n v="30"/>
    <s v="SLA Met"/>
    <d v="2026-06-21T15:09:11"/>
    <d v="2026-06-21T18:25:23"/>
    <n v="196.2"/>
    <n v="13.3"/>
    <n v="120"/>
    <s v="SLA Met"/>
    <m/>
    <n v="129600"/>
    <n v="129586.7"/>
    <n v="99.98973765432099"/>
    <n v="129403.8"/>
    <n v="99.848611111111126"/>
  </r>
  <r>
    <s v="Jubilant Foodworks Ltd (JFL)"/>
    <s v="Alert"/>
    <s v="Shresth Kushwaha"/>
    <s v="PRO/INC/52394"/>
    <s v="switches went down"/>
    <s v="Meraki Managed Services"/>
    <s v="Software / Configuration"/>
    <s v="Mohali"/>
    <s v="Q3LM-TGAF-Q97P"/>
    <x v="42"/>
    <s v="WAREHOUSE"/>
    <s v="SW"/>
    <s v="JFL-MOHALI-ACC-SW-02"/>
    <s v="MS130-8P"/>
    <s v="switch-17-2-1"/>
    <m/>
    <s v="Core"/>
    <s v="Closed"/>
    <x v="0"/>
    <s v="power issue"/>
    <s v="switch wents down due to Power issue"/>
    <d v="2026-06-21T14:59:40"/>
    <d v="2026-06-21T18:25:00"/>
    <n v="205.33"/>
    <d v="2026-06-21T14:59:40"/>
    <n v="0"/>
    <n v="30"/>
    <s v="SLA Met"/>
    <d v="2026-06-21T15:10:09"/>
    <d v="2026-06-21T18:24:30"/>
    <n v="194.35"/>
    <n v="10.98"/>
    <n v="120"/>
    <s v="SLA Met"/>
    <m/>
    <n v="129600"/>
    <n v="129589.02"/>
    <n v="99.991527777777776"/>
    <n v="129405.65"/>
    <n v="99.850038580246917"/>
  </r>
  <r>
    <s v="Jubilant Foodworks Ltd (JFL)"/>
    <s v="Alert"/>
    <s v="Shresth Kushwaha"/>
    <s v="PRO/INC/52395"/>
    <s v="aps went down"/>
    <s v="Meraki Managed Services"/>
    <s v="Software / Configuration"/>
    <s v="Mohali"/>
    <s v="Q5AR-56BZ-6TSR"/>
    <x v="125"/>
    <s v="NA"/>
    <s v="AP"/>
    <s v="JFL-Mohali-SCC-AP01"/>
    <s v="CW9166I"/>
    <s v="wireless-31-1-7"/>
    <m/>
    <s v="Non-Core"/>
    <s v="Closed"/>
    <x v="0"/>
    <s v="power issue"/>
    <s v="ap wents down due to Power issue"/>
    <d v="2026-06-21T14:59:40"/>
    <d v="2026-06-21T18:26:00"/>
    <n v="206.33"/>
    <d v="2026-06-21T14:59:41"/>
    <n v="0.02"/>
    <n v="30"/>
    <s v="SLA Met"/>
    <d v="2026-06-21T15:12:17"/>
    <d v="2026-06-21T18:23:54"/>
    <n v="191.62"/>
    <n v="14.72"/>
    <n v="120"/>
    <s v="SLA Met"/>
    <m/>
    <n v="129600"/>
    <n v="129585.28"/>
    <n v="99.988641975308639"/>
    <n v="129408.38"/>
    <n v="99.852145061728407"/>
  </r>
  <r>
    <s v="Jubilant Foodworks Ltd (JFL)"/>
    <s v="Alert"/>
    <s v="Shresth Kushwaha"/>
    <s v="PRO/INC/52396"/>
    <s v="aps went down"/>
    <s v="Meraki Managed Services"/>
    <s v="Software / Configuration"/>
    <s v="Mohali"/>
    <s v="Q5AR-TEZ8-EZVW"/>
    <x v="126"/>
    <s v="NA"/>
    <s v="AP"/>
    <s v="JFL-Mohali-SCC-AP09"/>
    <s v="CW9166I"/>
    <s v="wireless-31-1-7"/>
    <m/>
    <s v="Non-Core"/>
    <s v="Closed"/>
    <x v="0"/>
    <s v="power issue"/>
    <s v="ap wents down due to Power issue"/>
    <d v="2026-06-21T14:59:50"/>
    <d v="2026-06-21T18:27:00"/>
    <n v="207.17"/>
    <d v="2026-06-21T14:59:51"/>
    <n v="0.02"/>
    <n v="30"/>
    <s v="SLA Met"/>
    <d v="2026-06-21T15:12:43"/>
    <d v="2026-06-21T18:23:11"/>
    <n v="190.47"/>
    <n v="16.7"/>
    <n v="120"/>
    <s v="SLA Met"/>
    <m/>
    <n v="129600"/>
    <n v="129583.3"/>
    <n v="99.987114197530872"/>
    <n v="129409.53"/>
    <n v="99.853032407407412"/>
  </r>
  <r>
    <s v="Jubilant Foodworks Ltd (JFL)"/>
    <s v="Alert"/>
    <s v="Shresth Kushwaha"/>
    <s v="PRO/INC/52400"/>
    <s v="aps went down"/>
    <s v="Meraki Managed Services"/>
    <s v="Software / Configuration"/>
    <s v="Mohali"/>
    <s v="Q5AA-S8HG-F6YT"/>
    <x v="75"/>
    <s v="NA"/>
    <s v="AP"/>
    <s v="JFL-Mohali-SCC-AP04"/>
    <s v="CW9162I"/>
    <s v="wireless-31-1-7"/>
    <m/>
    <s v="Non-Core"/>
    <s v="Closed"/>
    <x v="0"/>
    <s v="power issue"/>
    <s v="ap wents down due to Power issue"/>
    <d v="2026-06-21T15:00:30"/>
    <d v="2026-06-21T18:23:00"/>
    <n v="202.5"/>
    <d v="2026-06-21T15:00:31"/>
    <n v="0.02"/>
    <n v="30"/>
    <s v="SLA Met"/>
    <d v="2026-06-21T15:11:38"/>
    <d v="2026-06-21T18:21:58"/>
    <n v="190.33"/>
    <n v="12.17"/>
    <n v="120"/>
    <s v="SLA Met"/>
    <m/>
    <n v="129600"/>
    <n v="129587.83"/>
    <n v="99.990609567901231"/>
    <n v="129409.67"/>
    <n v="99.853140432098769"/>
  </r>
  <r>
    <s v="Jubilant Foodworks Ltd (JFL)"/>
    <s v="Alert"/>
    <s v="Dheerendra Maurya"/>
    <s v="PRO/INC/52758"/>
    <s v="aps went down"/>
    <s v="Meraki Managed Services"/>
    <s v="Software / Configuration"/>
    <s v="Mohali"/>
    <s v="Q3KG-Y9ZZ-W8HK"/>
    <x v="124"/>
    <s v="NA"/>
    <s v="AP"/>
    <s v="JFL-Mohali-SCC-AP15"/>
    <s v="MR86"/>
    <s v="wireless-31-1-7"/>
    <m/>
    <s v="Non-Core"/>
    <s v="Closed"/>
    <x v="0"/>
    <s v="Device Power issues"/>
    <s v="AP went down due to isp issue"/>
    <d v="2026-06-21T22:19:49"/>
    <d v="2026-06-23T00:19:00"/>
    <n v="1559.18"/>
    <d v="2026-06-21T22:19:50"/>
    <n v="0.02"/>
    <n v="30"/>
    <s v="SLA Met"/>
    <d v="2026-06-21T22:35:17"/>
    <d v="2026-06-23T00:16:32"/>
    <n v="1541.25"/>
    <n v="17.93"/>
    <n v="120"/>
    <s v="SLA Met"/>
    <m/>
    <n v="129600"/>
    <n v="129582.07"/>
    <n v="99.9861651234568"/>
    <n v="128058.75"/>
    <n v="98.810763888888886"/>
  </r>
  <r>
    <s v="Jubilant Foodworks Ltd (JFL)"/>
    <s v="Alert"/>
    <s v="Dheerendra Maurya"/>
    <s v="PRO/INC/52757"/>
    <s v="aps went down"/>
    <s v="Meraki Managed Services"/>
    <s v="Software / Configuration"/>
    <s v="Mohali"/>
    <s v="Q3KG-9RDD-U5HG"/>
    <x v="41"/>
    <s v="NA"/>
    <s v="AP"/>
    <s v="JFL-Mohali-SCC-AP12"/>
    <s v="MR86"/>
    <s v="wireless-31-1-7"/>
    <m/>
    <s v="Non-Core"/>
    <s v="Closed"/>
    <x v="0"/>
    <s v="Device Power issues"/>
    <s v="AP went down due to power issue"/>
    <d v="2026-06-21T22:19:49"/>
    <d v="2026-06-22T23:34:00"/>
    <n v="1514.18"/>
    <d v="2026-06-21T22:19:50"/>
    <n v="0.02"/>
    <n v="30"/>
    <s v="SLA Met"/>
    <d v="2026-06-21T22:33:30"/>
    <d v="2026-06-22T23:31:08"/>
    <n v="1497.63"/>
    <n v="16.55"/>
    <n v="120"/>
    <s v="SLA Met"/>
    <m/>
    <n v="129600"/>
    <n v="129583.45"/>
    <n v="99.987229938271611"/>
    <n v="128102.37"/>
    <n v="98.844421296296289"/>
  </r>
  <r>
    <s v="Jubilant Foodworks Ltd (JFL)"/>
    <s v="Alert"/>
    <s v="John Ashis Roy"/>
    <s v="PRO/INC/52760"/>
    <s v="aps went down"/>
    <s v="Meraki Managed Services"/>
    <s v="Software / Configuration"/>
    <s v="Mohali"/>
    <s v="Q5AA-KHJW-U94C"/>
    <x v="127"/>
    <s v="NA"/>
    <s v="AP"/>
    <s v="JFL-Mohali-SCC-AP03"/>
    <s v="CW9162I"/>
    <s v="wireless-31-1-7"/>
    <m/>
    <s v="Non-Core"/>
    <s v="Closed"/>
    <x v="0"/>
    <s v="power issue"/>
    <s v="Resolved"/>
    <d v="2026-06-21T22:19:59"/>
    <d v="2026-06-23T12:24:00"/>
    <n v="2284.02"/>
    <d v="2026-06-21T22:20:00"/>
    <n v="0.02"/>
    <n v="30"/>
    <s v="SLA Met"/>
    <d v="2026-06-21T22:37:34"/>
    <d v="2026-06-23T00:22:50"/>
    <n v="1545.27"/>
    <n v="738.75"/>
    <n v="120"/>
    <s v="SLA Breached"/>
    <m/>
    <n v="129600"/>
    <n v="128861.25"/>
    <n v="99.429976851851848"/>
    <n v="128054.73"/>
    <n v="98.807662037037034"/>
  </r>
  <r>
    <s v="Jubilant Foodworks Ltd (JFL)"/>
    <s v="Alert"/>
    <s v="John Ashis Roy"/>
    <s v="PRO/INC/52761"/>
    <s v="switches went down"/>
    <s v="Meraki Managed Services"/>
    <s v="Software / Configuration"/>
    <s v="Mohali"/>
    <s v="Q3LM-TGAF-Q97P"/>
    <x v="42"/>
    <s v="WAREHOUSE"/>
    <s v="SW"/>
    <s v="JFL-MOHALI-ACC-SW-02"/>
    <s v="MS130-8P"/>
    <s v="switch-17-2-1"/>
    <m/>
    <s v="Core"/>
    <s v="Closed"/>
    <x v="0"/>
    <s v="power issue"/>
    <s v="Resolved"/>
    <d v="2026-06-21T22:20:03"/>
    <d v="2026-06-23T12:28:00"/>
    <n v="2287.9499999999998"/>
    <d v="2026-06-21T22:20:04"/>
    <n v="0.02"/>
    <n v="30"/>
    <s v="SLA Met"/>
    <d v="2026-06-21T22:39:23"/>
    <d v="2026-06-23T00:25:33"/>
    <n v="1546.17"/>
    <n v="741.78"/>
    <n v="120"/>
    <s v="SLA Met"/>
    <m/>
    <n v="129600"/>
    <n v="128858.22"/>
    <n v="99.427638888888893"/>
    <n v="128053.83"/>
    <n v="98.806967592592599"/>
  </r>
  <r>
    <s v="Jubilant Foodworks Ltd (JFL)"/>
    <s v="Alert"/>
    <s v="John Ashis Roy"/>
    <s v="PRO/INC/52764"/>
    <s v="aps went down"/>
    <s v="Meraki Managed Services"/>
    <s v="Software / Configuration"/>
    <s v="Mohali"/>
    <s v="Q5AA-43RJ-JQUD"/>
    <x v="128"/>
    <s v="NA"/>
    <s v="AP"/>
    <s v="JFL-Mohali-SCC-AP10"/>
    <s v="CW9162I"/>
    <s v="wireless-31-1-7"/>
    <m/>
    <s v="Non-Core"/>
    <s v="Closed"/>
    <x v="0"/>
    <s v="power issue"/>
    <s v="Resolved"/>
    <d v="2026-06-21T22:20:09"/>
    <d v="2026-06-23T12:30:00"/>
    <n v="2289.85"/>
    <d v="2026-06-21T22:20:10"/>
    <n v="0.02"/>
    <n v="30"/>
    <s v="SLA Met"/>
    <d v="2026-06-21T22:40:56"/>
    <d v="2026-06-23T00:29:14"/>
    <n v="1548.3"/>
    <n v="741.55"/>
    <n v="120"/>
    <s v="SLA Breached"/>
    <m/>
    <n v="129600"/>
    <n v="128858.45"/>
    <n v="99.427816358024685"/>
    <n v="128051.7"/>
    <n v="98.805324074074079"/>
  </r>
  <r>
    <s v="Jubilant Foodworks Ltd (JFL)"/>
    <s v="Alert"/>
    <s v="John Ashis Roy"/>
    <s v="PRO/INC/52765"/>
    <s v="switches went down"/>
    <s v="Meraki Managed Services"/>
    <s v="Software / Configuration"/>
    <s v="Mohali"/>
    <s v="Q3LP-2PSJ-6DLB"/>
    <x v="11"/>
    <s v="TRANSPORT ROOM"/>
    <s v="SW"/>
    <s v="JFL-MOHALI-ACC-SW-01(Transport Room)"/>
    <s v="MS130-12X"/>
    <s v="switch-17-2-1"/>
    <m/>
    <s v="Core"/>
    <s v="Closed"/>
    <x v="0"/>
    <s v="power issue"/>
    <s v="Resolved"/>
    <d v="2026-06-21T22:20:19"/>
    <d v="2026-06-23T12:32:00"/>
    <n v="2291.6799999999998"/>
    <d v="2026-06-21T22:20:20"/>
    <n v="0.02"/>
    <n v="30"/>
    <s v="SLA Met"/>
    <d v="2026-06-21T22:42:21"/>
    <d v="2026-06-23T00:31:30"/>
    <n v="1549.15"/>
    <n v="742.53"/>
    <n v="120"/>
    <s v="SLA Met"/>
    <m/>
    <n v="129600"/>
    <n v="128857.47"/>
    <n v="99.427060185185184"/>
    <n v="128050.85"/>
    <n v="98.804668209876539"/>
  </r>
  <r>
    <s v="Jubilant Foodworks Ltd (JFL)"/>
    <s v="Alert"/>
    <s v="John Ashis Roy"/>
    <s v="PRO/INC/52768"/>
    <s v="aps went down"/>
    <s v="Meraki Managed Services"/>
    <s v="Software / Configuration"/>
    <s v="Mohali"/>
    <s v="Q5AA-E8FN-53RX"/>
    <x v="43"/>
    <s v="NA"/>
    <s v="AP"/>
    <s v="JFL-Mohali-SCC-AP07"/>
    <s v="CW9162I"/>
    <s v="wireless-31-1-7"/>
    <m/>
    <s v="Non-Core"/>
    <s v="Closed"/>
    <x v="0"/>
    <s v="power issue"/>
    <s v="Resolved"/>
    <d v="2026-06-21T22:20:28"/>
    <d v="2026-06-23T12:36:00"/>
    <n v="2295.5300000000002"/>
    <d v="2026-06-21T22:20:29"/>
    <n v="0.02"/>
    <n v="30"/>
    <s v="SLA Met"/>
    <d v="2026-06-21T22:43:38"/>
    <d v="2026-06-23T00:34:31"/>
    <n v="1550.88"/>
    <n v="744.65"/>
    <n v="120"/>
    <s v="SLA Breached"/>
    <m/>
    <n v="129600"/>
    <n v="128855.35"/>
    <n v="99.425424382716059"/>
    <n v="128049.12"/>
    <n v="98.803333333333327"/>
  </r>
  <r>
    <s v="Jubilant Foodworks Ltd (JFL)"/>
    <s v="Alert"/>
    <s v="John Ashis Roy"/>
    <s v="PRO/INC/52770"/>
    <s v="aps went down"/>
    <s v="Meraki Managed Services"/>
    <s v="Software / Configuration"/>
    <s v="Mohali"/>
    <s v="Q5AR-A7VQ-MZJM"/>
    <x v="30"/>
    <s v="NA"/>
    <s v="AP"/>
    <s v="JFL-Mohali-SCC-AP13"/>
    <s v="CW9166I"/>
    <s v="wireless-31-1-7"/>
    <m/>
    <s v="Non-Core"/>
    <s v="Closed"/>
    <x v="0"/>
    <s v="power issue"/>
    <s v="Resolved"/>
    <d v="2026-06-21T22:20:38"/>
    <d v="2026-06-23T12:38:00"/>
    <n v="2297.37"/>
    <d v="2026-06-21T22:20:40"/>
    <n v="0.03"/>
    <n v="30"/>
    <s v="SLA Met"/>
    <d v="2026-06-21T22:45:20"/>
    <d v="2026-06-23T00:37:25"/>
    <n v="1552.08"/>
    <n v="745.28"/>
    <n v="120"/>
    <s v="SLA Breached"/>
    <m/>
    <n v="129600"/>
    <n v="128854.72"/>
    <n v="99.42493827160493"/>
    <n v="128047.92"/>
    <n v="98.802407407407415"/>
  </r>
  <r>
    <s v="Jubilant Foodworks Ltd (JFL)"/>
    <s v="Alert"/>
    <s v="John Ashis Roy"/>
    <s v="PRO/INC/52771"/>
    <s v="aps went down"/>
    <s v="Meraki Managed Services"/>
    <s v="Software / Configuration"/>
    <s v="Mohali"/>
    <s v="Q5AR-56BZ-6TSR"/>
    <x v="125"/>
    <s v="NA"/>
    <s v="AP"/>
    <s v="JFL-Mohali-SCC-AP01"/>
    <s v="CW9166I"/>
    <s v="wireless-31-1-7"/>
    <m/>
    <s v="Non-Core"/>
    <s v="Closed"/>
    <x v="0"/>
    <s v="power issue"/>
    <s v="Resolved"/>
    <d v="2026-06-21T22:20:42"/>
    <d v="2026-06-23T12:40:00"/>
    <n v="2299.3000000000002"/>
    <d v="2026-06-21T22:20:43"/>
    <n v="0.02"/>
    <n v="30"/>
    <s v="SLA Met"/>
    <d v="2026-06-21T22:46:47"/>
    <d v="2026-06-23T00:39:21"/>
    <n v="1552.57"/>
    <n v="746.73"/>
    <n v="120"/>
    <s v="SLA Breached"/>
    <m/>
    <n v="129600"/>
    <n v="128853.27"/>
    <n v="99.423819444444447"/>
    <n v="128047.43"/>
    <n v="98.802029320987657"/>
  </r>
  <r>
    <s v="Jubilant Foodworks Ltd (JFL)"/>
    <s v="Alert"/>
    <s v="Dharmendra Bhadoriya"/>
    <s v="PRO/INC/52797"/>
    <s v="PM activity at the JLF Mohali"/>
    <s v="Meraki Managed Services"/>
    <s v="PM Activity"/>
    <s v="Mohali"/>
    <m/>
    <x v="31"/>
    <s v="CORE"/>
    <s v="SW"/>
    <s v="JFL-MOHALI-CORE-01"/>
    <s v="C9300L-48P-4X"/>
    <s v="cs-17-2-1"/>
    <m/>
    <s v="P4"/>
    <s v="Closed"/>
    <x v="2"/>
    <m/>
    <m/>
    <d v="2026-06-22T11:27:22"/>
    <d v="2026-06-23T16:40:00"/>
    <n v="1752.63"/>
    <d v="2026-06-22T11:27:23"/>
    <n v="0.02"/>
    <n v="30"/>
    <s v="SLA Met"/>
    <m/>
    <m/>
    <n v="0"/>
    <n v="1752.63"/>
    <n v="2880"/>
    <s v="SLA Met"/>
    <m/>
    <n v="129600"/>
    <n v="127847.37"/>
    <n v="98.647662037037037"/>
    <n v="129600"/>
    <n v="100"/>
  </r>
  <r>
    <s v="Jubilant Foodworks Ltd (JFL)"/>
    <s v="Email"/>
    <s v="Jagadisha R"/>
    <s v="PRO/INC/52986"/>
    <s v="Support Required-MZ-R2-SW1---------Q2QW-BWVG-Y4ZU"/>
    <s v="Meraki Managed Services"/>
    <s v="Software / Configuration"/>
    <s v="Bangalore"/>
    <m/>
    <x v="129"/>
    <s v="MZ-R2"/>
    <s v="SW"/>
    <s v="MZ-R2-SW1"/>
    <s v="MS250-48FP"/>
    <s v="switch-17-1-4"/>
    <m/>
    <s v="Core"/>
    <s v="Closed"/>
    <x v="4"/>
    <s v="troubleshooting is on going with customer.."/>
    <s v="As part of the troubleshooting, we tested the affected switch ports using spare camera. During testing, some ports were functioning normally, while cameras connected to ports 45, 47, and 48 remained offline. We then rebooted the switch and allowed it to come back online completely. Following the reboot, the cameras connected to ports 45, 47, and 48 came online successfully and obtained IP addresses. At present, all cameras are operational and functioning normally."/>
    <d v="2026-06-23T12:05:20"/>
    <d v="2026-06-26T12:30:00"/>
    <n v="4344.67"/>
    <d v="2026-06-23T12:05:19"/>
    <n v="0"/>
    <n v="30"/>
    <s v="SLA Met"/>
    <d v="2026-06-23T12:13:18"/>
    <d v="2026-06-26T12:24:27"/>
    <n v="4331.1499999999996"/>
    <n v="13.52"/>
    <n v="120"/>
    <s v="SLA Met"/>
    <m/>
    <n v="129600"/>
    <n v="129586.48"/>
    <n v="99.989567901234565"/>
    <n v="125268.85"/>
    <n v="96.658063271604945"/>
  </r>
  <r>
    <s v="Jubilant Foodworks Ltd (JFL)"/>
    <s v="Alert"/>
    <s v="Abhishek Satish Pawar"/>
    <s v="PRO/INC/52992"/>
    <s v="aps went down"/>
    <s v="Meraki Managed Services"/>
    <s v="Software / Configuration"/>
    <s v="Greater Noida"/>
    <s v="Q5AA-LCK3-FDNW"/>
    <x v="77"/>
    <s v="NA"/>
    <s v="AP"/>
    <s v="JFL-GNSC-AP37"/>
    <s v="CW9162I"/>
    <s v="wireless-31-1-7"/>
    <m/>
    <s v="Non-Core"/>
    <s v="Closed"/>
    <x v="0"/>
    <s v="power issue"/>
    <s v="Resolved"/>
    <d v="2026-06-23T13:19:53"/>
    <d v="2026-07-01T13:00:00"/>
    <n v="11500.12"/>
    <d v="2026-06-23T13:19:54"/>
    <n v="0.02"/>
    <n v="30"/>
    <s v="SLA Met"/>
    <d v="2026-06-23T13:21:53"/>
    <d v="2026-07-01T12:19:21"/>
    <n v="11457.47"/>
    <n v="42.65"/>
    <n v="120"/>
    <s v="SLA Met"/>
    <m/>
    <n v="129600"/>
    <n v="129557.35"/>
    <n v="99.967091049382717"/>
    <n v="118142.53"/>
    <n v="91.159359567901234"/>
  </r>
  <r>
    <s v="Jubilant Foodworks Ltd (JFL)"/>
    <s v="Alert"/>
    <s v="Abhishek Satish Pawar"/>
    <s v="PRO/INC/52996"/>
    <s v="aps went down"/>
    <s v="Meraki Managed Services"/>
    <s v="Software / Configuration"/>
    <s v="Greater Noida"/>
    <s v="Q5AA-GHXM-TRTK"/>
    <x v="78"/>
    <s v="NA"/>
    <s v="AP"/>
    <s v="JFL-GNSC-AP20"/>
    <s v="CW9162I"/>
    <s v="wireless-31-1-7"/>
    <m/>
    <s v="Non-Core"/>
    <s v="Closed"/>
    <x v="0"/>
    <s v="power issue"/>
    <s v="Resolved"/>
    <d v="2026-06-23T13:51:44"/>
    <d v="2026-06-24T12:15:00"/>
    <n v="1343.27"/>
    <d v="2026-06-23T13:51:45"/>
    <n v="0.02"/>
    <n v="30"/>
    <s v="SLA Met"/>
    <d v="2026-06-23T15:13:54"/>
    <d v="2026-06-24T12:13:32"/>
    <n v="1259.6300000000001"/>
    <n v="83.63"/>
    <n v="120"/>
    <s v="SLA Met"/>
    <m/>
    <n v="129600"/>
    <n v="129516.37"/>
    <n v="99.93547067901234"/>
    <n v="128340.37"/>
    <n v="99.028063271604935"/>
  </r>
  <r>
    <s v="Jubilant Foodworks Ltd (JFL)"/>
    <s v="Alert"/>
    <s v="Dharmendra Bhadoriya"/>
    <s v="PRO/INC/53024"/>
    <s v="new dhcp server detected"/>
    <s v="Meraki Managed Services"/>
    <s v="Software / Configuration"/>
    <s v="Nagpur"/>
    <s v="Q5JG-TM9S-PLFP"/>
    <x v="38"/>
    <s v="RACK 2"/>
    <s v="SW"/>
    <s v="JFL-NAG-SSC-SW02"/>
    <s v="C9300L-24P-4X"/>
    <s v="cs-17-2-2"/>
    <m/>
    <s v="Non-Core"/>
    <s v="Closed"/>
    <x v="2"/>
    <s v="Client Side Activity"/>
    <s v="Closed"/>
    <d v="2026-06-24T09:32:06"/>
    <d v="2026-06-25T16:16:00"/>
    <n v="1843.9"/>
    <d v="2026-06-24T09:32:08"/>
    <n v="0.03"/>
    <n v="30"/>
    <s v="SLA Met"/>
    <d v="2026-06-24T09:43:35"/>
    <d v="2026-06-25T16:13:36"/>
    <n v="1830.02"/>
    <n v="13.88"/>
    <n v="120"/>
    <s v="SLA Met"/>
    <m/>
    <n v="129600"/>
    <n v="129586.12"/>
    <n v="99.989290123456783"/>
    <n v="127769.98"/>
    <n v="98.587947530864199"/>
  </r>
  <r>
    <s v="Jubilant Foodworks Ltd (JFL)"/>
    <s v="Alert"/>
    <s v="Abhishek Satish Pawar"/>
    <s v="PRO/INC/53200"/>
    <s v="aps went down"/>
    <s v="Meraki Managed Services"/>
    <s v="Software / Configuration"/>
    <s v="Greater Noida"/>
    <s v="Q3KG-A9R2-ATYY"/>
    <x v="73"/>
    <s v="NA"/>
    <s v="AP"/>
    <s v="JFL-GNSC-AP50"/>
    <s v="MR86"/>
    <s v="wireless-31-1-7"/>
    <m/>
    <s v="Non-Core"/>
    <s v="Closed"/>
    <x v="0"/>
    <s v="power issue"/>
    <s v="Resolved"/>
    <d v="2026-06-24T13:05:34"/>
    <d v="2026-07-01T13:00:00"/>
    <n v="10074.43"/>
    <d v="2026-06-24T13:05:35"/>
    <n v="0.02"/>
    <n v="30"/>
    <s v="SLA Met"/>
    <d v="2026-06-24T13:08:03"/>
    <d v="2026-07-01T12:23:08"/>
    <n v="10035.08"/>
    <n v="39.35"/>
    <n v="120"/>
    <s v="SLA Met"/>
    <m/>
    <n v="129600"/>
    <n v="129560.65"/>
    <n v="99.969637345679004"/>
    <n v="119564.92"/>
    <n v="92.256882716049375"/>
  </r>
  <r>
    <s v="Jubilant Foodworks Ltd (JFL)"/>
    <s v="Alert"/>
    <s v="Abhishek Satish Pawar"/>
    <s v="PRO/INC/53213"/>
    <s v="aps went down"/>
    <s v="Meraki Managed Services"/>
    <s v="Software / Configuration"/>
    <s v="Greater Noida"/>
    <s v="Q5AA-LCK3-FDNW"/>
    <x v="77"/>
    <s v="NA"/>
    <s v="AP"/>
    <s v="JFL-GNSC-AP37"/>
    <s v="CW9162I"/>
    <s v="wireless-31-1-7"/>
    <m/>
    <s v="Non-Core"/>
    <s v="Closed"/>
    <x v="0"/>
    <s v="power issue"/>
    <s v="Resolved"/>
    <d v="2026-06-24T16:05:16"/>
    <d v="2026-07-01T13:00:00"/>
    <n v="9894.73"/>
    <d v="2026-06-24T16:05:16"/>
    <n v="0"/>
    <n v="30"/>
    <s v="SLA Met"/>
    <d v="2026-06-24T16:06:53"/>
    <d v="2026-07-01T12:35:28"/>
    <n v="9868.58"/>
    <n v="26.15"/>
    <n v="120"/>
    <s v="SLA Met"/>
    <m/>
    <n v="129600"/>
    <n v="129573.85"/>
    <n v="99.979822530864197"/>
    <n v="119731.42"/>
    <n v="92.385354938271604"/>
  </r>
  <r>
    <s v="Jubilant Foodworks Ltd (JFL)"/>
    <s v="Email"/>
    <s v="Dharmendra Bhadoriya"/>
    <s v="PRO/INC/53219"/>
    <s v="Port Reset | JFL, Nagpur"/>
    <s v="Meraki Managed Services"/>
    <s v="Change Request"/>
    <s v="Nagpur"/>
    <s v="Q2GW-KK6C-3U9A"/>
    <x v="130"/>
    <s v="RACK 3"/>
    <s v="SW"/>
    <n v="1"/>
    <e v="#N/A"/>
    <e v="#N/A"/>
    <m/>
    <s v="P4"/>
    <s v="Closed"/>
    <x v="1"/>
    <s v="New configuration"/>
    <s v="issue resolved"/>
    <d v="2026-06-24T17:18:14"/>
    <d v="2026-06-25T09:10:00"/>
    <n v="951.77"/>
    <d v="2026-06-24T17:18:13"/>
    <n v="0"/>
    <n v="30"/>
    <s v="SLA Met"/>
    <d v="2026-06-24T17:34:42"/>
    <d v="2026-06-25T09:05:49"/>
    <n v="931.12"/>
    <n v="20.65"/>
    <n v="2880"/>
    <s v="SLA Met"/>
    <m/>
    <n v="129600"/>
    <n v="129579.35"/>
    <n v="99.984066358024691"/>
    <n v="128668.88"/>
    <n v="99.281543209876546"/>
  </r>
  <r>
    <s v="Jubilant Foodworks Ltd (JFL)"/>
    <s v="Alert"/>
    <s v="Dheerendra Maurya"/>
    <s v="PRO/INC/53224"/>
    <s v="switches went down"/>
    <s v="Meraki Managed Services"/>
    <s v="Software / Configuration"/>
    <s v="Bangalore"/>
    <s v="Q2QW-CANP-QCYR"/>
    <x v="131"/>
    <s v="1F-R5"/>
    <s v="SW"/>
    <s v="1F-R5-SW1"/>
    <s v="MS250-48FP"/>
    <s v="switch-17-1-4"/>
    <m/>
    <s v="Core"/>
    <s v="Closed"/>
    <x v="0"/>
    <s v="power issue"/>
    <s v="Switch went down due to power issue"/>
    <d v="2026-06-24T22:54:30"/>
    <d v="2026-06-25T06:26:00"/>
    <n v="451.5"/>
    <d v="2026-06-24T22:54:31"/>
    <n v="0.02"/>
    <n v="30"/>
    <s v="SLA Met"/>
    <d v="2026-06-24T22:59:22"/>
    <d v="2026-06-25T06:24:32"/>
    <n v="445.17"/>
    <n v="6.33"/>
    <n v="120"/>
    <s v="SLA Met"/>
    <m/>
    <n v="129600"/>
    <n v="129593.67"/>
    <n v="99.995115740740744"/>
    <n v="129154.83"/>
    <n v="99.656504629629623"/>
  </r>
  <r>
    <s v="Jubilant Foodworks Ltd (JFL)"/>
    <s v="Alert"/>
    <s v="Dheerendra Maurya"/>
    <s v="PRO/INC/53225"/>
    <s v="switches went down"/>
    <s v="Meraki Managed Services"/>
    <s v="Software / Configuration"/>
    <s v="Bangalore"/>
    <s v="Q2QW-CAKK-KNXD"/>
    <x v="56"/>
    <s v="1F-R4"/>
    <s v="SW"/>
    <s v="1F-R4-SW2"/>
    <s v="MS250-48FP"/>
    <s v="switch-17-1-4"/>
    <m/>
    <s v="Core"/>
    <s v="Closed"/>
    <x v="0"/>
    <s v="power issue"/>
    <s v="Switch went down due to power issue"/>
    <d v="2026-06-24T22:54:39"/>
    <d v="2026-06-25T06:27:00"/>
    <n v="452.35"/>
    <d v="2026-06-24T22:54:40"/>
    <n v="0.02"/>
    <n v="30"/>
    <s v="SLA Met"/>
    <d v="2026-06-24T23:03:19"/>
    <d v="2026-06-25T06:26:06"/>
    <n v="442.78"/>
    <n v="9.57"/>
    <n v="120"/>
    <s v="SLA Met"/>
    <m/>
    <n v="129600"/>
    <n v="129590.43"/>
    <n v="99.992615740740732"/>
    <n v="129157.22"/>
    <n v="99.658348765432109"/>
  </r>
  <r>
    <s v="Jubilant Foodworks Ltd (JFL)"/>
    <s v="Alert"/>
    <s v="Dheerendra Maurya"/>
    <s v="PRO/INC/53226"/>
    <s v="switches went down"/>
    <s v="Meraki Managed Services"/>
    <s v="Software / Configuration"/>
    <s v="Bangalore"/>
    <s v="Q2QW-GPBW-SLG9"/>
    <x v="132"/>
    <s v="1F-R5"/>
    <s v="SW"/>
    <s v="1F-R5-SW3"/>
    <s v="MS250-48FP"/>
    <s v="switch-17-2-2"/>
    <m/>
    <s v="Core"/>
    <s v="Closed"/>
    <x v="0"/>
    <s v="power issue"/>
    <s v="Switch went down due to power issue"/>
    <d v="2026-06-24T22:54:39"/>
    <d v="2026-06-25T06:29:00"/>
    <n v="454.35"/>
    <d v="2026-06-24T22:54:40"/>
    <n v="0.02"/>
    <n v="30"/>
    <s v="SLA Met"/>
    <d v="2026-06-24T23:01:38"/>
    <d v="2026-06-25T06:27:50"/>
    <n v="446.2"/>
    <n v="8.15"/>
    <n v="120"/>
    <s v="SLA Met"/>
    <m/>
    <n v="129600"/>
    <n v="129591.85"/>
    <n v="99.993711419753097"/>
    <n v="129153.8"/>
    <n v="99.655709876543213"/>
  </r>
  <r>
    <s v="Jubilant Foodworks Ltd (JFL)"/>
    <s v="Alert"/>
    <s v="Dheerendra Maurya"/>
    <s v="PRO/INC/53227"/>
    <s v="switches went down"/>
    <s v="Meraki Managed Services"/>
    <s v="Software / Configuration"/>
    <s v="Bangalore"/>
    <s v="Q2QW-CTFM-KEQZ"/>
    <x v="54"/>
    <s v="1F-R4"/>
    <s v="SW"/>
    <s v="1F-R4-SW1"/>
    <s v="MS250-48FP"/>
    <s v="switch-17-2-2"/>
    <m/>
    <s v="Core"/>
    <s v="Closed"/>
    <x v="0"/>
    <s v="power issue"/>
    <s v="Switch went down due to power issue"/>
    <d v="2026-06-24T22:54:40"/>
    <d v="2026-06-25T06:32:00"/>
    <n v="457.33"/>
    <d v="2026-06-24T22:54:41"/>
    <n v="0.02"/>
    <n v="30"/>
    <s v="SLA Met"/>
    <d v="2026-06-24T23:00:33"/>
    <d v="2026-06-25T06:30:52"/>
    <n v="450.32"/>
    <n v="7.02"/>
    <n v="120"/>
    <s v="SLA Met"/>
    <m/>
    <n v="129600"/>
    <n v="129592.98"/>
    <n v="99.994583333333338"/>
    <n v="129149.68"/>
    <n v="99.65253086419753"/>
  </r>
  <r>
    <s v="Jubilant Foodworks Ltd (JFL)"/>
    <s v="Alert"/>
    <s v="Dheerendra Maurya"/>
    <s v="PRO/INC/53229"/>
    <s v="switches went down"/>
    <s v="Meraki Managed Services"/>
    <s v="Software / Configuration"/>
    <s v="Bangalore"/>
    <s v="Q2QW-EX7M-X9M6"/>
    <x v="133"/>
    <s v="1F-R5"/>
    <s v="SW"/>
    <s v="1F-R5-SW4"/>
    <s v="MS250-48FP"/>
    <s v="switch-17-2-2"/>
    <m/>
    <s v="Core"/>
    <s v="Closed"/>
    <x v="0"/>
    <s v="power issue"/>
    <s v="Switch went down due to power issue"/>
    <d v="2026-06-24T22:54:50"/>
    <d v="2026-06-25T06:34:00"/>
    <n v="459.17"/>
    <d v="2026-06-24T22:54:51"/>
    <n v="0.02"/>
    <n v="30"/>
    <s v="SLA Met"/>
    <d v="2026-06-24T23:04:37"/>
    <d v="2026-06-25T06:32:39"/>
    <n v="448.03"/>
    <n v="11.13"/>
    <n v="120"/>
    <s v="SLA Met"/>
    <m/>
    <n v="129600"/>
    <n v="129588.87"/>
    <n v="99.991412037037037"/>
    <n v="129151.97"/>
    <n v="99.654297839506185"/>
  </r>
  <r>
    <s v="Jubilant Foodworks Ltd (JFL)"/>
    <s v="Alert"/>
    <s v="Dheerendra Maurya"/>
    <s v="PRO/INC/53228"/>
    <s v="switches went down"/>
    <s v="Meraki Managed Services"/>
    <s v="Software / Configuration"/>
    <s v="Bangalore"/>
    <s v="Q2QW-CQSG-6X85"/>
    <x v="134"/>
    <s v="1F-R5"/>
    <s v="SW"/>
    <s v="1F-R5-SW2"/>
    <s v="MS250-48FP"/>
    <s v="switch-17-1-4"/>
    <m/>
    <s v="Core"/>
    <s v="Closed"/>
    <x v="0"/>
    <s v="power issue"/>
    <s v="Switch went down due to power issue"/>
    <d v="2026-06-24T22:54:50"/>
    <d v="2026-06-25T06:30:00"/>
    <n v="455.17"/>
    <d v="2026-06-24T22:54:50"/>
    <n v="0"/>
    <n v="30"/>
    <s v="SLA Met"/>
    <d v="2026-06-24T23:08:02"/>
    <d v="2026-06-25T06:29:28"/>
    <n v="441.43"/>
    <n v="13.73"/>
    <n v="120"/>
    <s v="SLA Met"/>
    <m/>
    <n v="129600"/>
    <n v="129586.27"/>
    <n v="99.989405864197536"/>
    <n v="129158.57"/>
    <n v="99.659390432098775"/>
  </r>
  <r>
    <s v="Jubilant Foodworks Ltd (JFL)"/>
    <s v="Alert"/>
    <s v="Dheerendra Maurya"/>
    <s v="PRO/INC/53230"/>
    <s v="switches went down"/>
    <s v="Meraki Managed Services"/>
    <s v="Software / Configuration"/>
    <s v="Bangalore"/>
    <s v="Q2QW-CTFW-5KJ6"/>
    <x v="57"/>
    <s v="1F-R3"/>
    <s v="SW"/>
    <s v="1F-R3-SW2"/>
    <s v="MS250-48FP"/>
    <s v="switch-17-2-2"/>
    <m/>
    <s v="Core"/>
    <s v="Closed"/>
    <x v="0"/>
    <s v="power issue"/>
    <s v="Switch went down due to power issue"/>
    <d v="2026-06-24T22:54:50"/>
    <d v="2026-06-25T06:35:00"/>
    <n v="460.17"/>
    <d v="2026-06-24T22:54:50"/>
    <n v="0"/>
    <n v="30"/>
    <s v="SLA Met"/>
    <d v="2026-06-24T23:06:43"/>
    <d v="2026-06-25T06:33:54"/>
    <n v="447.18"/>
    <n v="12.98"/>
    <n v="120"/>
    <s v="SLA Met"/>
    <m/>
    <n v="129600"/>
    <n v="129587.02"/>
    <n v="99.989984567901232"/>
    <n v="129152.82"/>
    <n v="99.654953703703711"/>
  </r>
  <r>
    <s v="Jubilant Foodworks Ltd (JFL)"/>
    <s v="Alert"/>
    <s v="Dheerendra Maurya"/>
    <s v="PRO/INC/53231"/>
    <s v="switches went down"/>
    <s v="Meraki Managed Services"/>
    <s v="Software / Configuration"/>
    <s v="Bangalore"/>
    <s v="Q2QW-CTFE-E2WF"/>
    <x v="55"/>
    <s v="1F-R3"/>
    <s v="SW"/>
    <s v="1F-R3-SW1"/>
    <s v="MS250-48FP"/>
    <s v="switch-17-2-2"/>
    <m/>
    <s v="Core"/>
    <s v="Closed"/>
    <x v="0"/>
    <s v="power issue"/>
    <s v="Switch went down due to power issue"/>
    <d v="2026-06-24T22:55:00"/>
    <d v="2026-06-25T06:37:00"/>
    <n v="462"/>
    <d v="2026-06-24T22:55:01"/>
    <n v="0.02"/>
    <n v="30"/>
    <s v="SLA Met"/>
    <d v="2026-06-24T23:09:21"/>
    <d v="2026-06-25T06:35:47"/>
    <n v="446.43"/>
    <n v="15.57"/>
    <n v="120"/>
    <s v="SLA Met"/>
    <m/>
    <n v="129600"/>
    <n v="129584.43"/>
    <n v="99.987986111111098"/>
    <n v="129153.57"/>
    <n v="99.655532407407406"/>
  </r>
  <r>
    <s v="Jubilant Foodworks Ltd (JFL)"/>
    <s v="Alert"/>
    <s v="Dheerendra Maurya"/>
    <s v="PRO/INC/53232"/>
    <s v="aps went down"/>
    <s v="Meraki Managed Services"/>
    <s v="Software / Configuration"/>
    <s v="Bangalore"/>
    <s v="Q3AC-QSJ4-9L25"/>
    <x v="135"/>
    <s v="NA"/>
    <s v="AP"/>
    <s v="1F-AP07-R05-SW04-17P"/>
    <s v="MR46"/>
    <s v="wireless-31-1-8"/>
    <m/>
    <s v="Non-Core"/>
    <s v="Closed"/>
    <x v="0"/>
    <s v="power issue"/>
    <s v="AP went down due to power issue"/>
    <d v="2026-06-24T22:56:30"/>
    <d v="2026-06-25T06:38:00"/>
    <n v="461.5"/>
    <d v="2026-06-24T22:56:31"/>
    <n v="0.02"/>
    <n v="30"/>
    <s v="SLA Met"/>
    <d v="2026-06-24T23:10:23"/>
    <d v="2026-06-25T06:37:07"/>
    <n v="446.73"/>
    <n v="14.77"/>
    <n v="120"/>
    <s v="SLA Met"/>
    <m/>
    <n v="129600"/>
    <n v="129585.23"/>
    <n v="99.98860339506173"/>
    <n v="129153.27"/>
    <n v="99.655300925925928"/>
  </r>
  <r>
    <s v="Jubilant Foodworks Ltd (JFL)"/>
    <s v="Alert"/>
    <s v="Dheerendra Maurya"/>
    <s v="PRO/INC/53234"/>
    <s v="aps went down"/>
    <s v="Meraki Managed Services"/>
    <s v="Software / Configuration"/>
    <s v="Bangalore"/>
    <s v="Q3AC-HG28-SMQY"/>
    <x v="136"/>
    <s v="NA"/>
    <s v="AP"/>
    <s v="CK QC Lab "/>
    <s v="MR46"/>
    <s v="Not running configured version"/>
    <m/>
    <s v="Non-Core"/>
    <s v="Closed"/>
    <x v="0"/>
    <s v="power issue"/>
    <s v="AP went down due to power issue"/>
    <d v="2026-06-24T22:56:40"/>
    <d v="2026-06-25T06:40:00"/>
    <n v="463.33"/>
    <d v="2026-06-24T22:56:41"/>
    <n v="0.02"/>
    <n v="30"/>
    <s v="SLA Met"/>
    <d v="2026-06-24T23:12:24"/>
    <d v="2026-06-25T06:38:27"/>
    <n v="446.05"/>
    <n v="17.28"/>
    <n v="120"/>
    <s v="SLA Met"/>
    <m/>
    <n v="129600"/>
    <n v="129582.72"/>
    <n v="99.986666666666665"/>
    <n v="129153.95"/>
    <n v="99.655825617283938"/>
  </r>
  <r>
    <s v="Jubilant Foodworks Ltd (JFL)"/>
    <s v="Alert"/>
    <s v="Dheerendra Maurya"/>
    <s v="PRO/INC/53233"/>
    <s v="aps went down"/>
    <s v="Meraki Managed Services"/>
    <s v="Software / Configuration"/>
    <s v="Bangalore"/>
    <s v="Q3AC-E8LA-PVD4"/>
    <x v="28"/>
    <s v="NA"/>
    <s v="AP"/>
    <s v="1F-AP10-R05-SW02-44P"/>
    <s v="MR46"/>
    <s v="wireless-31-1-8"/>
    <m/>
    <s v="Non-Core"/>
    <s v="Closed"/>
    <x v="0"/>
    <s v="power issue"/>
    <s v="AP went down due to power issue"/>
    <d v="2026-06-24T22:56:40"/>
    <d v="2026-06-25T06:41:00"/>
    <n v="464.33"/>
    <d v="2026-06-24T22:56:42"/>
    <n v="0.03"/>
    <n v="30"/>
    <s v="SLA Met"/>
    <d v="2026-06-24T23:11:27"/>
    <d v="2026-06-25T06:39:55"/>
    <n v="448.47"/>
    <n v="15.87"/>
    <n v="120"/>
    <s v="SLA Met"/>
    <m/>
    <n v="129600"/>
    <n v="129584.13"/>
    <n v="99.987754629629634"/>
    <n v="129151.53"/>
    <n v="99.653958333333335"/>
  </r>
  <r>
    <s v="Jubilant Foodworks Ltd (JFL)"/>
    <s v="Alert"/>
    <s v="Dheerendra Maurya"/>
    <s v="PRO/INC/53237"/>
    <s v="aps went down"/>
    <s v="Meraki Managed Services"/>
    <s v="Software / Configuration"/>
    <s v="Greater Noida"/>
    <s v="Q3KG-Y2PU-4DWW"/>
    <x v="32"/>
    <s v="NA"/>
    <s v="AP"/>
    <s v="JFL-GNSC-AP55"/>
    <s v="MR86"/>
    <s v="wireless-31-1-7"/>
    <m/>
    <s v="Non-Core"/>
    <s v="Closed"/>
    <x v="0"/>
    <s v="power issue"/>
    <s v="AP went down due to power issue"/>
    <d v="2026-06-25T04:45:56"/>
    <d v="2026-06-25T06:43:00"/>
    <n v="117.07"/>
    <d v="2026-06-25T04:45:57"/>
    <n v="0.02"/>
    <n v="30"/>
    <s v="SLA Met"/>
    <d v="2026-06-25T04:50:13"/>
    <d v="2026-06-25T06:41:44"/>
    <n v="111.52"/>
    <n v="5.55"/>
    <n v="120"/>
    <s v="SLA Met"/>
    <m/>
    <n v="129600"/>
    <n v="129594.45"/>
    <n v="99.995717592592598"/>
    <n v="129488.48"/>
    <n v="99.913950617283945"/>
  </r>
  <r>
    <s v="Jubilant Foodworks Ltd (JFL)"/>
    <s v="Alert"/>
    <s v="Dheerendra Maurya"/>
    <s v="PRO/INC/53240"/>
    <s v="aps went down"/>
    <s v="Meraki Managed Services"/>
    <s v="Software / Configuration"/>
    <s v="Greater Noida"/>
    <s v="Q3KG-Y2PU-4DWW"/>
    <x v="32"/>
    <s v="NA"/>
    <s v="AP"/>
    <s v="JFL-GNSC-AP55"/>
    <s v="MR86"/>
    <s v="wireless-31-1-7"/>
    <m/>
    <s v="Non-Core"/>
    <s v="Closed"/>
    <x v="0"/>
    <s v="power issue"/>
    <s v="AP went down due to power issue"/>
    <d v="2026-06-25T06:06:04"/>
    <d v="2026-06-26T06:36:00"/>
    <n v="1469.93"/>
    <d v="2026-06-25T06:06:05"/>
    <n v="0.02"/>
    <n v="30"/>
    <s v="SLA Met"/>
    <d v="2026-06-25T06:07:49"/>
    <d v="2026-06-26T06:34:51"/>
    <n v="1467.03"/>
    <n v="2.9"/>
    <n v="120"/>
    <s v="SLA Met"/>
    <m/>
    <n v="129600"/>
    <n v="129597.1"/>
    <n v="99.997762345679021"/>
    <n v="128132.97"/>
    <n v="98.868032407407412"/>
  </r>
  <r>
    <s v="Jubilant Foodworks Ltd (JFL)"/>
    <s v="Alert"/>
    <s v="Jagadisha R"/>
    <s v="PRO/INC/53395"/>
    <s v="PM activity at the JLF Banglore"/>
    <s v="Meraki Managed Services"/>
    <s v="PM Activity"/>
    <s v="Bangalore"/>
    <m/>
    <x v="137"/>
    <s v="CORE"/>
    <s v="SW"/>
    <s v="CORE-1"/>
    <s v="MS425-32"/>
    <s v="switch-17-1-4"/>
    <m/>
    <s v="P4"/>
    <s v="Closed"/>
    <x v="2"/>
    <m/>
    <m/>
    <d v="2026-06-25T14:21:36"/>
    <d v="2026-07-02T18:04:00"/>
    <n v="10302.4"/>
    <d v="2026-06-25T14:21:38"/>
    <n v="0.03"/>
    <n v="30"/>
    <s v="SLA Met"/>
    <m/>
    <m/>
    <n v="0"/>
    <n v="10302.4"/>
    <n v="2880"/>
    <s v="SLA Breached"/>
    <m/>
    <n v="129600"/>
    <n v="119297.60000000001"/>
    <n v="92.050617283950615"/>
    <n v="129600"/>
    <n v="100"/>
  </r>
  <r>
    <s v="Jubilant Foodworks Ltd (JFL)"/>
    <s v="Alert"/>
    <s v="Dheerendra Maurya"/>
    <s v="PRO/INC/53404"/>
    <s v="aps went down"/>
    <s v="Meraki Managed Services"/>
    <s v="Software / Configuration"/>
    <s v="Mohali"/>
    <s v="Q5AR-TEZ8-EZVW"/>
    <x v="126"/>
    <s v="NA"/>
    <s v="AP"/>
    <s v="JFL-Mohali-SCC-AP09"/>
    <s v="CW9166I"/>
    <s v="wireless-31-1-7"/>
    <m/>
    <s v="Non-Core"/>
    <s v="Closed"/>
    <x v="0"/>
    <s v="ISP or power issue at client side"/>
    <s v="AP went down due to power issue"/>
    <d v="2026-06-25T18:47:56"/>
    <d v="2026-06-26T06:28:00"/>
    <n v="700.07"/>
    <d v="2026-06-25T18:47:57"/>
    <n v="0.02"/>
    <n v="30"/>
    <s v="SLA Met"/>
    <d v="2026-06-25T18:51:55"/>
    <d v="2026-06-26T06:26:24"/>
    <n v="694.48"/>
    <n v="5.58"/>
    <n v="120"/>
    <s v="SLA Met"/>
    <m/>
    <n v="129600"/>
    <n v="129594.42"/>
    <n v="99.995694444444439"/>
    <n v="128905.52"/>
    <n v="99.46413580246913"/>
  </r>
  <r>
    <s v="Jubilant Foodworks Ltd (JFL)"/>
    <s v="Alert"/>
    <s v="Dheerendra Maurya"/>
    <s v="PRO/INC/53405"/>
    <s v="aps went down"/>
    <s v="Meraki Managed Services"/>
    <s v="Software / Configuration"/>
    <s v="Mohali"/>
    <s v="Q5AA-KHJW-U94C"/>
    <x v="127"/>
    <s v="NA"/>
    <s v="AP"/>
    <s v="JFL-Mohali-SCC-AP03"/>
    <s v="CW9162I"/>
    <s v="wireless-31-1-7"/>
    <m/>
    <s v="Non-Core"/>
    <s v="Closed"/>
    <x v="0"/>
    <s v="ISP or power issue at client side"/>
    <s v="AP went down due to power issue"/>
    <d v="2026-06-25T18:47:58"/>
    <d v="2026-06-26T06:25:00"/>
    <n v="697.03"/>
    <d v="2026-06-25T18:47:59"/>
    <n v="0.02"/>
    <n v="30"/>
    <s v="SLA Met"/>
    <d v="2026-06-25T18:53:02"/>
    <d v="2026-06-26T06:23:36"/>
    <n v="690.57"/>
    <n v="6.47"/>
    <n v="120"/>
    <s v="SLA Met"/>
    <m/>
    <n v="129600"/>
    <n v="129593.53"/>
    <n v="99.995007716049372"/>
    <n v="128909.43"/>
    <n v="99.46715277777777"/>
  </r>
  <r>
    <s v="Jubilant Foodworks Ltd (JFL)"/>
    <s v="Alert"/>
    <s v="Dheerendra Maurya"/>
    <s v="PRO/INC/53407"/>
    <s v="aps went down"/>
    <s v="Meraki Managed Services"/>
    <s v="Software / Configuration"/>
    <s v="Mohali"/>
    <s v="Q5AA-MHPW-2YA8"/>
    <x v="40"/>
    <s v="NA"/>
    <s v="AP"/>
    <s v="JFL-Mohali-SCC-AP14"/>
    <s v="CW9162I"/>
    <s v="wireless-31-1-7"/>
    <m/>
    <s v="Non-Core"/>
    <s v="Closed"/>
    <x v="0"/>
    <s v="power issue at client side"/>
    <s v="AP went down due to power issue"/>
    <d v="2026-06-25T18:48:05"/>
    <d v="2026-06-26T06:21:00"/>
    <n v="692.92"/>
    <d v="2026-06-25T18:48:06"/>
    <n v="0.02"/>
    <n v="30"/>
    <s v="SLA Met"/>
    <d v="2026-06-25T18:54:07"/>
    <d v="2026-06-26T06:20:15"/>
    <n v="686.13"/>
    <n v="6.78"/>
    <n v="120"/>
    <s v="SLA Met"/>
    <m/>
    <n v="129600"/>
    <n v="129593.22"/>
    <n v="99.994768518518512"/>
    <n v="128913.87"/>
    <n v="99.470578703703708"/>
  </r>
  <r>
    <s v="Jubilant Foodworks Ltd (JFL)"/>
    <s v="Alert"/>
    <s v="Kartik Choudhary"/>
    <s v="PRO/INC/53623"/>
    <s v="new dhcp server detected"/>
    <s v="Meraki Managed Services"/>
    <s v="Software / Configuration"/>
    <s v="Nagpur"/>
    <s v="Q5JJ-68KZ-MXAS"/>
    <x v="3"/>
    <s v="RACK 1"/>
    <s v="SW"/>
    <s v="JFL-NAG-SSC-SW01"/>
    <s v="C9300L-48P-4X"/>
    <s v="cs-17-2-2"/>
    <m/>
    <s v="Non-Core"/>
    <s v="Closed"/>
    <x v="3"/>
    <s v="Observation shared with customer, waiting for response."/>
    <s v="Thank you for the update. We have blocked the new DHCP server with the MAC address 06:ad:d8:38:b0:97. Please feel free to reach out if you require any further assistance."/>
    <d v="2026-06-26T17:41:30"/>
    <d v="2026-06-26T18:03:00"/>
    <n v="21.5"/>
    <d v="2026-06-26T17:41:31"/>
    <n v="0.02"/>
    <n v="30"/>
    <s v="SLA Met"/>
    <d v="2026-06-26T17:49:05"/>
    <d v="2026-06-26T18:01:19"/>
    <n v="12.23"/>
    <n v="9.27"/>
    <n v="120"/>
    <s v="SLA Met"/>
    <m/>
    <n v="129600"/>
    <n v="129590.73"/>
    <n v="99.99284722222221"/>
    <n v="129587.77"/>
    <n v="99.990563271604941"/>
  </r>
  <r>
    <s v="Jubilant Foodworks Ltd (JFL)"/>
    <s v="Alert"/>
    <s v="Dheerendra Maurya"/>
    <s v="PRO/INC/53628"/>
    <s v="aps went down"/>
    <s v="Meraki Managed Services"/>
    <s v="Software / Configuration"/>
    <s v="Greater Noida"/>
    <s v="Q3KG-6BJV-TZA3"/>
    <x v="68"/>
    <s v="NA"/>
    <s v="AP"/>
    <s v="JFL-GNSC-AP53"/>
    <s v="MR86"/>
    <s v="wireless-31-1-7"/>
    <m/>
    <s v="Non-Core"/>
    <s v="Closed"/>
    <x v="0"/>
    <s v="Power issue at client site"/>
    <s v="AP went down due to power issue"/>
    <d v="2026-06-26T19:24:39"/>
    <d v="2026-06-27T08:34:00"/>
    <n v="789.35"/>
    <d v="2026-06-26T19:24:40"/>
    <n v="0.02"/>
    <n v="30"/>
    <s v="SLA Met"/>
    <d v="2026-06-26T19:49:22"/>
    <d v="2026-06-27T08:32:55"/>
    <n v="763.55"/>
    <n v="25.8"/>
    <n v="120"/>
    <s v="SLA Met"/>
    <m/>
    <n v="129600"/>
    <n v="129574.2"/>
    <n v="99.980092592592598"/>
    <n v="128836.45"/>
    <n v="99.410841049382711"/>
  </r>
  <r>
    <s v="Jubilant Foodworks Ltd (JFL)"/>
    <s v="Alert"/>
    <s v="Aneesh P S"/>
    <s v="PRO/INC/53804"/>
    <s v="switches went down"/>
    <s v="Meraki Managed Services"/>
    <s v="Software / Configuration"/>
    <s v="Bangalore"/>
    <s v="Q2QW-FCJL-LJS8"/>
    <x v="14"/>
    <s v="SEC-CAB"/>
    <s v="SW"/>
    <s v="SEC-CAB-SW1"/>
    <s v="MS250-48FP"/>
    <s v="switch-17-2-2"/>
    <m/>
    <s v="Core"/>
    <s v="Closed"/>
    <x v="0"/>
    <s v="Device Power issues"/>
    <s v="Device Power issues"/>
    <d v="2026-06-27T14:20:01"/>
    <d v="2026-06-27T14:40:00"/>
    <n v="19.98"/>
    <d v="2026-06-27T14:20:01"/>
    <n v="0"/>
    <n v="30"/>
    <s v="SLA Met"/>
    <d v="2026-06-27T14:28:04"/>
    <d v="2026-06-27T14:38:33"/>
    <n v="10.48"/>
    <n v="9.5"/>
    <n v="120"/>
    <s v="SLA Met"/>
    <m/>
    <n v="129600"/>
    <n v="129590.5"/>
    <n v="99.992669753086417"/>
    <n v="129589.52"/>
    <n v="99.991913580246916"/>
  </r>
  <r>
    <s v="Jubilant Foodworks Ltd (JFL)"/>
    <s v="Alert"/>
    <s v="Aneesh P S"/>
    <s v="PRO/INC/53805"/>
    <s v="switches went down"/>
    <s v="Meraki Managed Services"/>
    <s v="Software / Configuration"/>
    <s v="Bangalore"/>
    <s v="Q2QW-FCH3-EMVG"/>
    <x v="15"/>
    <s v="SEC-CAB"/>
    <s v="SW"/>
    <s v="SEC-CAB-SW2"/>
    <s v="MS250-48FP"/>
    <s v="switch-17-2-2"/>
    <m/>
    <s v="Core"/>
    <s v="Closed"/>
    <x v="0"/>
    <s v="Device Power issues"/>
    <s v="Device Power issues"/>
    <d v="2026-06-27T14:20:10"/>
    <d v="2026-06-27T14:40:00"/>
    <n v="19.829999999999998"/>
    <d v="2026-06-27T14:20:11"/>
    <n v="0.02"/>
    <n v="30"/>
    <s v="SLA Met"/>
    <d v="2026-06-27T14:27:20"/>
    <d v="2026-06-27T14:37:30"/>
    <n v="10.17"/>
    <n v="9.67"/>
    <n v="120"/>
    <s v="SLA Met"/>
    <m/>
    <n v="129600"/>
    <n v="129590.33"/>
    <n v="99.992538580246915"/>
    <n v="129589.83"/>
    <n v="99.992152777777775"/>
  </r>
  <r>
    <s v="Jubilant Foodworks Ltd (JFL)"/>
    <s v="Alert"/>
    <s v="Aneesh P S"/>
    <s v="PRO/INC/53806"/>
    <s v="aps went down"/>
    <s v="Meraki Managed Services"/>
    <s v="Software / Configuration"/>
    <s v="Bangalore"/>
    <s v="Q3AC-HV2N-AG28"/>
    <x v="138"/>
    <s v="NA"/>
    <s v="AP"/>
    <s v="SEC-CAB-1F-AP02-R01-SW01-10P"/>
    <s v="MR46"/>
    <s v="wireless-31-1-8"/>
    <m/>
    <s v="Non-Core"/>
    <s v="Closed"/>
    <x v="0"/>
    <s v="Device Power issues"/>
    <s v="Device Power issues"/>
    <d v="2026-06-27T14:22:01"/>
    <d v="2026-06-27T14:40:00"/>
    <n v="17.98"/>
    <d v="2026-06-27T14:22:02"/>
    <n v="0.02"/>
    <n v="30"/>
    <s v="SLA Met"/>
    <d v="2026-06-27T14:26:29"/>
    <d v="2026-06-27T14:36:41"/>
    <n v="10.199999999999999"/>
    <n v="7.78"/>
    <n v="120"/>
    <s v="SLA Met"/>
    <m/>
    <n v="129600"/>
    <n v="129592.22"/>
    <n v="99.993996913580247"/>
    <n v="129589.8"/>
    <n v="99.99212962962963"/>
  </r>
  <r>
    <s v="Jubilant Foodworks Ltd (JFL)"/>
    <s v="Alert"/>
    <s v="Aneesh P S"/>
    <s v="PRO/INC/53807"/>
    <s v="aps went down"/>
    <s v="Meraki Managed Services"/>
    <s v="Software / Configuration"/>
    <s v="Bangalore"/>
    <s v="Q3AC-RDT3-Y62C"/>
    <x v="139"/>
    <s v="NA"/>
    <s v="AP"/>
    <s v="SEC-CAB-GF-AP01-R01-SW01-02P"/>
    <s v="MR46"/>
    <s v="wireless-31-1-8"/>
    <m/>
    <s v="Non-Core"/>
    <s v="Closed"/>
    <x v="0"/>
    <s v="Device Power issues"/>
    <s v="Device Power issues"/>
    <d v="2026-06-27T14:22:04"/>
    <d v="2026-06-27T14:40:00"/>
    <n v="17.93"/>
    <d v="2026-06-27T14:22:05"/>
    <n v="0.02"/>
    <n v="30"/>
    <s v="SLA Met"/>
    <d v="2026-06-27T14:25:35"/>
    <d v="2026-06-27T14:35:44"/>
    <n v="10.15"/>
    <n v="7.78"/>
    <n v="120"/>
    <s v="SLA Met"/>
    <m/>
    <n v="129600"/>
    <n v="129592.22"/>
    <n v="99.993996913580247"/>
    <n v="129589.85"/>
    <n v="99.992168209876553"/>
  </r>
  <r>
    <s v="Jubilant Foodworks Ltd (JFL)"/>
    <s v="Alert"/>
    <s v="Kartik Choudhary"/>
    <s v="PRO/INC/53814"/>
    <s v="new dhcp server detected"/>
    <s v="Meraki Managed Services"/>
    <s v="Software / Configuration"/>
    <s v="Nagpur"/>
    <s v="Q5JJ-68KZ-MXAS"/>
    <x v="3"/>
    <s v="RACK 1"/>
    <s v="SW"/>
    <s v="JFL-NAG-SSC-SW01"/>
    <s v="C9300L-48P-4X"/>
    <s v="cs-17-2-2"/>
    <m/>
    <s v="Non-Core"/>
    <s v="Closed"/>
    <x v="3"/>
    <s v="Observation shared with customer awaiting for customer reply."/>
    <s v="Observation shared with customer"/>
    <d v="2026-06-27T20:29:28"/>
    <d v="2026-06-30T19:32:00"/>
    <n v="4262.53"/>
    <d v="2026-06-27T20:29:28"/>
    <n v="0"/>
    <n v="30"/>
    <s v="SLA Met"/>
    <d v="2026-06-27T20:31:46"/>
    <d v="2026-06-30T19:30:13"/>
    <n v="4258.45"/>
    <n v="4.08"/>
    <n v="120"/>
    <s v="SLA Met"/>
    <m/>
    <n v="129600"/>
    <n v="129595.92"/>
    <n v="99.996851851851858"/>
    <n v="125341.55"/>
    <n v="96.714158950617289"/>
  </r>
  <r>
    <s v="Jubilant Foodworks Ltd (JFL)"/>
    <s v="Email"/>
    <s v="Kartik Choudhary"/>
    <s v="PRO/INC/55959"/>
    <s v="Remove port security below the switch. || Central Kitchen   ------FCW2211B365"/>
    <s v="Meraki Managed Services"/>
    <s v="Change Request"/>
    <s v="Greater Noida"/>
    <s v="FCW2211B365"/>
    <x v="140"/>
    <s v="JFL-GNMC-CK-AC-SW"/>
    <s v="SW"/>
    <s v="JFL-GNMC-CK-AC-SW-01"/>
    <s v="WS-C2960X-24PD-L"/>
    <s v="CISCO IOS 15.2(7)E13"/>
    <m/>
    <s v="Non-Core"/>
    <s v="Closed"/>
    <x v="1"/>
    <s v="Waiting for customer approval"/>
    <s v="Port security has been enabled"/>
    <d v="2026-06-29T12:08:27"/>
    <d v="2026-06-29T15:30:00"/>
    <n v="201.55"/>
    <d v="2026-06-29T12:08:27"/>
    <n v="0"/>
    <n v="30"/>
    <s v="SLA Met"/>
    <d v="2026-06-29T12:46:11"/>
    <d v="2026-06-29T15:24:36"/>
    <n v="158.41999999999999"/>
    <n v="43.13"/>
    <n v="120"/>
    <s v="SLA Met"/>
    <m/>
    <n v="129600"/>
    <n v="129556.87"/>
    <n v="99.96672067901234"/>
    <n v="129441.58"/>
    <n v="99.877762345679017"/>
  </r>
  <r>
    <s v="Jubilant Foodworks Ltd (JFL)"/>
    <s v="Alert"/>
    <s v="Dheerendra Maurya"/>
    <s v="PRO/INC/56034"/>
    <s v="aps went down"/>
    <s v="Meraki Managed Services"/>
    <s v="Software / Configuration"/>
    <s v="Greater Noida"/>
    <s v="Q5AA-A6S6-XG3H"/>
    <x v="109"/>
    <s v="NA"/>
    <s v="AP"/>
    <s v="JFL-GNSC-AP16"/>
    <s v="CW9162I"/>
    <s v="wireless-31-1-7"/>
    <m/>
    <s v="Non-Core"/>
    <s v="Closed"/>
    <x v="0"/>
    <s v="power issue"/>
    <s v="AP went down due to power issue"/>
    <d v="2026-06-30T04:19:19"/>
    <d v="2026-06-30T07:15:00"/>
    <n v="175.68"/>
    <d v="2026-06-30T04:19:20"/>
    <n v="0.02"/>
    <n v="30"/>
    <s v="SLA Met"/>
    <d v="2026-06-30T04:22:28"/>
    <d v="2026-06-30T07:13:52"/>
    <n v="171.4"/>
    <n v="4.28"/>
    <n v="120"/>
    <s v="SLA Met"/>
    <m/>
    <n v="129600"/>
    <n v="129595.72"/>
    <n v="99.996697530864196"/>
    <n v="129428.6"/>
    <n v="99.867746913580248"/>
  </r>
  <r>
    <s v="Jubilant Foodworks Ltd (JFL)"/>
    <s v="Alert"/>
    <s v="Abhishek Satish Pawar"/>
    <s v="PRO/INC/56039"/>
    <s v="aps went down"/>
    <s v="Meraki Managed Services"/>
    <s v="Software / Configuration"/>
    <s v="Greater Noida"/>
    <s v="Q5AA-GHXM-TRTK"/>
    <x v="78"/>
    <s v="NA"/>
    <s v="AP"/>
    <s v="JFL-GNSC-AP20"/>
    <s v="CW9162I"/>
    <s v="wireless-31-1-7"/>
    <m/>
    <s v="Non-Core"/>
    <s v="Closed"/>
    <x v="0"/>
    <s v="power issue"/>
    <s v="Resolved"/>
    <d v="2026-06-30T05:59:42"/>
    <d v="2026-07-01T16:00:00"/>
    <n v="2040.3"/>
    <d v="2026-06-30T05:59:43"/>
    <n v="0.02"/>
    <n v="30"/>
    <s v="SLA Met"/>
    <d v="2026-06-30T06:13:49"/>
    <d v="2026-07-01T15:46:38"/>
    <n v="2012.82"/>
    <n v="27.48"/>
    <n v="120"/>
    <s v="SLA Met"/>
    <m/>
    <n v="129600"/>
    <n v="129572.52"/>
    <n v="99.978796296296295"/>
    <n v="127587.18"/>
    <n v="98.446898148148136"/>
  </r>
  <r>
    <s v="Jubilant Foodworks Ltd (JFL)"/>
    <s v="Alert"/>
    <s v="Abhishek Satish Pawar"/>
    <s v="PRO/INC/56179"/>
    <s v="aps went down"/>
    <s v="Meraki Managed Services"/>
    <s v="Software / Configuration"/>
    <s v="Greater Noida"/>
    <s v="Q5AA-H6R3-LUMM"/>
    <x v="107"/>
    <s v="NA"/>
    <s v="AP"/>
    <s v="JFL-GNSC-AP26"/>
    <s v="CW9162I"/>
    <s v="wireless-31-1-7"/>
    <m/>
    <s v="Non-Core"/>
    <s v="Closed"/>
    <x v="0"/>
    <s v="power issue"/>
    <s v="AP went down due to power issue"/>
    <d v="2026-06-30T14:55:36"/>
    <d v="2026-07-01T08:11:00"/>
    <n v="1035.4000000000001"/>
    <d v="2026-06-30T14:55:36"/>
    <n v="0"/>
    <n v="30"/>
    <s v="SLA Met"/>
    <d v="2026-06-30T15:30:57"/>
    <d v="2026-07-01T08:09:49"/>
    <n v="998.87"/>
    <n v="36.53"/>
    <n v="120"/>
    <s v="SLA Met"/>
    <m/>
    <n v="129600"/>
    <n v="129563.47"/>
    <n v="99.97181327160493"/>
    <n v="128601.13"/>
    <n v="99.229266975308647"/>
  </r>
  <r>
    <s v="Jubilant Foodworks Ltd (JFL)"/>
    <s v="Alert"/>
    <s v="Dheerendra Maurya"/>
    <s v="PRO/INC/56180"/>
    <s v="aps went down"/>
    <s v="Meraki Managed Services"/>
    <s v="Software / Configuration"/>
    <s v="Greater Noida"/>
    <s v="Q5AA-FRBE-94N5"/>
    <x v="47"/>
    <s v="NA"/>
    <s v="AP"/>
    <s v="JFL-GNSC-AP27"/>
    <s v="CW9162I"/>
    <s v="wireless-31-1-7"/>
    <m/>
    <s v="Non-Core"/>
    <s v="Closed"/>
    <x v="0"/>
    <s v="Device Power issues"/>
    <s v="AP went down due to power issue"/>
    <d v="2026-06-30T14:55:36"/>
    <d v="2026-07-01T08:05:00"/>
    <n v="1029.4000000000001"/>
    <d v="2026-06-30T14:55:37"/>
    <n v="0.02"/>
    <n v="30"/>
    <s v="SLA Met"/>
    <d v="2026-06-30T14:58:59"/>
    <d v="2026-07-01T08:03:45"/>
    <n v="1024.77"/>
    <n v="4.63"/>
    <n v="120"/>
    <s v="SLA Met"/>
    <m/>
    <n v="129600"/>
    <n v="129595.37"/>
    <n v="99.996427469135796"/>
    <n v="128575.23"/>
    <n v="99.2092824074074"/>
  </r>
  <r>
    <s v="Jubilant Foodworks Ltd (JFL)"/>
    <s v="Alert"/>
    <s v="Abhishek Satish Pawar"/>
    <s v="PRO/INC/56186"/>
    <s v="switches went down"/>
    <s v="Meraki Managed Services"/>
    <s v="Software / Configuration"/>
    <s v="Guwahati"/>
    <s v="Q5JG-ECTW-5MN7"/>
    <x v="21"/>
    <s v="CORE"/>
    <s v="SW"/>
    <s v="JFL-Guwahati-CORE-01"/>
    <s v="C9300L-24P-4X"/>
    <s v="IOS XE 17.15.5"/>
    <m/>
    <s v="Core"/>
    <s v="Closed"/>
    <x v="0"/>
    <s v="power issue"/>
    <s v="Resolved"/>
    <d v="2026-06-30T16:16:34"/>
    <d v="2026-07-01T13:00:00"/>
    <n v="1243.43"/>
    <d v="2026-06-30T16:16:35"/>
    <n v="0.02"/>
    <n v="30"/>
    <s v="SLA Met"/>
    <d v="2026-06-30T16:17:59"/>
    <d v="2026-07-01T12:41:38"/>
    <n v="1223.6500000000001"/>
    <n v="19.78"/>
    <n v="120"/>
    <s v="SLA Met"/>
    <m/>
    <n v="129600"/>
    <n v="129580.22"/>
    <n v="99.98473765432098"/>
    <n v="128376.35"/>
    <n v="99.055825617283958"/>
  </r>
  <r>
    <s v="Jubilant Foodworks Ltd (JFL)"/>
    <s v="Alert"/>
    <s v="Aneesh P S"/>
    <s v="PRO/INC/56188"/>
    <s v="aps went down"/>
    <s v="Meraki Managed Services"/>
    <s v="Software / Configuration"/>
    <s v="Guwahati"/>
    <s v="Q3KG-ZJZJ-WWH5"/>
    <x v="20"/>
    <s v="NA"/>
    <s v="AP"/>
    <s v="JFL-Guwahati-SSC-AP-02"/>
    <s v="MR86"/>
    <s v="MR 32.1.7"/>
    <m/>
    <s v="Non-Core"/>
    <s v="Closed"/>
    <x v="0"/>
    <s v="Device Power issues"/>
    <s v="Device Power issues"/>
    <d v="2026-06-30T16:16:44"/>
    <d v="2026-06-30T16:30:00"/>
    <n v="13.27"/>
    <d v="2026-06-30T16:16:44"/>
    <n v="0"/>
    <n v="30"/>
    <s v="SLA Met"/>
    <d v="2026-06-30T16:20:26"/>
    <d v="2026-06-30T16:22:22"/>
    <n v="1.93"/>
    <n v="11.33"/>
    <n v="120"/>
    <s v="SLA Met"/>
    <m/>
    <n v="129600"/>
    <n v="129588.67"/>
    <n v="99.99125771604939"/>
    <n v="129598.07"/>
    <n v="99.998510802469141"/>
  </r>
  <r>
    <s v="Jubilant Foodworks Ltd (JFL)"/>
    <s v="Alert"/>
    <s v="Abhishek Satish Pawar"/>
    <s v="PRO/INC/56204"/>
    <s v="aps went down"/>
    <s v="Meraki Managed Services"/>
    <s v="Software / Configuration"/>
    <s v="Greater Noida"/>
    <s v="Q5AA-GJ47-DK5X"/>
    <x v="95"/>
    <s v="NA"/>
    <s v="AP"/>
    <s v="JFL-GNSC-AP28"/>
    <s v="CW9162I"/>
    <s v="wireless-31-1-7"/>
    <m/>
    <s v="Non-Core"/>
    <s v="Closed"/>
    <x v="0"/>
    <s v="power issue"/>
    <s v="Resolved"/>
    <d v="2026-07-01T11:32:04"/>
    <d v="2026-07-01T14:00:00"/>
    <n v="147.93"/>
    <d v="2026-07-01T11:32:06"/>
    <n v="0.03"/>
    <n v="30"/>
    <s v="SLA Met"/>
    <d v="2026-07-01T11:34:19"/>
    <d v="2026-07-01T15:56:24"/>
    <n v="262.08"/>
    <n v="-114.15"/>
    <n v="120"/>
    <s v="SLA Met"/>
    <m/>
    <n v="129600"/>
    <n v="129714.15"/>
    <n v="100.08807870370372"/>
    <n v="129337.92"/>
    <n v="99.797777777777767"/>
  </r>
  <r>
    <s v="Jubilant Foodworks Ltd (JFL)"/>
    <s v="Alert"/>
    <s v="Aneesh P S"/>
    <s v="PRO/INC/56205"/>
    <s v="aps went down"/>
    <s v="Meraki Managed Services"/>
    <s v="Software / Configuration"/>
    <s v="Greater Noida"/>
    <s v="Q5AA-FRBE-94N5"/>
    <x v="47"/>
    <s v="NA"/>
    <s v="AP"/>
    <s v="JFL-GNSC-AP27"/>
    <s v="CW9162I"/>
    <s v="wireless-31-1-7"/>
    <m/>
    <s v="Non-Core"/>
    <s v="Closed"/>
    <x v="0"/>
    <s v="Device Power issues"/>
    <s v="Device Power issues"/>
    <d v="2026-07-01T11:32:13"/>
    <d v="2026-07-01T13:06:00"/>
    <n v="93.78"/>
    <d v="2026-07-01T11:32:14"/>
    <n v="0.02"/>
    <n v="30"/>
    <s v="SLA Met"/>
    <d v="2026-07-01T11:35:17"/>
    <d v="2026-07-01T13:00:03"/>
    <n v="84.77"/>
    <n v="9.02"/>
    <n v="120"/>
    <s v="SLA Met"/>
    <m/>
    <n v="129600"/>
    <n v="129590.98"/>
    <n v="99.993040123456794"/>
    <n v="129515.23"/>
    <n v="99.934591049382718"/>
  </r>
  <r>
    <s v="Jubilant Foodworks Ltd (JFL)"/>
    <s v="Alert"/>
    <s v="Abhishek Satish Pawar"/>
    <s v="PRO/INC/56212"/>
    <s v="aps went down"/>
    <s v="Meraki Managed Services"/>
    <s v="Software / Configuration"/>
    <s v="Mohali"/>
    <s v="Q3KG-9RDD-U5HG"/>
    <x v="41"/>
    <s v="NA"/>
    <s v="AP"/>
    <s v="JFL-Mohali-SCC-AP12"/>
    <s v="MR86"/>
    <s v="wireless-31-1-7"/>
    <m/>
    <s v="Non-Core"/>
    <s v="Closed"/>
    <x v="0"/>
    <s v="power issue"/>
    <s v="Resolved"/>
    <d v="2026-07-01T12:46:40"/>
    <d v="2026-07-01T16:00:00"/>
    <n v="193.33"/>
    <d v="2026-07-01T12:46:41"/>
    <n v="0.02"/>
    <n v="30"/>
    <s v="SLA Met"/>
    <d v="2026-07-01T12:50:34"/>
    <d v="2026-07-01T15:58:27"/>
    <n v="187.88"/>
    <n v="5.45"/>
    <n v="120"/>
    <s v="SLA Met"/>
    <m/>
    <n v="129600"/>
    <n v="129594.55"/>
    <n v="99.995794753086415"/>
    <n v="129412.12"/>
    <n v="99.855030864197531"/>
  </r>
  <r>
    <s v="Jubilant Foodworks Ltd (JFL)"/>
    <s v="Alert"/>
    <s v="Abhishek Satish Pawar"/>
    <s v="PRO/INC/56214"/>
    <s v="aps went down"/>
    <s v="Meraki Managed Services"/>
    <s v="Software / Configuration"/>
    <s v="Greater Noida"/>
    <s v="Q5AA-H6R3-LUMM"/>
    <x v="107"/>
    <s v="NA"/>
    <s v="AP"/>
    <s v="JFL-GNSC-AP26"/>
    <s v="CW9162I"/>
    <s v="wireless-31-1-7"/>
    <m/>
    <s v="Non-Core"/>
    <s v="Closed"/>
    <x v="0"/>
    <s v="power issue"/>
    <s v="Resolved"/>
    <d v="2026-07-01T13:27:20"/>
    <d v="2026-07-01T16:00:00"/>
    <n v="152.66999999999999"/>
    <d v="2026-07-01T13:27:21"/>
    <n v="0.02"/>
    <n v="30"/>
    <s v="SLA Met"/>
    <d v="2026-07-01T14:07:25"/>
    <d v="2026-07-01T15:59:59"/>
    <n v="112.57"/>
    <n v="40.1"/>
    <n v="120"/>
    <s v="SLA Met"/>
    <m/>
    <n v="129600"/>
    <n v="129559.9"/>
    <n v="99.969058641975309"/>
    <n v="129487.43"/>
    <n v="99.913140432098757"/>
  </r>
  <r>
    <s v="Jubilant Foodworks Ltd (JFL)"/>
    <s v="Alert"/>
    <s v="Abhishek Satish Pawar"/>
    <s v="PRO/INC/56215"/>
    <s v="aps went down"/>
    <s v="Meraki Managed Services"/>
    <s v="Software / Configuration"/>
    <s v="Greater Noida"/>
    <s v="Q5AA-FRBE-94N5"/>
    <x v="47"/>
    <s v="NA"/>
    <s v="AP"/>
    <s v="JFL-GNSC-AP27"/>
    <s v="CW9162I"/>
    <s v="wireless-31-1-7"/>
    <m/>
    <s v="Non-Core"/>
    <s v="Closed"/>
    <x v="0"/>
    <s v="power issue"/>
    <s v="Resolved"/>
    <d v="2026-07-01T13:27:21"/>
    <d v="2026-07-01T16:00:00"/>
    <n v="152.65"/>
    <d v="2026-07-01T13:27:21"/>
    <n v="0"/>
    <n v="30"/>
    <s v="SLA Met"/>
    <d v="2026-07-01T14:06:10"/>
    <d v="2026-07-01T15:49:23"/>
    <n v="103.22"/>
    <n v="49.43"/>
    <n v="120"/>
    <s v="SLA Met"/>
    <m/>
    <n v="129600"/>
    <n v="129550.57"/>
    <n v="99.961859567901229"/>
    <n v="129496.78"/>
    <n v="99.920354938271601"/>
  </r>
  <r>
    <s v="Jubilant Foodworks Ltd (JFL)"/>
    <s v="Alert"/>
    <s v="Abhishek Satish Pawar"/>
    <s v="PRO/INC/56220"/>
    <s v="aps went down"/>
    <s v="Meraki Managed Services"/>
    <s v="Software / Configuration"/>
    <s v="Greater Noida"/>
    <s v="Q5AA-5TRP-EJMF"/>
    <x v="58"/>
    <s v="NA"/>
    <s v="AP"/>
    <s v="JFL-GNSC-AP04"/>
    <s v="CW9162I"/>
    <s v="wireless-31-1-7"/>
    <m/>
    <s v="Non-Core"/>
    <s v="Closed"/>
    <x v="0"/>
    <s v="power issue"/>
    <s v="Resolved"/>
    <d v="2026-07-01T14:41:42"/>
    <d v="2026-07-01T16:00:00"/>
    <n v="78.3"/>
    <d v="2026-07-01T14:41:43"/>
    <n v="0.02"/>
    <n v="30"/>
    <s v="SLA Met"/>
    <d v="2026-07-01T15:00:48"/>
    <d v="2026-07-01T15:54:42"/>
    <n v="53.9"/>
    <n v="24.4"/>
    <n v="120"/>
    <s v="SLA Met"/>
    <m/>
    <n v="129600"/>
    <n v="129575.6"/>
    <n v="99.981172839506186"/>
    <n v="129546.1"/>
    <n v="99.958410493827159"/>
  </r>
  <r>
    <s v="Jubilant Foodworks Ltd (JFL)"/>
    <s v="Alert"/>
    <s v="Abhishek Satish Pawar"/>
    <s v="PRO/INC/56221"/>
    <s v="aps went down"/>
    <s v="Meraki Managed Services"/>
    <s v="Software / Configuration"/>
    <s v="Greater Noida"/>
    <s v="Q5AA-7TFR-X7ZG"/>
    <x v="141"/>
    <s v="NA"/>
    <s v="AP"/>
    <s v="JFL-GNSC-AP29"/>
    <s v="CW9162I"/>
    <s v="wireless-31-1-7"/>
    <m/>
    <s v="Non-Core"/>
    <s v="Closed"/>
    <x v="0"/>
    <s v="power issue"/>
    <s v="AP went down due to power issue"/>
    <d v="2026-07-01T14:41:42"/>
    <d v="2026-07-02T08:01:00"/>
    <n v="1039.3"/>
    <d v="2026-07-01T14:41:43"/>
    <n v="0.02"/>
    <n v="30"/>
    <s v="SLA Met"/>
    <d v="2026-07-01T14:59:31"/>
    <d v="2026-07-02T08:00:07"/>
    <n v="1020.6"/>
    <n v="18.7"/>
    <n v="120"/>
    <s v="SLA Met"/>
    <m/>
    <n v="129600"/>
    <n v="129581.3"/>
    <n v="99.985570987654327"/>
    <n v="128579.4"/>
    <n v="99.212499999999991"/>
  </r>
  <r>
    <s v="Jubilant Foodworks Ltd (JFL)"/>
    <s v="Email"/>
    <s v="Kartik Choudhary"/>
    <s v="PRO/INC/56229"/>
    <s v="Switch Faulty - For RMA - GNSC-NCK-AC-SW-01 -  Grater Noida"/>
    <s v="Meraki Managed Services"/>
    <s v="Hardware"/>
    <s v="Greater Noida"/>
    <s v="FCW2110B27N"/>
    <x v="142"/>
    <s v="JFL-GNMC-NEW-CK"/>
    <s v="SW"/>
    <s v="JFL-GNSC-GF-AC-ST-01 SW-2"/>
    <s v="C1-C2960X-24PD-L"/>
    <s v="CISCO IOS 15.2(7)E13"/>
    <s v="FCW2110B27N"/>
    <s v="P3"/>
    <s v="Recovery"/>
    <x v="8"/>
    <s v="Coordinate with the customer for shipping details"/>
    <s v="Device has been replaced &amp; working fine"/>
    <d v="2026-07-01T17:56:33"/>
    <d v="2026-07-08T12:33:00"/>
    <n v="9756.4500000000007"/>
    <d v="2026-07-01T17:56:33"/>
    <n v="0"/>
    <n v="30"/>
    <m/>
    <d v="2026-07-01T18:25:38"/>
    <d v="2026-07-08T12:27:17"/>
    <n v="9721.65"/>
    <n v="34.799999999999997"/>
    <n v="1440"/>
    <m/>
    <m/>
    <n v="129600"/>
    <n v="129565.2"/>
    <n v="99.973148148148155"/>
    <n v="119878.35"/>
    <n v="92.498726851851856"/>
  </r>
  <r>
    <s v="Jubilant Foodworks Ltd (JFL)"/>
    <s v="Alert"/>
    <s v="Aneesh P S"/>
    <s v="PRO/INC/56409"/>
    <s v="Need to enable V lan 9 on SEC-CAB-SW2 port 36--Q2QW-FCH3-EMVG"/>
    <s v="Meraki Managed Services"/>
    <s v="Change Request"/>
    <s v="Bangalore"/>
    <m/>
    <x v="15"/>
    <s v="SEC-CAB"/>
    <s v="SW"/>
    <s v="SEC-CAB-SW2"/>
    <s v="MS250-48FP"/>
    <s v="switch-17-2-2"/>
    <m/>
    <s v="P4"/>
    <s v="Closed"/>
    <x v="1"/>
    <m/>
    <s v="we have enabled the vlan on port 36 and device is getting connected and getting IP"/>
    <d v="2026-07-03T12:43:10"/>
    <d v="2026-07-03T13:00:00"/>
    <n v="16.829999999999998"/>
    <d v="2026-07-03T12:43:10"/>
    <n v="0"/>
    <n v="30"/>
    <s v="SLA Met"/>
    <m/>
    <m/>
    <n v="0"/>
    <n v="16.829999999999998"/>
    <n v="2880"/>
    <s v="SLA Met"/>
    <m/>
    <n v="129600"/>
    <n v="129583.17"/>
    <n v="99.987013888888882"/>
    <n v="129600"/>
    <n v="100"/>
  </r>
  <r>
    <s v="Jubilant Foodworks Ltd (JFL)"/>
    <s v="Alert"/>
    <s v="Dharmendra Bhadoriya"/>
    <s v="PRO/INC/56422"/>
    <s v="aps went down"/>
    <s v="Meraki Managed Services"/>
    <s v="Software / Configuration"/>
    <s v="Bangalore"/>
    <s v="Q3AC-MPKF-FE8T"/>
    <x v="143"/>
    <s v="NA"/>
    <s v="AP"/>
    <n v="0"/>
    <s v="MR46"/>
    <s v="Not running configured version"/>
    <m/>
    <s v="Non-Core"/>
    <s v="Closed"/>
    <x v="2"/>
    <s v="Client Side Activity"/>
    <s v="As confirmed by Uday, this AP belongs to the Bangalore RO office and was deployed in the network from the available stock through an internal transfer"/>
    <d v="2026-07-03T18:36:02"/>
    <d v="2026-07-07T08:46:00"/>
    <n v="5169.97"/>
    <d v="2026-07-03T18:36:03"/>
    <n v="0.02"/>
    <n v="30"/>
    <s v="SLA Met"/>
    <d v="2026-07-03T18:39:22"/>
    <d v="2026-07-07T08:39:38"/>
    <n v="5160.2700000000004"/>
    <n v="9.6999999999999993"/>
    <n v="120"/>
    <s v="SLA Met"/>
    <m/>
    <n v="129600"/>
    <n v="129590.3"/>
    <n v="99.99251543209877"/>
    <n v="124439.73"/>
    <n v="96.018310185185186"/>
  </r>
  <r>
    <s v="Jubilant Foodworks Ltd (JFL)"/>
    <s v="Alert"/>
    <s v="Dheerendra Maurya"/>
    <s v="PRO/INC/56426"/>
    <s v="aps went down"/>
    <s v="Meraki Managed Services"/>
    <s v="Software / Configuration"/>
    <s v="Greater Noida"/>
    <s v="Q5AA-GJ47-DK5X"/>
    <x v="95"/>
    <s v="NA"/>
    <s v="AP"/>
    <s v="JFL-GNSC-AP28"/>
    <s v="CW9162I"/>
    <s v="wireless-31-1-7"/>
    <m/>
    <s v="Non-Core"/>
    <s v="Closed"/>
    <x v="0"/>
    <s v="power issue"/>
    <s v="AP went down due to power issue"/>
    <d v="2026-07-04T00:00:14"/>
    <d v="2026-07-04T00:16:00"/>
    <n v="15.77"/>
    <d v="2026-07-04T00:00:14"/>
    <n v="0"/>
    <n v="30"/>
    <s v="SLA Met"/>
    <d v="2026-07-04T00:04:22"/>
    <d v="2026-07-04T00:15:10"/>
    <n v="10.8"/>
    <n v="4.97"/>
    <n v="120"/>
    <s v="SLA Met"/>
    <m/>
    <n v="129600"/>
    <n v="129595.03"/>
    <n v="99.996165123456791"/>
    <n v="129589.2"/>
    <n v="99.991666666666674"/>
  </r>
  <r>
    <s v="Jubilant Foodworks Ltd (JFL)"/>
    <s v="Alert"/>
    <s v="Dheerendra Maurya"/>
    <s v="PRO/INC/56427"/>
    <s v="aps went down"/>
    <s v="Meraki Managed Services"/>
    <s v="Software / Configuration"/>
    <s v="Greater Noida"/>
    <s v="Q5AA-H6R3-LUMM"/>
    <x v="107"/>
    <s v="NA"/>
    <s v="AP"/>
    <s v="JFL-GNSC-AP26"/>
    <s v="CW9162I"/>
    <s v="wireless-31-1-7"/>
    <m/>
    <s v="Non-Core"/>
    <s v="Closed"/>
    <x v="0"/>
    <s v="power issue"/>
    <s v="AP went down due to power issue"/>
    <d v="2026-07-04T00:00:23"/>
    <d v="2026-07-04T00:12:00"/>
    <n v="11.62"/>
    <d v="2026-07-04T00:00:24"/>
    <n v="0.02"/>
    <n v="30"/>
    <s v="SLA Met"/>
    <d v="2026-07-04T00:06:00"/>
    <d v="2026-07-04T00:10:28"/>
    <n v="4.47"/>
    <n v="7.15"/>
    <n v="120"/>
    <s v="SLA Met"/>
    <m/>
    <n v="129600"/>
    <n v="129592.85"/>
    <n v="99.994483024691363"/>
    <n v="129595.53"/>
    <n v="99.996550925925916"/>
  </r>
  <r>
    <s v="Jubilant Foodworks Ltd (JFL)"/>
    <s v="Alert"/>
    <s v="Dheerendra Maurya"/>
    <s v="PRO/INC/56432"/>
    <s v="new dhcp server detected"/>
    <s v="Meraki Managed Services"/>
    <s v="Software / Configuration"/>
    <s v="Nagpur"/>
    <s v="Q5JJ-68KZ-MXAS"/>
    <x v="3"/>
    <s v="RACK 1"/>
    <s v="SW"/>
    <s v="JFL-NAG-SSC-SW01"/>
    <s v="C9300L-48P-4X"/>
    <s v="cs-17-2-2"/>
    <m/>
    <s v="Non-Core"/>
    <s v="Closed"/>
    <x v="3"/>
    <s v="New dhcp detected"/>
    <s v="We have blocked the new DHCP server with the MAC address 02:14:83:69:52:3e."/>
    <d v="2026-07-04T01:07:19"/>
    <d v="2026-07-08T10:27:00"/>
    <n v="6319.68"/>
    <d v="2026-07-04T01:07:20"/>
    <n v="0.02"/>
    <n v="30"/>
    <s v="SLA Met"/>
    <d v="2026-07-04T01:09:18"/>
    <d v="2026-07-08T10:24:45"/>
    <n v="6315.45"/>
    <n v="4.2300000000000004"/>
    <n v="120"/>
    <s v="SLA Met"/>
    <m/>
    <n v="129600"/>
    <n v="129595.77"/>
    <n v="99.996736111111119"/>
    <n v="123284.55"/>
    <n v="95.126967592592592"/>
  </r>
  <r>
    <s v="Jubilant Foodworks Ltd (JFL)"/>
    <s v="Alert"/>
    <s v="Jagadisha R"/>
    <s v="PRO/INC/56582"/>
    <s v="aps went down"/>
    <s v="Meraki Managed Services"/>
    <s v="Software / Configuration"/>
    <s v="Mohali"/>
    <s v="Q5AA-S8HG-F6YT"/>
    <x v="75"/>
    <s v="NA"/>
    <s v="AP"/>
    <s v="JFL-Mohali-SCC-AP04"/>
    <s v="CW9162I"/>
    <s v="wireless-31-1-7"/>
    <m/>
    <s v="Non-Core"/>
    <s v="Closed"/>
    <x v="0"/>
    <s v="Power issues"/>
    <s v="AP went down due to power issue"/>
    <d v="2026-07-04T11:28:06"/>
    <d v="2026-07-08T12:20:00"/>
    <n v="5811.9"/>
    <d v="2026-07-04T11:28:07"/>
    <n v="0.02"/>
    <n v="30"/>
    <s v="SLA Met"/>
    <d v="2026-07-04T11:39:35"/>
    <d v="2026-07-08T12:18:50"/>
    <n v="5799.25"/>
    <n v="12.65"/>
    <n v="120"/>
    <s v="SLA Met"/>
    <m/>
    <n v="129600"/>
    <n v="129587.35"/>
    <n v="99.990239197530869"/>
    <n v="123800.75"/>
    <n v="95.525270061728392"/>
  </r>
  <r>
    <s v="Jubilant Foodworks Ltd (JFL)"/>
    <s v="Alert"/>
    <s v="Jagadisha R"/>
    <s v="PRO/INC/56618"/>
    <s v="aps went down"/>
    <s v="Meraki Managed Services"/>
    <s v="Software / Configuration"/>
    <s v="Greater Noida"/>
    <s v="Q5AA-ASYH-AKEA"/>
    <x v="85"/>
    <s v="NA"/>
    <s v="AP"/>
    <s v="JFL-GNSC-AP22"/>
    <s v="CW9162I"/>
    <s v="wireless-31-1-7"/>
    <m/>
    <s v="Non-Core"/>
    <s v="Closed"/>
    <x v="0"/>
    <s v="Power issues"/>
    <s v="ap came up.."/>
    <d v="2026-07-04T11:45:43"/>
    <d v="2026-07-04T18:56:00"/>
    <n v="430.28"/>
    <d v="2026-07-04T11:45:44"/>
    <n v="0.02"/>
    <n v="30"/>
    <s v="SLA Met"/>
    <d v="2026-07-04T12:02:32"/>
    <d v="2026-07-04T18:48:35"/>
    <n v="406.05"/>
    <n v="24.23"/>
    <n v="120"/>
    <s v="SLA Met"/>
    <m/>
    <n v="129600"/>
    <n v="129575.77"/>
    <n v="99.981304012345689"/>
    <n v="129193.95"/>
    <n v="99.686689814814812"/>
  </r>
  <r>
    <s v="Jubilant Foodworks Ltd (JFL)"/>
    <s v="Alert"/>
    <s v="Jagadisha R"/>
    <s v="PRO/INC/56619"/>
    <s v="aps went down"/>
    <s v="Meraki Managed Services"/>
    <s v="Software / Configuration"/>
    <s v="Greater Noida"/>
    <s v="Q5AA-JKR4-S9MX"/>
    <x v="83"/>
    <s v="NA"/>
    <s v="AP"/>
    <s v="JFL-GNSC-AP24"/>
    <s v="CW9162I"/>
    <s v="wireless-31-1-7"/>
    <m/>
    <s v="Non-Core"/>
    <s v="Closed"/>
    <x v="0"/>
    <s v="Power issues"/>
    <s v="power issue AP came up"/>
    <d v="2026-07-04T11:45:44"/>
    <d v="2026-07-04T18:56:00"/>
    <n v="430.27"/>
    <d v="2026-07-04T11:45:45"/>
    <n v="0.02"/>
    <n v="30"/>
    <s v="SLA Met"/>
    <d v="2026-07-04T12:00:02"/>
    <d v="2026-07-04T18:50:32"/>
    <n v="410.5"/>
    <n v="19.77"/>
    <n v="120"/>
    <s v="SLA Met"/>
    <m/>
    <n v="129600"/>
    <n v="129580.23"/>
    <n v="99.984745370370362"/>
    <n v="129189.5"/>
    <n v="99.683256172839506"/>
  </r>
  <r>
    <s v="Jubilant Foodworks Ltd (JFL)"/>
    <s v="Alert"/>
    <s v="Jagadisha R"/>
    <s v="PRO/INC/56620"/>
    <s v="aps went down"/>
    <s v="Meraki Managed Services"/>
    <s v="Software / Configuration"/>
    <s v="Greater Noida"/>
    <s v="Q5AA-EZ6A-S56Y"/>
    <x v="84"/>
    <s v="NA"/>
    <s v="AP"/>
    <s v="JFL-GNSC-AP42"/>
    <s v="CW9162I"/>
    <s v="wireless-31-1-7"/>
    <m/>
    <s v="Non-Core"/>
    <s v="Closed"/>
    <x v="0"/>
    <s v="Power issues"/>
    <s v="Power issue AP came up"/>
    <d v="2026-07-04T11:45:45"/>
    <d v="2026-07-04T19:55:00"/>
    <n v="489.25"/>
    <d v="2026-07-04T11:45:46"/>
    <n v="0.02"/>
    <n v="30"/>
    <s v="SLA Met"/>
    <d v="2026-07-04T12:05:00"/>
    <d v="2026-07-04T19:43:22"/>
    <n v="458.37"/>
    <n v="30.88"/>
    <n v="120"/>
    <s v="SLA Met"/>
    <m/>
    <n v="129600"/>
    <n v="129569.12"/>
    <n v="99.976172839506177"/>
    <n v="129141.63"/>
    <n v="99.646319444444458"/>
  </r>
  <r>
    <s v="Jubilant Foodworks Ltd (JFL)"/>
    <s v="Alert"/>
    <s v="Jagadisha R"/>
    <s v="PRO/INC/56621"/>
    <s v="aps went down"/>
    <s v="Meraki Managed Services"/>
    <s v="Software / Configuration"/>
    <s v="Greater Noida"/>
    <s v="Q5AA-XGDL-V7JB"/>
    <x v="71"/>
    <s v="NA"/>
    <s v="AP"/>
    <s v="JFL-GNSC-AP54"/>
    <s v="CW9162I"/>
    <s v="wireless-31-1-7"/>
    <m/>
    <s v="Non-Core"/>
    <s v="Closed"/>
    <x v="0"/>
    <s v="Power issues"/>
    <s v="power issue AP came up"/>
    <d v="2026-07-04T11:45:54"/>
    <d v="2026-07-04T18:58:00"/>
    <n v="432.1"/>
    <d v="2026-07-04T11:45:55"/>
    <n v="0.02"/>
    <n v="30"/>
    <s v="SLA Met"/>
    <d v="2026-07-04T12:06:09"/>
    <d v="2026-07-04T18:53:14"/>
    <n v="407.08"/>
    <n v="25.02"/>
    <n v="120"/>
    <s v="SLA Met"/>
    <m/>
    <n v="129600"/>
    <n v="129574.98"/>
    <n v="99.980694444444438"/>
    <n v="129192.92"/>
    <n v="99.685895061728388"/>
  </r>
  <r>
    <s v="Jubilant Foodworks Ltd (JFL)"/>
    <s v="Alert"/>
    <s v="Jagadisha R"/>
    <s v="PRO/INC/56630"/>
    <s v="aps went down"/>
    <s v="Meraki Managed Services"/>
    <s v="Software / Configuration"/>
    <s v="Greater Noida"/>
    <s v="Q3KG-8U94-FMUC"/>
    <x v="35"/>
    <s v="NA"/>
    <s v="AP"/>
    <s v="JFL-GNSC-AP56"/>
    <s v="MR86"/>
    <s v="wireless-31-1-7"/>
    <m/>
    <s v="Non-Core"/>
    <s v="Closed"/>
    <x v="0"/>
    <s v="Power issues"/>
    <s v="power issue AP came up"/>
    <d v="2026-07-04T11:49:14"/>
    <d v="2026-07-04T18:58:00"/>
    <n v="428.77"/>
    <d v="2026-07-04T11:49:15"/>
    <n v="0.02"/>
    <n v="30"/>
    <s v="SLA Met"/>
    <d v="2026-07-04T12:08:00"/>
    <d v="2026-07-04T18:55:25"/>
    <n v="407.42"/>
    <n v="21.35"/>
    <n v="120"/>
    <s v="SLA Met"/>
    <m/>
    <n v="129600"/>
    <n v="129578.65"/>
    <n v="99.983526234567904"/>
    <n v="129192.58"/>
    <n v="99.685632716049383"/>
  </r>
  <r>
    <s v="Jubilant Foodworks Ltd (JFL)"/>
    <s v="Alert"/>
    <s v="Jagadisha R"/>
    <s v="PRO/INC/56629"/>
    <s v="aps went down"/>
    <s v="Meraki Managed Services"/>
    <s v="Software / Configuration"/>
    <s v="Greater Noida"/>
    <s v="Q3KG-GWW5-CHJC"/>
    <x v="33"/>
    <s v="NA"/>
    <s v="AP"/>
    <s v="JFL-GNSC-AP52"/>
    <s v="MR86"/>
    <s v="wireless-31-1-7"/>
    <m/>
    <s v="Non-Core"/>
    <s v="Closed"/>
    <x v="0"/>
    <s v="Power issues"/>
    <s v="power issue AP came up"/>
    <d v="2026-07-04T11:49:14"/>
    <d v="2026-07-04T18:59:00"/>
    <n v="429.77"/>
    <d v="2026-07-04T11:49:15"/>
    <n v="0.02"/>
    <n v="30"/>
    <s v="SLA Met"/>
    <d v="2026-07-04T12:09:12"/>
    <d v="2026-07-04T18:57:17"/>
    <n v="408.08"/>
    <n v="21.68"/>
    <n v="120"/>
    <s v="SLA Met"/>
    <m/>
    <n v="129600"/>
    <n v="129578.32"/>
    <n v="99.983271604938267"/>
    <n v="129191.92"/>
    <n v="99.685123456790123"/>
  </r>
  <r>
    <s v="Jubilant Foodworks Ltd (JFL)"/>
    <s v="Alert"/>
    <s v="Jagadisha R"/>
    <s v="PRO/INC/56668"/>
    <s v="aps went down"/>
    <s v="Meraki Managed Services"/>
    <s v="Software / Configuration"/>
    <s v="Greater Noida"/>
    <s v="Q5AA-LCK3-FDNW"/>
    <x v="77"/>
    <s v="NA"/>
    <s v="AP"/>
    <s v="JFL-GNSC-AP37"/>
    <s v="CW9162I"/>
    <s v="wireless-31-1-7"/>
    <m/>
    <s v="Non-Core"/>
    <s v="Closed"/>
    <x v="2"/>
    <s v="power issue"/>
    <s v="Ap went down due to client side activity"/>
    <d v="2026-07-04T18:04:42"/>
    <d v="2026-07-08T10:34:00"/>
    <n v="5309.3"/>
    <d v="2026-07-04T18:04:43"/>
    <n v="0.02"/>
    <n v="30"/>
    <s v="SLA Met"/>
    <d v="2026-07-04T18:14:35"/>
    <d v="2026-07-08T10:32:31"/>
    <n v="5297.93"/>
    <n v="11.37"/>
    <n v="120"/>
    <s v="SLA Met"/>
    <m/>
    <n v="129600"/>
    <n v="129588.63"/>
    <n v="99.991226851851849"/>
    <n v="124302.07"/>
    <n v="95.912091049382724"/>
  </r>
  <r>
    <s v="Jubilant Foodworks Ltd (JFL)"/>
    <s v="Alert"/>
    <s v="Jagadisha R"/>
    <s v="PRO/INC/56671"/>
    <s v="aps went down"/>
    <s v="Meraki Managed Services"/>
    <s v="Software / Configuration"/>
    <s v="Greater Noida"/>
    <s v="Q5AA-EZ6A-S56Y"/>
    <x v="84"/>
    <s v="NA"/>
    <s v="AP"/>
    <s v="JFL-GNSC-AP42"/>
    <s v="CW9162I"/>
    <s v="wireless-31-1-7"/>
    <m/>
    <s v="Non-Core"/>
    <s v="Closed"/>
    <x v="0"/>
    <s v="power issue"/>
    <s v="power issue AP came up"/>
    <d v="2026-07-04T18:50:13"/>
    <d v="2026-07-04T19:50:00"/>
    <n v="59.78"/>
    <d v="2026-07-04T18:50:14"/>
    <n v="0.02"/>
    <n v="30"/>
    <s v="SLA Met"/>
    <d v="2026-07-04T18:55:39"/>
    <d v="2026-07-04T19:40:42"/>
    <n v="45.05"/>
    <n v="14.73"/>
    <n v="120"/>
    <s v="SLA Met"/>
    <m/>
    <n v="129600"/>
    <n v="129585.27"/>
    <n v="99.988634259259257"/>
    <n v="129554.95"/>
    <n v="99.965239197530863"/>
  </r>
  <r>
    <s v="Jubilant Foodworks Ltd (JFL)"/>
    <s v="Alert"/>
    <s v="Shresth Kushwaha"/>
    <s v="PRO/INC/56675"/>
    <s v="aps went down"/>
    <s v="Meraki Managed Services"/>
    <s v="Software / Configuration"/>
    <s v="Greater Noida"/>
    <s v="Q5AR-527V-Z8YR"/>
    <x v="144"/>
    <s v="NA"/>
    <s v="AP"/>
    <s v="JFL-GNSC-AP23"/>
    <s v="CW9166I"/>
    <s v="wireless-31-1-7"/>
    <m/>
    <s v="Non-Core"/>
    <s v="Closed"/>
    <x v="2"/>
    <s v="client-side activity"/>
    <s v="AP went down due to client side activity."/>
    <d v="2026-07-04T21:16:50"/>
    <d v="2026-07-08T10:06:00"/>
    <n v="5089.17"/>
    <d v="2026-07-04T21:16:51"/>
    <n v="0.02"/>
    <n v="30"/>
    <s v="SLA Met"/>
    <d v="2026-07-04T21:21:21"/>
    <d v="2026-07-08T10:05:30"/>
    <n v="5084.1499999999996"/>
    <n v="5.0199999999999996"/>
    <n v="120"/>
    <s v="SLA Met"/>
    <m/>
    <n v="129600"/>
    <n v="129594.98"/>
    <n v="99.996126543209868"/>
    <n v="124515.85"/>
    <n v="96.077044753086426"/>
  </r>
  <r>
    <s v="Jubilant Foodworks Ltd (JFL)"/>
    <s v="Alert"/>
    <s v="Shresth Kushwaha"/>
    <s v="PRO/INC/56679"/>
    <s v="aps went down"/>
    <s v="Meraki Managed Services"/>
    <s v="Software / Configuration"/>
    <s v="Greater Noida"/>
    <s v="Q5AR-527V-Z8YR"/>
    <x v="144"/>
    <s v="NA"/>
    <s v="AP"/>
    <s v="JFL-GNSC-AP23"/>
    <s v="CW9166I"/>
    <s v="wireless-31-1-7"/>
    <m/>
    <s v="Non-Core"/>
    <s v="Closed"/>
    <x v="2"/>
    <s v="Client-side activity ."/>
    <s v="AP went down due to client-side activity."/>
    <d v="2026-07-04T22:07:23"/>
    <d v="2026-07-08T10:05:00"/>
    <n v="5037.62"/>
    <d v="2026-07-04T22:07:24"/>
    <n v="0.02"/>
    <n v="30"/>
    <s v="SLA Met"/>
    <d v="2026-07-04T22:09:57"/>
    <d v="2026-07-08T10:03:28"/>
    <n v="5033.5200000000004"/>
    <n v="4.0999999999999996"/>
    <n v="120"/>
    <s v="SLA Met"/>
    <m/>
    <n v="129600"/>
    <n v="129595.9"/>
    <n v="99.99683641975308"/>
    <n v="124566.48"/>
    <n v="96.11611111111111"/>
  </r>
  <r>
    <s v="Jubilant Foodworks Ltd (JFL)"/>
    <s v="Alert"/>
    <s v="Shresth Kushwaha"/>
    <s v="PRO/INC/56684"/>
    <s v="aps went down"/>
    <s v="Meraki Managed Services"/>
    <s v="Software / Configuration"/>
    <s v="Greater Noida"/>
    <s v="Q5AA-GHXM-TRTK"/>
    <x v="78"/>
    <s v="NA"/>
    <s v="AP"/>
    <s v="JFL-GNSC-AP20"/>
    <s v="CW9162I"/>
    <s v="wireless-31-1-7"/>
    <m/>
    <s v="Non-Core"/>
    <s v="Closed"/>
    <x v="0"/>
    <s v="power issue"/>
    <s v="power issue"/>
    <d v="2026-07-05T03:30:33"/>
    <d v="2026-07-07T09:45:00"/>
    <n v="3254.45"/>
    <d v="2026-07-05T03:30:34"/>
    <n v="0.02"/>
    <n v="30"/>
    <s v="SLA Met"/>
    <d v="2026-07-05T03:53:05"/>
    <d v="2026-07-07T09:44:40"/>
    <n v="3231.58"/>
    <n v="22.87"/>
    <n v="120"/>
    <s v="SLA Met"/>
    <m/>
    <n v="129600"/>
    <n v="129577.13"/>
    <n v="99.982353395061736"/>
    <n v="126368.42"/>
    <n v="97.506496913580236"/>
  </r>
  <r>
    <s v="Jubilant Foodworks Ltd (JFL)"/>
    <s v="Alert"/>
    <s v="Kartik Choudhary"/>
    <s v="PRO/INC/56778"/>
    <s v="aps went down"/>
    <s v="Meraki Managed Services"/>
    <s v="Software / Configuration"/>
    <s v="Greater Noida"/>
    <s v="Q5AA-GJ47-DK5X"/>
    <x v="95"/>
    <s v="NA"/>
    <s v="AP"/>
    <s v="JFL-GNSC-AP28"/>
    <s v="CW9162I"/>
    <s v="wireless-31-1-7"/>
    <m/>
    <s v="Non-Core"/>
    <s v="Closed"/>
    <x v="2"/>
    <s v="Client-side activity (migration activity)"/>
    <s v="due to Client site migration activity AP went down"/>
    <d v="2026-07-05T11:19:04"/>
    <d v="2026-07-05T21:29:00"/>
    <n v="609.92999999999995"/>
    <d v="2026-07-05T11:19:05"/>
    <n v="0.02"/>
    <n v="30"/>
    <s v="SLA Met"/>
    <d v="2026-07-05T11:27:15"/>
    <d v="2026-07-05T21:27:29"/>
    <n v="600.23"/>
    <n v="9.6999999999999993"/>
    <n v="120"/>
    <s v="SLA Met"/>
    <m/>
    <n v="129600"/>
    <n v="129590.3"/>
    <n v="99.99251543209877"/>
    <n v="128999.77"/>
    <n v="99.536859567901232"/>
  </r>
  <r>
    <s v="Jubilant Foodworks Ltd (JFL)"/>
    <s v="Alert"/>
    <s v="Kartik Choudhary"/>
    <s v="PRO/INC/56777"/>
    <s v="aps went down"/>
    <s v="Meraki Managed Services"/>
    <s v="Software / Configuration"/>
    <s v="Greater Noida"/>
    <s v="Q5AA-FRBE-94N5"/>
    <x v="47"/>
    <s v="NA"/>
    <s v="AP"/>
    <s v="JFL-GNSC-AP27"/>
    <s v="CW9162I"/>
    <s v="wireless-31-1-7"/>
    <m/>
    <s v="Non-Core"/>
    <s v="Closed"/>
    <x v="2"/>
    <s v="Client-side activity (migration activity)"/>
    <s v="due to Client site migration activity AP went down"/>
    <d v="2026-07-05T11:19:04"/>
    <d v="2026-07-05T21:32:00"/>
    <n v="612.92999999999995"/>
    <d v="2026-07-05T11:19:05"/>
    <n v="0.02"/>
    <n v="30"/>
    <s v="SLA Met"/>
    <d v="2026-07-05T11:25:50"/>
    <d v="2026-07-05T21:29:58"/>
    <n v="604.13"/>
    <n v="8.8000000000000007"/>
    <n v="120"/>
    <s v="SLA Met"/>
    <m/>
    <n v="129600"/>
    <n v="129591.2"/>
    <n v="99.993209876543204"/>
    <n v="128995.87"/>
    <n v="99.533850308641973"/>
  </r>
  <r>
    <s v="Jubilant Foodworks Ltd (JFL)"/>
    <s v="Alert"/>
    <s v="Rohit Mourya"/>
    <s v="PRO/INC/56826"/>
    <s v="aps went down"/>
    <s v="Meraki Managed Services"/>
    <s v="Software / Configuration"/>
    <s v="Mohali"/>
    <s v="Q5AA-GMN6-UE62"/>
    <x v="118"/>
    <s v="NA"/>
    <s v="AP"/>
    <s v="JFL-Mohali-SCC-AP02"/>
    <s v="CW9162I"/>
    <s v="wireless-31-1-7"/>
    <m/>
    <s v="Non-Core"/>
    <s v="Closed"/>
    <x v="2"/>
    <s v="power issue"/>
    <s v="Generator migration activity at client site"/>
    <d v="2026-07-05T12:02:06"/>
    <d v="2026-07-05T21:35:00"/>
    <n v="572.9"/>
    <d v="2026-07-05T12:02:08"/>
    <n v="0.03"/>
    <n v="30"/>
    <s v="SLA Met"/>
    <d v="2026-07-05T12:03:37"/>
    <d v="2026-07-05T21:32:46"/>
    <n v="569.15"/>
    <n v="3.75"/>
    <n v="120"/>
    <s v="SLA Met"/>
    <m/>
    <n v="129600"/>
    <n v="129596.25"/>
    <n v="99.997106481481481"/>
    <n v="129030.85"/>
    <n v="99.560841049382717"/>
  </r>
  <r>
    <s v="Jubilant Foodworks Ltd (JFL)"/>
    <s v="Alert"/>
    <s v="Kartik Choudhary"/>
    <s v="PRO/INC/56828"/>
    <s v="aps went down"/>
    <s v="Meraki Managed Services"/>
    <s v="Software / Configuration"/>
    <s v="Mohali"/>
    <s v="Q5AA-PHPN-4452"/>
    <x v="145"/>
    <s v="NA"/>
    <s v="AP"/>
    <s v="JFL-Mohali-SCC-AP08"/>
    <s v="CW9162I"/>
    <s v="wireless-31-1-7"/>
    <m/>
    <s v="Non-Core"/>
    <s v="Closed"/>
    <x v="2"/>
    <s v="power issue"/>
    <s v="Generator migration activity at client site"/>
    <d v="2026-07-05T12:02:16"/>
    <d v="2026-07-05T21:39:00"/>
    <n v="576.73"/>
    <d v="2026-07-05T12:02:17"/>
    <n v="0.02"/>
    <n v="30"/>
    <s v="SLA Met"/>
    <d v="2026-07-05T12:05:54"/>
    <d v="2026-07-05T21:36:52"/>
    <n v="570.97"/>
    <n v="5.77"/>
    <n v="120"/>
    <s v="SLA Met"/>
    <m/>
    <n v="129600"/>
    <n v="129594.23"/>
    <n v="99.995547839506173"/>
    <n v="129029.03"/>
    <n v="99.559436728395056"/>
  </r>
  <r>
    <s v="Jubilant Foodworks Ltd (JFL)"/>
    <s v="Alert"/>
    <s v="Kartik Choudhary"/>
    <s v="PRO/INC/56827"/>
    <s v="aps went down"/>
    <s v="Meraki Managed Services"/>
    <s v="Software / Configuration"/>
    <s v="Mohali"/>
    <s v="Q5AA-V3D8-DKEG"/>
    <x v="74"/>
    <s v="NA"/>
    <s v="AP"/>
    <s v="JFL-Mohali-SCC-AP05"/>
    <s v="CW9162I"/>
    <s v="wireless-31-1-7"/>
    <m/>
    <s v="Non-Core"/>
    <s v="Closed"/>
    <x v="2"/>
    <s v="power issue"/>
    <s v="Generator migration activity at client site"/>
    <d v="2026-07-05T12:02:16"/>
    <d v="2026-07-05T21:37:00"/>
    <n v="574.73"/>
    <d v="2026-07-05T12:02:17"/>
    <n v="0.02"/>
    <n v="30"/>
    <s v="SLA Met"/>
    <d v="2026-07-05T12:04:40"/>
    <d v="2026-07-05T21:35:28"/>
    <n v="570.79999999999995"/>
    <n v="3.93"/>
    <n v="120"/>
    <s v="SLA Met"/>
    <m/>
    <n v="129600"/>
    <n v="129596.07"/>
    <n v="99.996967592592597"/>
    <n v="129029.2"/>
    <n v="99.559567901234573"/>
  </r>
  <r>
    <s v="Jubilant Foodworks Ltd (JFL)"/>
    <s v="Alert"/>
    <s v="Kartik Choudhary"/>
    <s v="PRO/INC/56829"/>
    <s v="aps went down"/>
    <s v="Meraki Managed Services"/>
    <s v="Software / Configuration"/>
    <s v="Mohali"/>
    <s v="Q5AR-A7VQ-MZJM"/>
    <x v="30"/>
    <s v="NA"/>
    <s v="AP"/>
    <s v="JFL-Mohali-SCC-AP13"/>
    <s v="CW9166I"/>
    <s v="wireless-31-1-7"/>
    <m/>
    <s v="Non-Core"/>
    <s v="Closed"/>
    <x v="2"/>
    <s v="power issue"/>
    <s v="Generator migration activity at client site"/>
    <d v="2026-07-05T12:02:20"/>
    <d v="2026-07-05T21:45:00"/>
    <n v="582.66999999999996"/>
    <d v="2026-07-05T12:02:21"/>
    <n v="0.02"/>
    <n v="30"/>
    <s v="SLA Met"/>
    <d v="2026-07-05T12:06:51"/>
    <d v="2026-07-05T21:41:31"/>
    <n v="574.66999999999996"/>
    <n v="8"/>
    <n v="120"/>
    <s v="SLA Met"/>
    <m/>
    <n v="129600"/>
    <n v="129592"/>
    <n v="99.993827160493836"/>
    <n v="129025.33"/>
    <n v="99.55658179012346"/>
  </r>
  <r>
    <s v="Jubilant Foodworks Ltd (JFL)"/>
    <s v="Alert"/>
    <s v="Kartik Choudhary"/>
    <s v="PRO/INC/56834"/>
    <s v="aps went down"/>
    <s v="Meraki Managed Services"/>
    <s v="Software / Configuration"/>
    <s v="Greater Noida"/>
    <s v="Q5AA-H6R3-LUMM"/>
    <x v="107"/>
    <s v="NA"/>
    <s v="AP"/>
    <s v="JFL-GNSC-AP26"/>
    <s v="CW9162I"/>
    <s v="wireless-31-1-7"/>
    <m/>
    <s v="Non-Core"/>
    <s v="Closed"/>
    <x v="2"/>
    <s v="Client-side activity (migration activity)"/>
    <s v="due to Client site migration activity AP went down"/>
    <d v="2026-07-05T12:07:57"/>
    <d v="2026-07-05T21:45:00"/>
    <n v="577.04999999999995"/>
    <d v="2026-07-05T12:07:58"/>
    <n v="0.02"/>
    <n v="30"/>
    <s v="SLA Met"/>
    <d v="2026-07-05T12:13:34"/>
    <d v="2026-07-05T21:41:34"/>
    <n v="568"/>
    <n v="9.0500000000000007"/>
    <n v="120"/>
    <s v="SLA Met"/>
    <m/>
    <n v="129600"/>
    <n v="129590.95"/>
    <n v="99.993016975308635"/>
    <n v="129032"/>
    <n v="99.561728395061735"/>
  </r>
  <r>
    <s v="Jubilant Foodworks Ltd (JFL)"/>
    <s v="Alert"/>
    <s v="Rohit Mourya"/>
    <s v="PRO/INC/56838"/>
    <s v="aps went down"/>
    <s v="Meraki Managed Services"/>
    <s v="Software / Configuration"/>
    <s v="Greater Noida"/>
    <s v="Q3KG-J4EF-KZ54"/>
    <x v="46"/>
    <s v="NA"/>
    <s v="AP"/>
    <s v="JFL-GNSC-AP62"/>
    <s v="MR86"/>
    <s v="wireless-31-1-7"/>
    <m/>
    <s v="Non-Core"/>
    <s v="Closed"/>
    <x v="2"/>
    <s v="Client-side activity (migration activity)"/>
    <s v="Client-side activity (migration activity)"/>
    <d v="2026-07-05T12:35:32"/>
    <d v="2026-07-08T10:49:00"/>
    <n v="4213.47"/>
    <d v="2026-07-05T12:35:33"/>
    <n v="0.02"/>
    <n v="30"/>
    <s v="SLA Met"/>
    <d v="2026-07-05T12:47:20"/>
    <d v="2026-07-08T10:47:06"/>
    <n v="4199.7700000000004"/>
    <n v="13.7"/>
    <n v="120"/>
    <s v="SLA Met"/>
    <m/>
    <n v="129600"/>
    <n v="129586.3"/>
    <n v="99.989429012345681"/>
    <n v="125400.23"/>
    <n v="96.759436728395059"/>
  </r>
  <r>
    <s v="Jubilant Foodworks Ltd (JFL)"/>
    <s v="Alert"/>
    <s v="Rohit Mourya"/>
    <s v="PRO/INC/56840"/>
    <s v="aps went down"/>
    <s v="Meraki Managed Services"/>
    <s v="Software / Configuration"/>
    <s v="Greater Noida"/>
    <s v="Q3KG-X73V-EYFZ"/>
    <x v="146"/>
    <s v="NA"/>
    <s v="AP"/>
    <s v="JFL-GNSC-AP61"/>
    <s v="MR86"/>
    <s v="wireless-31-1-7"/>
    <m/>
    <s v="Non-Core"/>
    <s v="Closed"/>
    <x v="2"/>
    <s v="Client-side activity (migration activity)"/>
    <s v="Client-side activity (migration activity)"/>
    <d v="2026-07-05T12:36:21"/>
    <d v="2026-07-08T10:47:00"/>
    <n v="4210.6499999999996"/>
    <d v="2026-07-05T12:36:22"/>
    <n v="0.02"/>
    <n v="30"/>
    <s v="SLA Met"/>
    <d v="2026-07-05T12:48:47"/>
    <d v="2026-07-08T10:45:53"/>
    <n v="4197.1000000000004"/>
    <n v="13.55"/>
    <n v="120"/>
    <s v="SLA Met"/>
    <m/>
    <n v="129600"/>
    <n v="129586.45"/>
    <n v="99.989544753086406"/>
    <n v="125402.9"/>
    <n v="96.761496913580245"/>
  </r>
  <r>
    <s v="Jubilant Foodworks Ltd (JFL)"/>
    <s v="Alert"/>
    <s v="Rohit Mourya"/>
    <s v="PRO/INC/56843"/>
    <s v="aps went down"/>
    <s v="Meraki Managed Services"/>
    <s v="Software / Configuration"/>
    <s v="Greater Noida"/>
    <s v="Q5AA-U98X-3FD7"/>
    <x v="50"/>
    <s v="NA"/>
    <s v="AP"/>
    <s v="JFL-GNSC-AP35"/>
    <s v="CW9162I"/>
    <s v="wireless-31-1-7"/>
    <m/>
    <s v="Non-Core"/>
    <s v="Closed"/>
    <x v="2"/>
    <s v="Client-side activity (migration activity)"/>
    <s v="Client-side activity (migration activity)"/>
    <d v="2026-07-05T12:40:02"/>
    <d v="2026-07-08T10:46:00"/>
    <n v="4205.97"/>
    <d v="2026-07-05T12:40:03"/>
    <n v="0.02"/>
    <n v="30"/>
    <s v="SLA Met"/>
    <d v="2026-07-05T12:51:40"/>
    <d v="2026-07-08T10:44:58"/>
    <n v="4193.3"/>
    <n v="12.67"/>
    <n v="120"/>
    <s v="SLA Met"/>
    <m/>
    <n v="129600"/>
    <n v="129587.33"/>
    <n v="99.990223765432091"/>
    <n v="125406.7"/>
    <n v="96.764429012345673"/>
  </r>
  <r>
    <s v="Jubilant Foodworks Ltd (JFL)"/>
    <s v="Alert"/>
    <s v="Rohit Mourya"/>
    <s v="PRO/INC/56845"/>
    <s v="aps went down"/>
    <s v="Meraki Managed Services"/>
    <s v="Software / Configuration"/>
    <s v="Greater Noida"/>
    <s v="Q3KG-6BJV-TZA3"/>
    <x v="68"/>
    <s v="NA"/>
    <s v="AP"/>
    <s v="JFL-GNSC-AP53"/>
    <s v="MR86"/>
    <s v="wireless-31-1-7"/>
    <m/>
    <s v="Non-Core"/>
    <s v="Closed"/>
    <x v="2"/>
    <s v="Client-side activity (migration activity)"/>
    <s v="Client-side activity (migration activity)"/>
    <d v="2026-07-05T12:46:24"/>
    <d v="2026-07-08T10:45:00"/>
    <n v="4198.6000000000004"/>
    <d v="2026-07-05T12:46:25"/>
    <n v="0.02"/>
    <n v="30"/>
    <s v="SLA Met"/>
    <d v="2026-07-05T12:52:49"/>
    <d v="2026-07-08T10:44:01"/>
    <n v="4191.2"/>
    <n v="7.4"/>
    <n v="120"/>
    <s v="SLA Met"/>
    <m/>
    <n v="129600"/>
    <n v="129592.6"/>
    <n v="99.994290123456793"/>
    <n v="125408.8"/>
    <n v="96.766049382716048"/>
  </r>
  <r>
    <s v="Jubilant Foodworks Ltd (JFL)"/>
    <s v="Alert"/>
    <s v="Rohit Mourya"/>
    <s v="PRO/INC/56847"/>
    <s v="aps went down"/>
    <s v="Meraki Managed Services"/>
    <s v="Software / Configuration"/>
    <s v="Greater Noida"/>
    <s v="Q5AA-DEJD-R4N5"/>
    <x v="99"/>
    <s v="NA"/>
    <s v="AP"/>
    <s v="JFL-GNSC-AP67"/>
    <s v="CW9162I"/>
    <s v="wireless-31-1-7"/>
    <m/>
    <s v="Non-Core"/>
    <s v="Closed"/>
    <x v="2"/>
    <s v="Client-side activity (migration activity)"/>
    <s v="Client-side activity (migration activity)"/>
    <d v="2026-07-05T12:47:52"/>
    <d v="2026-07-08T10:44:00"/>
    <n v="4196.13"/>
    <d v="2026-07-05T12:47:53"/>
    <n v="0.02"/>
    <n v="30"/>
    <s v="SLA Met"/>
    <d v="2026-07-05T12:54:01"/>
    <d v="2026-07-08T10:42:58"/>
    <n v="4188.95"/>
    <n v="7.18"/>
    <n v="120"/>
    <s v="SLA Met"/>
    <m/>
    <n v="129600"/>
    <n v="129592.82"/>
    <n v="99.994459876543218"/>
    <n v="125411.05"/>
    <n v="96.767785493827162"/>
  </r>
  <r>
    <s v="Jubilant Foodworks Ltd (JFL)"/>
    <s v="Alert"/>
    <s v="Rohit Mourya"/>
    <s v="PRO/INC/56849"/>
    <s v="aps went down"/>
    <s v="Meraki Managed Services"/>
    <s v="Software / Configuration"/>
    <s v="Greater Noida"/>
    <s v="Q5AR-527V-Z8YR"/>
    <x v="144"/>
    <s v="NA"/>
    <s v="AP"/>
    <s v="JFL-GNSC-AP23"/>
    <s v="CW9166I"/>
    <s v="wireless-31-1-7"/>
    <m/>
    <s v="Non-Core"/>
    <s v="Closed"/>
    <x v="2"/>
    <s v="Client-side activity (migration activity)"/>
    <s v="Client-side activity (migration activity)"/>
    <d v="2026-07-05T12:48:13"/>
    <d v="2026-07-08T10:43:00"/>
    <n v="4194.78"/>
    <d v="2026-07-05T12:48:14"/>
    <n v="0.02"/>
    <n v="30"/>
    <s v="SLA Met"/>
    <d v="2026-07-05T12:55:01"/>
    <d v="2026-07-08T10:41:56"/>
    <n v="4186.92"/>
    <n v="7.87"/>
    <n v="120"/>
    <s v="SLA Met"/>
    <m/>
    <n v="129600"/>
    <n v="129592.13"/>
    <n v="99.993927469135798"/>
    <n v="125413.08"/>
    <n v="96.769351851851852"/>
  </r>
  <r>
    <s v="Jubilant Foodworks Ltd (JFL)"/>
    <s v="Alert"/>
    <s v="Rohit Mourya"/>
    <s v="PRO/INC/56851"/>
    <s v="aps went down"/>
    <s v="Meraki Managed Services"/>
    <s v="Software / Configuration"/>
    <s v="Greater Noida"/>
    <s v="Q5AA-C4TF-5ZA8"/>
    <x v="48"/>
    <s v="NA"/>
    <s v="AP"/>
    <s v="JFL-GNSC-AP33"/>
    <s v="CW9162I"/>
    <s v="wireless-31-1-7"/>
    <m/>
    <s v="Non-Core"/>
    <s v="Closed"/>
    <x v="2"/>
    <s v="Client-side activity (migration activity)"/>
    <s v="Client-side activity (migration activity)"/>
    <d v="2026-07-05T12:49:13"/>
    <d v="2026-07-08T10:42:00"/>
    <n v="4192.78"/>
    <d v="2026-07-05T12:49:14"/>
    <n v="0.02"/>
    <n v="30"/>
    <s v="SLA Met"/>
    <d v="2026-07-05T12:50:27"/>
    <d v="2026-07-08T10:40:58"/>
    <n v="4190.5200000000004"/>
    <n v="2.27"/>
    <n v="120"/>
    <s v="SLA Met"/>
    <m/>
    <n v="129600"/>
    <n v="129597.73"/>
    <n v="99.998248456790122"/>
    <n v="125409.48"/>
    <n v="96.766574074074072"/>
  </r>
  <r>
    <s v="Jubilant Foodworks Ltd (JFL)"/>
    <s v="Alert"/>
    <s v="Rohit Mourya"/>
    <s v="PRO/INC/56853"/>
    <s v="aps went down"/>
    <s v="Meraki Managed Services"/>
    <s v="Software / Configuration"/>
    <s v="Greater Noida"/>
    <s v="Q3KG-D56U-BSMY"/>
    <x v="147"/>
    <s v="NA"/>
    <s v="AP"/>
    <s v="JFL-GNSC-AP58"/>
    <s v="MR86"/>
    <s v="wireless-31-1-7"/>
    <m/>
    <s v="Non-Core"/>
    <s v="Closed"/>
    <x v="2"/>
    <s v="Client-side activity (migration activity)"/>
    <s v="Client-side activity (migration activity)"/>
    <d v="2026-07-05T12:49:53"/>
    <d v="2026-07-08T10:41:00"/>
    <n v="4191.12"/>
    <d v="2026-07-05T12:49:54"/>
    <n v="0.02"/>
    <n v="30"/>
    <s v="SLA Met"/>
    <d v="2026-07-05T12:59:02"/>
    <d v="2026-07-08T10:40:00"/>
    <n v="4180.97"/>
    <n v="10.15"/>
    <n v="120"/>
    <s v="SLA Met"/>
    <m/>
    <n v="129600"/>
    <n v="129589.85"/>
    <n v="99.992168209876553"/>
    <n v="125419.03"/>
    <n v="96.773942901234562"/>
  </r>
  <r>
    <s v="Jubilant Foodworks Ltd (JFL)"/>
    <s v="Alert"/>
    <s v="Rohit Mourya"/>
    <s v="PRO/INC/56855"/>
    <s v="aps went down"/>
    <s v="Meraki Managed Services"/>
    <s v="Software / Configuration"/>
    <s v="Greater Noida"/>
    <s v="Q5AA-TSZZ-HUFQ"/>
    <x v="61"/>
    <s v="NA"/>
    <s v="AP"/>
    <s v="JFL-GNSC-AP34"/>
    <s v="CW9162I"/>
    <s v="wireless-31-1-7"/>
    <m/>
    <s v="Non-Core"/>
    <s v="Closed"/>
    <x v="2"/>
    <s v="Client-side activity (migration activity)"/>
    <s v="Client-side activity (migration activity)"/>
    <d v="2026-07-05T12:50:23"/>
    <d v="2026-07-08T10:40:00"/>
    <n v="4189.62"/>
    <d v="2026-07-05T12:50:24"/>
    <n v="0.02"/>
    <n v="30"/>
    <s v="SLA Met"/>
    <d v="2026-07-05T13:00:02"/>
    <d v="2026-07-08T10:38:22"/>
    <n v="4178.33"/>
    <n v="11.28"/>
    <n v="120"/>
    <s v="SLA Met"/>
    <m/>
    <n v="129600"/>
    <n v="129588.72"/>
    <n v="99.991296296296298"/>
    <n v="125421.67"/>
    <n v="96.775979938271604"/>
  </r>
  <r>
    <s v="Jubilant Foodworks Ltd (JFL)"/>
    <s v="Alert"/>
    <s v="Rohit Mourya"/>
    <s v="PRO/INC/56857"/>
    <s v="aps went down"/>
    <s v="Meraki Managed Services"/>
    <s v="Software / Configuration"/>
    <s v="Greater Noida"/>
    <s v="Q3KG-BTTL-HVZU"/>
    <x v="51"/>
    <s v="NA"/>
    <s v="AP"/>
    <s v="JFL-GNSC-AP59"/>
    <s v="MR86"/>
    <s v="wireless-31-1-7"/>
    <m/>
    <s v="Non-Core"/>
    <s v="Closed"/>
    <x v="2"/>
    <s v="Client-side activity (migration activity)"/>
    <s v="Client-side activity (migration activity)"/>
    <d v="2026-07-05T12:50:33"/>
    <d v="2026-07-08T10:38:00"/>
    <n v="4187.45"/>
    <d v="2026-07-05T12:50:34"/>
    <n v="0.02"/>
    <n v="30"/>
    <s v="SLA Met"/>
    <d v="2026-07-05T13:01:33"/>
    <d v="2026-07-08T10:36:44"/>
    <n v="4175.18"/>
    <n v="12.27"/>
    <n v="120"/>
    <s v="SLA Met"/>
    <m/>
    <n v="129600"/>
    <n v="129587.73"/>
    <n v="99.9905324074074"/>
    <n v="125424.82"/>
    <n v="96.778410493827167"/>
  </r>
  <r>
    <s v="Jubilant Foodworks Ltd (JFL)"/>
    <s v="Alert"/>
    <s v="Rohit Mourya"/>
    <s v="PRO/INC/56859"/>
    <s v="aps went down"/>
    <s v="Meraki Managed Services"/>
    <s v="Software / Configuration"/>
    <s v="Greater Noida"/>
    <s v="Q3KG-DGB7-HMVP"/>
    <x v="148"/>
    <s v="NA"/>
    <s v="AP"/>
    <s v="JFL-GNSC-AP57"/>
    <s v="MR86"/>
    <s v="wireless-31-1-7"/>
    <m/>
    <s v="Non-Core"/>
    <s v="Closed"/>
    <x v="2"/>
    <s v="Client-side activity (migration activity)"/>
    <s v="Client-side activity (migration activity)"/>
    <d v="2026-07-05T12:51:04"/>
    <d v="2026-07-08T10:37:00"/>
    <n v="4185.93"/>
    <d v="2026-07-05T12:51:05"/>
    <n v="0.02"/>
    <n v="30"/>
    <s v="SLA Met"/>
    <d v="2026-07-05T12:56:58"/>
    <d v="2026-07-08T10:35:50"/>
    <n v="4178.87"/>
    <n v="7.07"/>
    <n v="120"/>
    <s v="SLA Met"/>
    <m/>
    <n v="129600"/>
    <n v="129592.93"/>
    <n v="99.994544753086416"/>
    <n v="125421.13"/>
    <n v="96.775563271604938"/>
  </r>
  <r>
    <s v="Jubilant Foodworks Ltd (JFL)"/>
    <s v="Alert"/>
    <s v="Rohit Mourya"/>
    <s v="PRO/INC/56862"/>
    <s v="aps went down"/>
    <s v="Meraki Managed Services"/>
    <s v="Software / Configuration"/>
    <s v="Greater Noida"/>
    <s v="Q3KG-8U94-FMUC"/>
    <x v="35"/>
    <s v="NA"/>
    <s v="AP"/>
    <s v="JFL-GNSC-AP56"/>
    <s v="MR86"/>
    <s v="wireless-31-1-7"/>
    <m/>
    <s v="Non-Core"/>
    <s v="Closed"/>
    <x v="2"/>
    <s v="Client-side activity (migration activity)"/>
    <s v="Client-side activity (migration activity)"/>
    <d v="2026-07-05T12:55:54"/>
    <d v="2026-07-08T10:36:00"/>
    <n v="4180.1000000000004"/>
    <d v="2026-07-05T12:55:55"/>
    <n v="0.02"/>
    <n v="30"/>
    <s v="SLA Met"/>
    <d v="2026-07-05T13:02:50"/>
    <d v="2026-07-08T10:34:51"/>
    <n v="4172.0200000000004"/>
    <n v="8.08"/>
    <n v="120"/>
    <s v="SLA Met"/>
    <m/>
    <n v="129600"/>
    <n v="129591.92"/>
    <n v="99.993765432098769"/>
    <n v="125427.98"/>
    <n v="96.780848765432097"/>
  </r>
  <r>
    <s v="Jubilant Foodworks Ltd (JFL)"/>
    <s v="Alert"/>
    <s v="Kartik Choudhary"/>
    <s v="PRO/INC/56861"/>
    <s v="aps went down"/>
    <s v="Meraki Managed Services"/>
    <s v="Software / Configuration"/>
    <s v="Greater Noida"/>
    <s v="Q5AA-ASYH-AKEA"/>
    <x v="85"/>
    <s v="NA"/>
    <s v="AP"/>
    <s v="JFL-GNSC-AP22"/>
    <s v="CW9162I"/>
    <s v="wireless-31-1-7"/>
    <m/>
    <s v="Non-Core"/>
    <s v="Closed"/>
    <x v="2"/>
    <s v="Client-side activity (migration activity)"/>
    <s v="due to Client site migration activity AP went down"/>
    <d v="2026-07-05T12:55:54"/>
    <d v="2026-07-05T22:00:00"/>
    <n v="544.1"/>
    <d v="2026-07-05T12:55:55"/>
    <n v="0.02"/>
    <n v="30"/>
    <s v="SLA Met"/>
    <d v="2026-07-05T13:04:24"/>
    <d v="2026-07-05T21:58:07"/>
    <n v="533.72"/>
    <n v="10.38"/>
    <n v="120"/>
    <s v="SLA Met"/>
    <m/>
    <n v="129600"/>
    <n v="129589.62"/>
    <n v="99.991990740740732"/>
    <n v="129066.28"/>
    <n v="99.588179012345677"/>
  </r>
  <r>
    <s v="Jubilant Foodworks Ltd (JFL)"/>
    <s v="Alert"/>
    <s v="Kartik Choudhary"/>
    <s v="PRO/INC/56863"/>
    <s v="aps went down"/>
    <s v="Meraki Managed Services"/>
    <s v="Software / Configuration"/>
    <s v="Greater Noida"/>
    <s v="Q5AA-EZ6A-S56Y"/>
    <x v="84"/>
    <s v="NA"/>
    <s v="AP"/>
    <s v="JFL-GNSC-AP42"/>
    <s v="CW9162I"/>
    <s v="wireless-31-1-7"/>
    <m/>
    <s v="Non-Core"/>
    <s v="Closed"/>
    <x v="2"/>
    <s v="Client-side activity (migration activity)"/>
    <s v="due to Client site migration activity AP went down"/>
    <d v="2026-07-05T12:56:04"/>
    <d v="2026-07-05T22:02:00"/>
    <n v="545.92999999999995"/>
    <d v="2026-07-05T12:56:05"/>
    <n v="0.02"/>
    <n v="30"/>
    <s v="SLA Met"/>
    <d v="2026-07-05T13:05:30"/>
    <d v="2026-07-05T22:00:05"/>
    <n v="534.58000000000004"/>
    <n v="11.35"/>
    <n v="120"/>
    <s v="SLA Met"/>
    <m/>
    <n v="129600"/>
    <n v="129588.65"/>
    <n v="99.991242283950612"/>
    <n v="129065.42"/>
    <n v="99.587515432098755"/>
  </r>
  <r>
    <s v="Jubilant Foodworks Ltd (JFL)"/>
    <s v="Alert"/>
    <s v="Rohit Mourya"/>
    <s v="PRO/INC/56866"/>
    <s v="aps went down"/>
    <s v="Meraki Managed Services"/>
    <s v="Software / Configuration"/>
    <s v="Greater Noida"/>
    <s v="Q5AA-JYZN-6KKB"/>
    <x v="45"/>
    <s v="NA"/>
    <s v="AP"/>
    <s v="JFL-GNSC-AP66"/>
    <s v="CW9162I"/>
    <s v="wireless-31-1-7"/>
    <m/>
    <s v="Non-Core"/>
    <s v="Closed"/>
    <x v="2"/>
    <s v="Client-side activity (migration activity)"/>
    <s v="Client-side activity (migration activity)"/>
    <d v="2026-07-05T12:57:05"/>
    <d v="2026-07-08T10:35:00"/>
    <n v="4177.92"/>
    <d v="2026-07-05T12:57:06"/>
    <n v="0.02"/>
    <n v="30"/>
    <s v="SLA Met"/>
    <d v="2026-07-05T13:06:30"/>
    <d v="2026-07-08T10:33:52"/>
    <n v="4167.37"/>
    <n v="10.55"/>
    <n v="120"/>
    <s v="SLA Met"/>
    <m/>
    <n v="129600"/>
    <n v="129589.45"/>
    <n v="99.99185956790123"/>
    <n v="125432.63"/>
    <n v="96.784436728395065"/>
  </r>
  <r>
    <s v="Jubilant Foodworks Ltd (JFL)"/>
    <s v="Alert"/>
    <s v="Rohit Mourya"/>
    <s v="PRO/INC/56885"/>
    <s v="switches went down"/>
    <s v="Meraki Managed Services"/>
    <s v="Software / Configuration"/>
    <s v="Guwahati"/>
    <s v="Q5JG-ECTW-5MN7"/>
    <x v="21"/>
    <s v="CORE"/>
    <s v="SW"/>
    <s v="JFL-Guwahati-CORE-01"/>
    <s v="C9300L-24P-4X"/>
    <s v="IOS XE 17.15.5"/>
    <m/>
    <s v="Core"/>
    <s v="Closed"/>
    <x v="0"/>
    <s v="power issue"/>
    <s v="power issue"/>
    <d v="2026-07-05T17:58:25"/>
    <d v="2026-07-06T16:08:00"/>
    <n v="1329.58"/>
    <d v="2026-07-05T17:58:26"/>
    <n v="0.02"/>
    <n v="30"/>
    <s v="SLA Met"/>
    <d v="2026-07-05T18:00:21"/>
    <d v="2026-07-06T16:06:59"/>
    <n v="1326.63"/>
    <n v="2.95"/>
    <n v="120"/>
    <s v="SLA Met"/>
    <m/>
    <n v="129600"/>
    <n v="129597.05"/>
    <n v="99.997723765432099"/>
    <n v="128273.37"/>
    <n v="98.976365740740732"/>
  </r>
  <r>
    <s v="Jubilant Foodworks Ltd (JFL)"/>
    <s v="Alert"/>
    <s v="Rohit Mourya"/>
    <s v="PRO/INC/56886"/>
    <s v="aps went down"/>
    <s v="Meraki Managed Services"/>
    <s v="Software / Configuration"/>
    <s v="Guwahati"/>
    <s v="Q5AA-RM28-C2R8"/>
    <x v="2"/>
    <s v="NA"/>
    <s v="AP"/>
    <s v="JFL-Guwahati-SSC-AP-03"/>
    <s v="CW9162I"/>
    <s v="MR 32.1.7"/>
    <m/>
    <s v="Non-Core"/>
    <s v="Closed"/>
    <x v="0"/>
    <s v="power issue"/>
    <s v="power issue"/>
    <d v="2026-07-05T17:58:28"/>
    <d v="2026-07-06T16:07:00"/>
    <n v="1328.53"/>
    <d v="2026-07-05T17:58:29"/>
    <n v="0.02"/>
    <n v="30"/>
    <s v="SLA Met"/>
    <d v="2026-07-05T18:01:22"/>
    <d v="2026-07-06T16:05:36"/>
    <n v="1324.23"/>
    <n v="4.3"/>
    <n v="120"/>
    <s v="SLA Met"/>
    <m/>
    <n v="129600"/>
    <n v="129595.7"/>
    <n v="99.996682098765433"/>
    <n v="128275.77"/>
    <n v="98.9782175925926"/>
  </r>
  <r>
    <s v="Jubilant Foodworks Ltd (JFL)"/>
    <s v="Alert"/>
    <s v="Rohit Mourya"/>
    <s v="PRO/INC/56890"/>
    <s v="aps went down"/>
    <s v="Meraki Managed Services"/>
    <s v="Software / Configuration"/>
    <s v="Greater Noida"/>
    <s v="Q3KG-8U94-FMUC"/>
    <x v="35"/>
    <s v="NA"/>
    <s v="AP"/>
    <s v="JFL-GNSC-AP56"/>
    <s v="MR86"/>
    <s v="wireless-31-1-7"/>
    <m/>
    <s v="Non-Core"/>
    <s v="Closed"/>
    <x v="2"/>
    <s v="Client-side activity (migration activity)"/>
    <s v="client side activity"/>
    <d v="2026-07-05T18:34:20"/>
    <d v="2026-07-08T10:34:00"/>
    <n v="3839.67"/>
    <d v="2026-07-05T18:34:21"/>
    <n v="0.02"/>
    <n v="30"/>
    <s v="SLA Met"/>
    <d v="2026-07-05T18:38:53"/>
    <d v="2026-07-08T10:32:29"/>
    <n v="3833.6"/>
    <n v="6.07"/>
    <n v="120"/>
    <s v="SLA Met"/>
    <m/>
    <n v="129600"/>
    <n v="129593.93"/>
    <n v="99.995316358024695"/>
    <n v="125766.39999999999"/>
    <n v="97.041975308641966"/>
  </r>
  <r>
    <s v="Jubilant Foodworks Ltd (JFL)"/>
    <s v="Alert"/>
    <s v="Rohit Mourya"/>
    <s v="PRO/INC/56889"/>
    <s v="aps went down"/>
    <s v="Meraki Managed Services"/>
    <s v="Software / Configuration"/>
    <s v="Greater Noida"/>
    <s v="Q3KG-GWW5-CHJC"/>
    <x v="33"/>
    <s v="NA"/>
    <s v="AP"/>
    <s v="JFL-GNSC-AP52"/>
    <s v="MR86"/>
    <s v="wireless-31-1-7"/>
    <m/>
    <s v="Non-Core"/>
    <s v="Closed"/>
    <x v="2"/>
    <s v="Client-side activity (migration activity)"/>
    <s v="Ap online"/>
    <d v="2026-07-05T18:34:20"/>
    <d v="2026-07-17T13:11:00"/>
    <n v="16956.669999999998"/>
    <d v="2026-07-05T18:34:21"/>
    <n v="0.02"/>
    <n v="30"/>
    <s v="SLA Met"/>
    <d v="2026-07-05T18:40:07"/>
    <d v="2026-07-17T13:09:48"/>
    <n v="16949.68"/>
    <n v="6.98"/>
    <n v="120"/>
    <s v="SLA Met"/>
    <m/>
    <n v="129600"/>
    <n v="129593.02"/>
    <n v="99.994614197530865"/>
    <n v="112650.32"/>
    <n v="86.921543209876546"/>
  </r>
  <r>
    <s v="Jubilant Foodworks Ltd (JFL)"/>
    <s v="Alert"/>
    <s v="Kartik Choudhary"/>
    <s v="PRO/INC/56896"/>
    <s v="aps went down"/>
    <s v="Meraki Managed Services"/>
    <s v="Software / Configuration"/>
    <s v="Greater Noida"/>
    <s v="Q5AA-EZ6A-S56Y"/>
    <x v="84"/>
    <s v="NA"/>
    <s v="AP"/>
    <s v="JFL-GNSC-AP42"/>
    <s v="CW9162I"/>
    <s v="wireless-31-1-7"/>
    <m/>
    <s v="Non-Core"/>
    <s v="Closed"/>
    <x v="2"/>
    <s v="Device is unreachable on dashboard suspecting power issue."/>
    <s v="Migration activity"/>
    <d v="2026-07-06T04:37:17"/>
    <d v="2026-07-13T23:21:00"/>
    <n v="11203.72"/>
    <d v="2026-07-06T04:37:17"/>
    <n v="0"/>
    <n v="30"/>
    <s v="SLA Met"/>
    <d v="2026-07-06T04:41:00"/>
    <d v="2026-07-13T23:18:41"/>
    <n v="11197.68"/>
    <n v="6.03"/>
    <n v="120"/>
    <s v="SLA Met"/>
    <m/>
    <n v="129600"/>
    <n v="129593.97"/>
    <n v="99.995347222222222"/>
    <n v="118402.32"/>
    <n v="91.359814814814825"/>
  </r>
  <r>
    <s v="Jubilant Foodworks Ltd (JFL)"/>
    <s v="Alert"/>
    <s v="Aneesh P S"/>
    <s v="PRO/INC/57016"/>
    <s v="aps went down"/>
    <s v="Meraki Managed Services"/>
    <s v="Software / Configuration"/>
    <s v="Greater Noida"/>
    <s v="Q5AA-JKR4-S9MX"/>
    <x v="83"/>
    <s v="NA"/>
    <s v="AP"/>
    <s v="JFL-GNSC-AP24"/>
    <s v="CW9162I"/>
    <s v="wireless-31-1-7"/>
    <m/>
    <s v="Non-Core"/>
    <s v="Closed"/>
    <x v="2"/>
    <s v="Device Power issues"/>
    <s v="client side activity"/>
    <d v="2026-07-06T11:30:40"/>
    <d v="2026-07-06T16:46:00"/>
    <n v="315.33"/>
    <d v="2026-07-06T11:30:41"/>
    <n v="0.02"/>
    <n v="30"/>
    <s v="SLA Met"/>
    <d v="2026-07-06T11:33:10"/>
    <d v="2026-07-06T16:37:27"/>
    <n v="304.27999999999997"/>
    <n v="11.05"/>
    <n v="120"/>
    <s v="SLA Met"/>
    <m/>
    <n v="129600"/>
    <n v="129588.95"/>
    <n v="99.99147376543209"/>
    <n v="129295.72"/>
    <n v="99.765216049382715"/>
  </r>
  <r>
    <s v="Jubilant Foodworks Ltd (JFL)"/>
    <s v="Alert"/>
    <s v="Aneesh P S"/>
    <s v="PRO/INC/57017"/>
    <s v="aps went down"/>
    <s v="Meraki Managed Services"/>
    <s v="Software / Configuration"/>
    <s v="Greater Noida"/>
    <s v="Q5AA-XGDL-V7JB"/>
    <x v="71"/>
    <s v="NA"/>
    <s v="AP"/>
    <s v="JFL-GNSC-AP54"/>
    <s v="CW9162I"/>
    <s v="wireless-31-1-7"/>
    <m/>
    <s v="Non-Core"/>
    <s v="Closed"/>
    <x v="2"/>
    <s v="Device Power issues"/>
    <s v="client side activity"/>
    <d v="2026-07-06T11:30:43"/>
    <d v="2026-07-06T16:42:00"/>
    <n v="311.27999999999997"/>
    <d v="2026-07-06T11:30:45"/>
    <n v="0.03"/>
    <n v="30"/>
    <s v="SLA Met"/>
    <d v="2026-07-06T11:35:33"/>
    <d v="2026-07-06T16:38:18"/>
    <n v="302.75"/>
    <n v="8.5299999999999994"/>
    <n v="120"/>
    <s v="SLA Met"/>
    <m/>
    <n v="129600"/>
    <n v="129591.47"/>
    <n v="99.993418209876538"/>
    <n v="129297.25"/>
    <n v="99.766396604938265"/>
  </r>
  <r>
    <s v="Jubilant Foodworks Ltd (JFL)"/>
    <s v="Alert"/>
    <s v="Dheerendra Maurya"/>
    <s v="PRO/INC/57026"/>
    <s v="aps went down"/>
    <s v="Meraki Managed Services"/>
    <s v="Software / Configuration"/>
    <s v="Greater Noida"/>
    <s v="Q3KG-GWW5-CHJC"/>
    <x v="33"/>
    <s v="NA"/>
    <s v="AP"/>
    <s v="JFL-GNSC-AP52"/>
    <s v="MR86"/>
    <s v="wireless-31-1-7"/>
    <m/>
    <s v="Non-Core"/>
    <s v="Closed"/>
    <x v="2"/>
    <s v="Clent side Activity"/>
    <s v="AP went down due Client side activity(migration activity)"/>
    <d v="2026-07-06T12:14:27"/>
    <d v="2026-07-10T12:50:00"/>
    <n v="5795.55"/>
    <d v="2026-07-06T12:14:27"/>
    <n v="0"/>
    <n v="30"/>
    <s v="SLA Met"/>
    <d v="2026-07-06T12:29:56"/>
    <d v="2026-07-10T12:48:50"/>
    <n v="5778.9"/>
    <n v="16.649999999999999"/>
    <n v="120"/>
    <s v="SLA Met"/>
    <m/>
    <n v="129600"/>
    <n v="129583.35"/>
    <n v="99.98715277777778"/>
    <n v="123821.1"/>
    <n v="95.540972222222237"/>
  </r>
  <r>
    <s v="Jubilant Foodworks Ltd (JFL)"/>
    <s v="Alert"/>
    <s v="Dheerendra Maurya"/>
    <s v="PRO/INC/57027"/>
    <s v="aps went down"/>
    <s v="Meraki Managed Services"/>
    <s v="Software / Configuration"/>
    <s v="Greater Noida"/>
    <s v="Q3KG-XSEX-EG6A"/>
    <x v="34"/>
    <s v="NA"/>
    <s v="AP"/>
    <s v="JFL-GNSC-AP60"/>
    <s v="MR86"/>
    <s v="wireless-31-1-7"/>
    <m/>
    <s v="Non-Core"/>
    <s v="Closed"/>
    <x v="2"/>
    <s v="Client Side Activity"/>
    <s v="Ap went down due to Client side activity(migration activity)"/>
    <d v="2026-07-06T12:14:27"/>
    <d v="2026-07-08T10:20:00"/>
    <n v="2765.55"/>
    <d v="2026-07-06T12:14:28"/>
    <n v="0.02"/>
    <n v="30"/>
    <s v="SLA Met"/>
    <d v="2026-07-06T12:27:36"/>
    <d v="2026-07-08T10:18:30"/>
    <n v="2750.9"/>
    <n v="14.65"/>
    <n v="120"/>
    <s v="SLA Met"/>
    <m/>
    <n v="129600"/>
    <n v="129585.35"/>
    <n v="99.988695987654324"/>
    <n v="126849.1"/>
    <n v="97.877391975308655"/>
  </r>
  <r>
    <s v="Jubilant Foodworks Ltd (JFL)"/>
    <s v="Alert"/>
    <s v="Dheerendra Maurya"/>
    <s v="PRO/INC/57032"/>
    <s v="aps went down"/>
    <s v="Meraki Managed Services"/>
    <s v="Software / Configuration"/>
    <s v="Greater Noida"/>
    <s v="Q3KG-8U94-FMUC"/>
    <x v="35"/>
    <s v="NA"/>
    <s v="AP"/>
    <s v="JFL-GNSC-AP56"/>
    <s v="MR86"/>
    <s v="wireless-31-1-7"/>
    <m/>
    <s v="Non-Core"/>
    <s v="Closed"/>
    <x v="2"/>
    <s v="Clent Side Activity"/>
    <s v="AP went down due to Client side activity(migration activity)"/>
    <d v="2026-07-06T12:29:09"/>
    <d v="2026-07-08T10:18:00"/>
    <n v="2748.85"/>
    <d v="2026-07-06T12:29:10"/>
    <n v="0.02"/>
    <n v="30"/>
    <s v="SLA Met"/>
    <d v="2026-07-06T12:34:30"/>
    <d v="2026-07-08T10:16:43"/>
    <n v="2742.22"/>
    <n v="6.63"/>
    <n v="120"/>
    <s v="SLA Met"/>
    <m/>
    <n v="129600"/>
    <n v="129593.37"/>
    <n v="99.994884259259251"/>
    <n v="126857.78"/>
    <n v="97.884089506172828"/>
  </r>
  <r>
    <s v="Jubilant Foodworks Ltd (JFL)"/>
    <s v="Alert"/>
    <s v="Dheerendra Maurya"/>
    <s v="PRO/INC/57034"/>
    <s v="aps went down"/>
    <s v="Meraki Managed Services"/>
    <s v="Software / Configuration"/>
    <s v="Greater Noida"/>
    <s v="Q3KG-GWW5-CHJC"/>
    <x v="33"/>
    <s v="NA"/>
    <s v="AP"/>
    <s v="JFL-GNSC-AP52"/>
    <s v="MR86"/>
    <s v="wireless-31-1-7"/>
    <m/>
    <s v="Non-Core"/>
    <s v="Closed"/>
    <x v="2"/>
    <s v="Clent Side Activity"/>
    <s v="Ap went down due to Client side activity(migration activity)"/>
    <d v="2026-07-06T12:29:39"/>
    <d v="2026-07-08T10:16:00"/>
    <n v="2746.35"/>
    <d v="2026-07-06T12:29:40"/>
    <n v="0.02"/>
    <n v="30"/>
    <s v="SLA Met"/>
    <d v="2026-07-06T12:36:45"/>
    <d v="2026-07-08T10:14:59"/>
    <n v="2738.23"/>
    <n v="8.1199999999999992"/>
    <n v="120"/>
    <s v="SLA Met"/>
    <m/>
    <n v="129600"/>
    <n v="129591.88"/>
    <n v="99.993734567901242"/>
    <n v="126861.77"/>
    <n v="97.887168209876549"/>
  </r>
  <r>
    <s v="Jubilant Foodworks Ltd (JFL)"/>
    <s v="Alert"/>
    <s v="Dheerendra Maurya"/>
    <s v="PRO/INC/57035"/>
    <s v="aps went down"/>
    <s v="Meraki Managed Services"/>
    <s v="Software / Configuration"/>
    <s v="Greater Noida"/>
    <s v="Q3KG-XSEX-EG6A"/>
    <x v="34"/>
    <s v="NA"/>
    <s v="AP"/>
    <s v="JFL-GNSC-AP60"/>
    <s v="MR86"/>
    <s v="wireless-31-1-7"/>
    <m/>
    <s v="Non-Core"/>
    <s v="Closed"/>
    <x v="2"/>
    <s v="Client Side Activity"/>
    <s v="Ap went down due to Client-side activity (migration activity) issue"/>
    <d v="2026-07-06T12:29:39"/>
    <d v="2026-07-06T16:56:00"/>
    <n v="266.35000000000002"/>
    <d v="2026-07-06T12:29:40"/>
    <n v="0.02"/>
    <n v="30"/>
    <s v="SLA Met"/>
    <d v="2026-07-06T12:38:58"/>
    <d v="2026-07-06T16:52:53"/>
    <n v="253.92"/>
    <n v="12.43"/>
    <n v="120"/>
    <s v="SLA Met"/>
    <m/>
    <n v="129600"/>
    <n v="129587.57"/>
    <n v="99.990408950617294"/>
    <n v="129346.08"/>
    <n v="99.80407407407408"/>
  </r>
  <r>
    <s v="Jubilant Foodworks Ltd (JFL)"/>
    <s v="Email"/>
    <s v="Dheerendra Maurya"/>
    <s v="PRO/INC/57045"/>
    <s v="(Possibly forged)Not able to login in GNSC core switch"/>
    <s v="Meraki Managed Services"/>
    <s v="Software / Configuration"/>
    <s v="Greater Noida"/>
    <s v="FVH2836L5EQ"/>
    <x v="36"/>
    <s v="NO RACK "/>
    <s v="SW"/>
    <n v="1"/>
    <e v="#N/A"/>
    <e v="#N/A"/>
    <m/>
    <s v="P3"/>
    <s v="On Hold"/>
    <x v="10"/>
    <s v="Switch  is not login"/>
    <m/>
    <d v="2026-07-06T13:35:22"/>
    <m/>
    <m/>
    <d v="2026-07-06T13:35:22"/>
    <n v="0"/>
    <n v="30"/>
    <m/>
    <d v="2026-07-06T16:13:43"/>
    <m/>
    <n v="0"/>
    <m/>
    <n v="1440"/>
    <m/>
    <m/>
    <n v="129600"/>
    <n v="129600"/>
    <n v="100"/>
    <n v="129600"/>
    <n v="100"/>
  </r>
  <r>
    <s v="Jubilant Foodworks Ltd (JFL)"/>
    <s v="Alert"/>
    <s v="Aneesh P S"/>
    <s v="PRO/INC/57056"/>
    <s v="aps went down"/>
    <s v="Meraki Managed Services"/>
    <s v="Software / Configuration"/>
    <s v="Greater Noida"/>
    <s v="Q5AA-FRBE-94N5"/>
    <x v="47"/>
    <s v="NA"/>
    <s v="AP"/>
    <s v="JFL-GNSC-AP27"/>
    <s v="CW9162I"/>
    <s v="wireless-31-1-7"/>
    <m/>
    <s v="Non-Core"/>
    <s v="Closed"/>
    <x v="2"/>
    <s v="Client Side Activity"/>
    <s v="client side activity"/>
    <d v="2026-07-06T16:34:41"/>
    <d v="2026-07-07T10:00:00"/>
    <n v="1045.32"/>
    <d v="2026-07-06T16:34:42"/>
    <n v="0.02"/>
    <n v="30"/>
    <s v="SLA Met"/>
    <d v="2026-07-06T16:36:57"/>
    <d v="2026-07-07T09:36:29"/>
    <n v="1019.53"/>
    <n v="25.78"/>
    <n v="120"/>
    <s v="SLA Met"/>
    <m/>
    <n v="129600"/>
    <n v="129574.22"/>
    <n v="99.980108024691361"/>
    <n v="128580.47"/>
    <n v="99.213325617283957"/>
  </r>
  <r>
    <s v="Jubilant Foodworks Ltd (JFL)"/>
    <s v="Alert"/>
    <s v="Aneesh P S"/>
    <s v="PRO/INC/57057"/>
    <s v="aps went down"/>
    <s v="Meraki Managed Services"/>
    <s v="Software / Configuration"/>
    <s v="Greater Noida"/>
    <s v="Q5AA-GJ47-DK5X"/>
    <x v="95"/>
    <s v="NA"/>
    <s v="AP"/>
    <s v="JFL-GNSC-AP28"/>
    <s v="CW9162I"/>
    <s v="wireless-31-1-7"/>
    <m/>
    <s v="Non-Core"/>
    <s v="Closed"/>
    <x v="2"/>
    <s v="Client Side Activity"/>
    <s v="client side activity"/>
    <d v="2026-07-06T16:34:42"/>
    <d v="2026-07-07T10:00:00"/>
    <n v="1045.3"/>
    <d v="2026-07-06T16:34:43"/>
    <n v="0.02"/>
    <n v="30"/>
    <s v="SLA Met"/>
    <d v="2026-07-06T16:35:55"/>
    <d v="2026-07-07T09:35:16"/>
    <n v="1019.35"/>
    <n v="25.95"/>
    <n v="120"/>
    <s v="SLA Met"/>
    <m/>
    <n v="129600"/>
    <n v="129574.05"/>
    <n v="99.979976851851859"/>
    <n v="128580.65"/>
    <n v="99.213464506172826"/>
  </r>
  <r>
    <s v="Jubilant Foodworks Ltd (JFL)"/>
    <s v="Alert"/>
    <s v="Aneesh P S"/>
    <s v="PRO/INC/57063"/>
    <s v="aps went down"/>
    <s v="Meraki Managed Services"/>
    <s v="Software / Configuration"/>
    <s v="Greater Noida"/>
    <s v="Q5AA-5TRP-EJMF"/>
    <x v="58"/>
    <s v="NA"/>
    <s v="AP"/>
    <s v="JFL-GNSC-AP04"/>
    <s v="CW9162I"/>
    <s v="wireless-31-1-7"/>
    <m/>
    <s v="Non-Core"/>
    <s v="Closed"/>
    <x v="2"/>
    <s v="Client Side Activity"/>
    <s v="client side activity"/>
    <d v="2026-07-06T16:41:33"/>
    <d v="2026-07-07T10:00:00"/>
    <n v="1038.45"/>
    <d v="2026-07-06T16:41:34"/>
    <n v="0.02"/>
    <n v="30"/>
    <s v="SLA Met"/>
    <d v="2026-07-06T16:42:53"/>
    <d v="2026-07-07T09:38:18"/>
    <n v="1015.42"/>
    <n v="23.03"/>
    <n v="120"/>
    <s v="SLA Met"/>
    <m/>
    <n v="129600"/>
    <n v="129576.97"/>
    <n v="99.982229938271601"/>
    <n v="128584.58"/>
    <n v="99.216496913580244"/>
  </r>
  <r>
    <s v="Jubilant Foodworks Ltd (JFL)"/>
    <s v="Alert"/>
    <s v="Aneesh P S"/>
    <s v="PRO/INC/57064"/>
    <s v="aps went down"/>
    <s v="Meraki Managed Services"/>
    <s v="Software / Configuration"/>
    <s v="Greater Noida"/>
    <s v="Q5AA-7TFR-X7ZG"/>
    <x v="141"/>
    <s v="NA"/>
    <s v="AP"/>
    <s v="JFL-GNSC-AP29"/>
    <s v="CW9162I"/>
    <s v="wireless-31-1-7"/>
    <m/>
    <s v="Non-Core"/>
    <s v="Closed"/>
    <x v="2"/>
    <s v="Client Side Activity"/>
    <s v="client side activity"/>
    <d v="2026-07-06T16:41:33"/>
    <d v="2026-07-07T10:00:00"/>
    <n v="1038.45"/>
    <d v="2026-07-06T16:41:34"/>
    <n v="0.02"/>
    <n v="30"/>
    <s v="SLA Met"/>
    <d v="2026-07-06T16:44:06"/>
    <d v="2026-07-07T09:37:28"/>
    <n v="1013.37"/>
    <n v="25.08"/>
    <n v="120"/>
    <s v="SLA Met"/>
    <m/>
    <n v="129600"/>
    <n v="129574.92"/>
    <n v="99.980648148148148"/>
    <n v="128586.63"/>
    <n v="99.218078703703711"/>
  </r>
  <r>
    <s v="Jubilant Foodworks Ltd (JFL)"/>
    <s v="Email"/>
    <s v="Dheerendra Maurya"/>
    <s v="PRO/INC/57069"/>
    <s v="RMA Request for Faulty Access Point at JFL Noida Site"/>
    <s v="Meraki Managed Services"/>
    <s v="Hardware"/>
    <s v="Noida"/>
    <s v="FGL2708LJWX"/>
    <x v="149"/>
    <s v="NO RACK "/>
    <s v="AP"/>
    <n v="1"/>
    <e v="#N/A"/>
    <e v="#N/A"/>
    <s v="FGL2708LJWX"/>
    <s v="P3"/>
    <s v="Recovery"/>
    <x v="8"/>
    <s v="Creating  RMA"/>
    <s v="Ap has been replaced &amp; working fine"/>
    <d v="2026-07-06T16:57:26"/>
    <d v="2026-07-10T12:46:00"/>
    <n v="5508.57"/>
    <d v="2026-07-06T16:57:26"/>
    <n v="0"/>
    <n v="30"/>
    <m/>
    <d v="2026-07-06T17:20:49"/>
    <d v="2026-07-10T12:39:55"/>
    <n v="5479.1"/>
    <n v="29.47"/>
    <n v="1440"/>
    <m/>
    <m/>
    <n v="129600"/>
    <n v="129570.53"/>
    <n v="99.977260802469132"/>
    <n v="124120.9"/>
    <n v="95.772299382716042"/>
  </r>
  <r>
    <s v="Jubilant Foodworks Ltd (JFL)"/>
    <s v="Email"/>
    <s v="Dheerendra Maurya"/>
    <s v="PRO/INC/57071"/>
    <s v="Port Reset | JFL, Nagpur"/>
    <s v="Meraki Managed Services"/>
    <s v="Change Request"/>
    <s v="Nagpur"/>
    <s v="FVH2903L6L7"/>
    <x v="150"/>
    <s v="RACK 3"/>
    <s v="SW"/>
    <n v="1"/>
    <e v="#N/A"/>
    <e v="#N/A"/>
    <m/>
    <s v="P4"/>
    <s v="Closed"/>
    <x v="2"/>
    <s v="Switch Port Enable"/>
    <s v="Switch port 16 has been enabled under vlan 1 now device has been connected &amp; working fine"/>
    <d v="2026-07-06T17:32:28"/>
    <d v="2026-07-08T10:02:00"/>
    <n v="2429.5300000000002"/>
    <d v="2026-07-06T17:32:27"/>
    <n v="0"/>
    <n v="30"/>
    <s v="SLA Met"/>
    <d v="2026-07-06T17:47:23"/>
    <d v="2026-07-08T09:56:13"/>
    <n v="2408.83"/>
    <n v="20.7"/>
    <n v="2880"/>
    <s v="SLA Met"/>
    <m/>
    <n v="129600"/>
    <n v="129579.3"/>
    <n v="99.984027777777783"/>
    <n v="127191.17"/>
    <n v="98.141334876543212"/>
  </r>
  <r>
    <s v="Jubilant Foodworks Ltd (JFL)"/>
    <s v="Alert"/>
    <s v="Kartik Choudhary"/>
    <s v="PRO/INC/57103"/>
    <s v="aps went down"/>
    <s v="Meraki Managed Services"/>
    <s v="Software / Configuration"/>
    <s v="Greater Noida"/>
    <s v="Q5AR-527V-Z8YR"/>
    <x v="144"/>
    <s v="NA"/>
    <s v="AP"/>
    <s v="JFL-GNSC-AP23"/>
    <s v="CW9166I"/>
    <s v="wireless-31-1-7"/>
    <m/>
    <s v="Non-Core"/>
    <s v="Closed"/>
    <x v="0"/>
    <s v="power issue"/>
    <s v="power issue"/>
    <d v="2026-07-06T21:12:20"/>
    <d v="2026-07-06T21:58:00"/>
    <n v="45.67"/>
    <d v="2026-07-06T21:12:22"/>
    <n v="0.03"/>
    <n v="30"/>
    <s v="SLA Met"/>
    <d v="2026-07-06T21:35:39"/>
    <d v="2026-07-06T21:56:04"/>
    <n v="20.420000000000002"/>
    <n v="25.25"/>
    <n v="120"/>
    <s v="SLA Met"/>
    <m/>
    <n v="129600"/>
    <n v="129574.75"/>
    <n v="99.980516975308646"/>
    <n v="129579.58"/>
    <n v="99.984243827160498"/>
  </r>
  <r>
    <s v="Jubilant Foodworks Ltd (JFL)"/>
    <s v="Alert"/>
    <s v="Kartik Choudhary"/>
    <s v="PRO/INC/57109"/>
    <s v="aps went down"/>
    <s v="Meraki Managed Services"/>
    <s v="Software / Configuration"/>
    <s v="Greater Noida"/>
    <s v="Q5AR-527V-Z8YR"/>
    <x v="144"/>
    <s v="NA"/>
    <s v="AP"/>
    <s v="JFL-GNSC-AP23"/>
    <s v="CW9166I"/>
    <s v="wireless-31-1-7"/>
    <m/>
    <s v="Non-Core"/>
    <s v="Closed"/>
    <x v="0"/>
    <s v="power issue"/>
    <s v="power issue"/>
    <d v="2026-07-06T21:30:33"/>
    <d v="2026-07-07T00:17:00"/>
    <n v="166.45"/>
    <d v="2026-07-06T21:30:34"/>
    <n v="0.02"/>
    <n v="30"/>
    <s v="SLA Met"/>
    <d v="2026-07-06T21:37:05"/>
    <d v="2026-07-07T00:15:06"/>
    <n v="158.02000000000001"/>
    <n v="8.43"/>
    <n v="120"/>
    <s v="SLA Met"/>
    <m/>
    <n v="129600"/>
    <n v="129591.57"/>
    <n v="99.993495370370383"/>
    <n v="129441.98"/>
    <n v="99.878070987654326"/>
  </r>
  <r>
    <s v="Jubilant Foodworks Ltd (JFL)"/>
    <s v="Alert"/>
    <s v="Kartik Choudhary"/>
    <s v="PRO/INC/57112"/>
    <s v="aps went down"/>
    <s v="Meraki Managed Services"/>
    <s v="Software / Configuration"/>
    <s v="Greater Noida"/>
    <s v="Q5AR-527V-Z8YR"/>
    <x v="144"/>
    <s v="NA"/>
    <s v="AP"/>
    <s v="JFL-GNSC-AP23"/>
    <s v="CW9166I"/>
    <s v="wireless-31-1-7"/>
    <m/>
    <s v="Non-Core"/>
    <s v="Closed"/>
    <x v="0"/>
    <s v="power issue"/>
    <s v="power issue"/>
    <d v="2026-07-06T21:49:11"/>
    <d v="2026-07-07T00:18:00"/>
    <n v="148.82"/>
    <d v="2026-07-06T21:49:12"/>
    <n v="0.02"/>
    <n v="30"/>
    <s v="SLA Met"/>
    <d v="2026-07-06T21:51:20"/>
    <d v="2026-07-07T00:16:32"/>
    <n v="145.19999999999999"/>
    <n v="3.62"/>
    <n v="120"/>
    <s v="SLA Met"/>
    <m/>
    <n v="129600"/>
    <n v="129596.38"/>
    <n v="99.997206790123457"/>
    <n v="129454.8"/>
    <n v="99.887962962962959"/>
  </r>
  <r>
    <s v="Jubilant Foodworks Ltd (JFL)"/>
    <s v="Alert"/>
    <s v="Kartik Choudhary"/>
    <s v="PRO/INC/57115"/>
    <s v="aps went down"/>
    <s v="Meraki Managed Services"/>
    <s v="Software / Configuration"/>
    <s v="Greater Noida"/>
    <s v="Q5AR-527V-Z8YR"/>
    <x v="144"/>
    <s v="NA"/>
    <s v="AP"/>
    <s v="JFL-GNSC-AP23"/>
    <s v="CW9166I"/>
    <s v="wireless-31-1-7"/>
    <m/>
    <s v="Non-Core"/>
    <s v="Closed"/>
    <x v="0"/>
    <s v="power issue"/>
    <s v="power issue"/>
    <d v="2026-07-06T23:06:12"/>
    <d v="2026-07-07T00:19:00"/>
    <n v="72.8"/>
    <d v="2026-07-06T23:06:14"/>
    <n v="0.03"/>
    <n v="30"/>
    <s v="SLA Met"/>
    <d v="2026-07-06T23:07:50"/>
    <d v="2026-07-07T00:16:27"/>
    <n v="68.62"/>
    <n v="4.18"/>
    <n v="120"/>
    <s v="SLA Met"/>
    <m/>
    <n v="129600"/>
    <n v="129595.82"/>
    <n v="99.996774691358027"/>
    <n v="129531.38"/>
    <n v="99.9470524691358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
  <r>
    <n v="1"/>
    <x v="0"/>
    <x v="0"/>
    <s v="AP"/>
    <n v="99.99148533950617"/>
    <n v="99.360160108024687"/>
  </r>
  <r>
    <n v="2"/>
    <x v="0"/>
    <x v="1"/>
    <s v="AP"/>
    <n v="99.993572530864185"/>
    <n v="99.554988425925913"/>
  </r>
  <r>
    <n v="3"/>
    <x v="0"/>
    <x v="2"/>
    <s v="AP"/>
    <n v="100"/>
    <n v="100"/>
  </r>
  <r>
    <n v="4"/>
    <x v="0"/>
    <x v="3"/>
    <s v="SW"/>
    <n v="99.987368827160495"/>
    <n v="98.97807098765432"/>
  </r>
  <r>
    <n v="5"/>
    <x v="0"/>
    <x v="4"/>
    <s v="SW"/>
    <n v="99.993474151234565"/>
    <n v="99.121967592592597"/>
  </r>
  <r>
    <n v="6"/>
    <x v="1"/>
    <x v="5"/>
    <s v="AP"/>
    <n v="99.991992283950623"/>
    <n v="99.264851851851859"/>
  </r>
  <r>
    <n v="7"/>
    <x v="1"/>
    <x v="6"/>
    <s v="AP"/>
    <n v="100"/>
    <n v="100"/>
  </r>
  <r>
    <n v="8"/>
    <x v="1"/>
    <x v="7"/>
    <s v="AP"/>
    <n v="99.989301697530863"/>
    <n v="99.328985339506175"/>
  </r>
  <r>
    <n v="9"/>
    <x v="1"/>
    <x v="8"/>
    <s v="AP"/>
    <n v="99.803546810699586"/>
    <n v="98.868315329218106"/>
  </r>
  <r>
    <n v="10"/>
    <x v="1"/>
    <x v="9"/>
    <s v="AP"/>
    <n v="99.914028880070532"/>
    <n v="95.870847663139344"/>
  </r>
  <r>
    <n v="11"/>
    <x v="1"/>
    <x v="10"/>
    <s v="AP"/>
    <n v="99.427816358024685"/>
    <n v="98.805324074074079"/>
  </r>
  <r>
    <n v="12"/>
    <x v="1"/>
    <x v="11"/>
    <s v="AP"/>
    <n v="99.992330246913582"/>
    <n v="98.933086419753096"/>
  </r>
  <r>
    <n v="13"/>
    <x v="1"/>
    <x v="12"/>
    <s v="AP"/>
    <n v="99.707858796296307"/>
    <n v="98.374745370370363"/>
  </r>
  <r>
    <n v="14"/>
    <x v="1"/>
    <x v="13"/>
    <s v="AP"/>
    <n v="100"/>
    <n v="100"/>
  </r>
  <r>
    <n v="15"/>
    <x v="1"/>
    <x v="14"/>
    <s v="AP"/>
    <n v="99.993518518518513"/>
    <n v="99.771921296296298"/>
  </r>
  <r>
    <n v="16"/>
    <x v="1"/>
    <x v="15"/>
    <s v="AP"/>
    <n v="99.71249228395061"/>
    <n v="99.137407407407409"/>
  </r>
  <r>
    <n v="17"/>
    <x v="1"/>
    <x v="16"/>
    <s v="AP"/>
    <n v="99.994413580246913"/>
    <n v="98.670513117283946"/>
  </r>
  <r>
    <n v="18"/>
    <x v="1"/>
    <x v="17"/>
    <s v="AP"/>
    <n v="99.995547839506173"/>
    <n v="99.559436728395056"/>
  </r>
  <r>
    <n v="19"/>
    <x v="1"/>
    <x v="18"/>
    <s v="AP"/>
    <n v="99.997056327160493"/>
    <n v="99.492928240740753"/>
  </r>
  <r>
    <n v="20"/>
    <x v="1"/>
    <x v="19"/>
    <s v="AP"/>
    <n v="99.706230709876536"/>
    <n v="99.327087191358032"/>
  </r>
  <r>
    <n v="21"/>
    <x v="1"/>
    <x v="20"/>
    <s v="AP"/>
    <n v="99.870716049382722"/>
    <n v="97.495046296296309"/>
  </r>
  <r>
    <n v="22"/>
    <x v="1"/>
    <x v="21"/>
    <s v="AP"/>
    <n v="99.991404320987655"/>
    <n v="99.658584104938271"/>
  </r>
  <r>
    <n v="23"/>
    <x v="1"/>
    <x v="22"/>
    <s v="SW"/>
    <n v="99.996697530864196"/>
    <n v="98.648086419753099"/>
  </r>
  <r>
    <n v="24"/>
    <x v="1"/>
    <x v="23"/>
    <s v="SW"/>
    <n v="99.295108024691359"/>
    <n v="100"/>
  </r>
  <r>
    <n v="25"/>
    <x v="2"/>
    <x v="24"/>
    <s v="AP"/>
    <n v="100"/>
    <n v="100"/>
  </r>
  <r>
    <n v="26"/>
    <x v="2"/>
    <x v="25"/>
    <s v="AP"/>
    <n v="100"/>
    <n v="100"/>
  </r>
  <r>
    <n v="27"/>
    <x v="2"/>
    <x v="26"/>
    <s v="AP"/>
    <n v="100"/>
    <n v="100"/>
  </r>
  <r>
    <n v="28"/>
    <x v="2"/>
    <x v="27"/>
    <s v="AP"/>
    <n v="100"/>
    <n v="100"/>
  </r>
  <r>
    <n v="29"/>
    <x v="2"/>
    <x v="28"/>
    <s v="AP"/>
    <n v="100"/>
    <n v="100"/>
  </r>
  <r>
    <n v="30"/>
    <x v="2"/>
    <x v="29"/>
    <s v="AP"/>
    <n v="100"/>
    <n v="100"/>
  </r>
  <r>
    <n v="31"/>
    <x v="2"/>
    <x v="30"/>
    <s v="AP"/>
    <n v="100"/>
    <n v="100"/>
  </r>
  <r>
    <n v="32"/>
    <x v="2"/>
    <x v="31"/>
    <s v="AP"/>
    <n v="100"/>
    <n v="100"/>
  </r>
  <r>
    <n v="33"/>
    <x v="2"/>
    <x v="32"/>
    <s v="AP"/>
    <n v="100"/>
    <n v="100"/>
  </r>
  <r>
    <n v="34"/>
    <x v="2"/>
    <x v="33"/>
    <s v="AP"/>
    <n v="100"/>
    <n v="100"/>
  </r>
  <r>
    <n v="35"/>
    <x v="2"/>
    <x v="34"/>
    <s v="AP"/>
    <n v="100"/>
    <n v="100"/>
  </r>
  <r>
    <n v="36"/>
    <x v="2"/>
    <x v="35"/>
    <s v="AP"/>
    <n v="100"/>
    <n v="100"/>
  </r>
  <r>
    <n v="37"/>
    <x v="2"/>
    <x v="36"/>
    <s v="AP"/>
    <n v="100"/>
    <n v="100"/>
  </r>
  <r>
    <n v="38"/>
    <x v="2"/>
    <x v="37"/>
    <s v="AP"/>
    <n v="100"/>
    <n v="100"/>
  </r>
  <r>
    <n v="39"/>
    <x v="2"/>
    <x v="38"/>
    <s v="SW"/>
    <n v="100"/>
    <n v="100"/>
  </r>
  <r>
    <n v="40"/>
    <x v="2"/>
    <x v="39"/>
    <s v="SW"/>
    <n v="100"/>
    <n v="100"/>
  </r>
  <r>
    <n v="41"/>
    <x v="3"/>
    <x v="40"/>
    <s v="AP"/>
    <n v="99.98253858024691"/>
    <n v="94.118711419753083"/>
  </r>
  <r>
    <n v="42"/>
    <x v="3"/>
    <x v="41"/>
    <s v="AP"/>
    <n v="99.994151234567894"/>
    <n v="99.977067901234562"/>
  </r>
  <r>
    <n v="43"/>
    <x v="3"/>
    <x v="42"/>
    <s v="AP"/>
    <n v="99.996350308641979"/>
    <n v="99.976288580246916"/>
  </r>
  <r>
    <n v="44"/>
    <x v="3"/>
    <x v="43"/>
    <s v="AP"/>
    <n v="100"/>
    <n v="100"/>
  </r>
  <r>
    <n v="45"/>
    <x v="3"/>
    <x v="44"/>
    <s v="AP"/>
    <n v="99.992345679012345"/>
    <n v="99.978487654320986"/>
  </r>
  <r>
    <n v="46"/>
    <x v="3"/>
    <x v="45"/>
    <s v="AP"/>
    <n v="100"/>
    <n v="100"/>
  </r>
  <r>
    <n v="47"/>
    <x v="3"/>
    <x v="46"/>
    <s v="SW"/>
    <n v="99.98630401234567"/>
    <n v="99.990578703703704"/>
  </r>
  <r>
    <n v="48"/>
    <x v="3"/>
    <x v="47"/>
    <s v="SW"/>
    <n v="99.98885416666667"/>
    <n v="99.990540123456782"/>
  </r>
  <r>
    <n v="49"/>
    <x v="3"/>
    <x v="48"/>
    <s v="SW"/>
    <n v="99.983374807098755"/>
    <n v="96.908385416666661"/>
  </r>
  <r>
    <n v="50"/>
    <x v="3"/>
    <x v="49"/>
    <s v="SW"/>
    <n v="99.989283000949655"/>
    <n v="96.04034633190885"/>
  </r>
  <r>
    <n v="51"/>
    <x v="4"/>
    <x v="50"/>
    <s v="SW"/>
    <n v="100"/>
    <n v="100"/>
  </r>
  <r>
    <n v="52"/>
    <x v="4"/>
    <x v="51"/>
    <s v="SW"/>
    <n v="100"/>
    <n v="100"/>
  </r>
  <r>
    <n v="53"/>
    <x v="4"/>
    <x v="52"/>
    <s v="SW"/>
    <n v="100"/>
    <n v="100"/>
  </r>
  <r>
    <n v="54"/>
    <x v="4"/>
    <x v="53"/>
    <s v="SW"/>
    <n v="100"/>
    <n v="100"/>
  </r>
  <r>
    <n v="55"/>
    <x v="4"/>
    <x v="54"/>
    <s v="SW"/>
    <n v="100"/>
    <n v="100"/>
  </r>
  <r>
    <n v="56"/>
    <x v="4"/>
    <x v="55"/>
    <s v="SW"/>
    <n v="100"/>
    <n v="100"/>
  </r>
  <r>
    <n v="57"/>
    <x v="4"/>
    <x v="56"/>
    <s v="SW"/>
    <n v="100"/>
    <n v="100"/>
  </r>
  <r>
    <n v="58"/>
    <x v="4"/>
    <x v="57"/>
    <s v="SW"/>
    <n v="100"/>
    <n v="100"/>
  </r>
  <r>
    <n v="59"/>
    <x v="5"/>
    <x v="58"/>
    <s v="AP"/>
    <n v="99.981167695473246"/>
    <n v="94.906365740740739"/>
  </r>
  <r>
    <n v="60"/>
    <x v="5"/>
    <x v="59"/>
    <s v="AP"/>
    <n v="99.990828703703713"/>
    <n v="98.230921296296287"/>
  </r>
  <r>
    <n v="61"/>
    <x v="5"/>
    <x v="60"/>
    <s v="AP"/>
    <n v="100"/>
    <n v="100"/>
  </r>
  <r>
    <n v="62"/>
    <x v="5"/>
    <x v="61"/>
    <s v="AP"/>
    <n v="99.978384259259258"/>
    <n v="87.023350308641994"/>
  </r>
  <r>
    <n v="63"/>
    <x v="5"/>
    <x v="62"/>
    <s v="AP"/>
    <n v="99.992650462962956"/>
    <n v="97.493873456790126"/>
  </r>
  <r>
    <n v="64"/>
    <x v="5"/>
    <x v="63"/>
    <s v="AP"/>
    <n v="99.993881172839522"/>
    <n v="99.856388888888887"/>
  </r>
  <r>
    <n v="65"/>
    <x v="5"/>
    <x v="64"/>
    <s v="AP"/>
    <n v="99.992168209876553"/>
    <n v="96.773942901234562"/>
  </r>
  <r>
    <n v="66"/>
    <x v="5"/>
    <x v="65"/>
    <s v="AP"/>
    <n v="99.994544753086416"/>
    <n v="96.775563271604938"/>
  </r>
  <r>
    <n v="67"/>
    <x v="5"/>
    <x v="66"/>
    <s v="AP"/>
    <n v="99.984956275720165"/>
    <n v="94.775606995884772"/>
  </r>
  <r>
    <n v="68"/>
    <x v="5"/>
    <x v="67"/>
    <s v="AP"/>
    <n v="99.992214506172843"/>
    <n v="97.333325617283947"/>
  </r>
  <r>
    <n v="69"/>
    <x v="5"/>
    <x v="68"/>
    <s v="AP"/>
    <n v="100.11294634377967"/>
    <n v="95.673906695156674"/>
  </r>
  <r>
    <n v="70"/>
    <x v="5"/>
    <x v="69"/>
    <s v="AP"/>
    <n v="100"/>
    <n v="100"/>
  </r>
  <r>
    <n v="71"/>
    <x v="5"/>
    <x v="70"/>
    <s v="AP"/>
    <n v="99.989544753086406"/>
    <n v="96.761496913580245"/>
  </r>
  <r>
    <n v="72"/>
    <x v="5"/>
    <x v="71"/>
    <s v="AP"/>
    <n v="99.986324588477373"/>
    <n v="99.478566100823045"/>
  </r>
  <r>
    <n v="73"/>
    <x v="5"/>
    <x v="72"/>
    <s v="AP"/>
    <n v="99.992319958847744"/>
    <n v="99.791590363511659"/>
  </r>
  <r>
    <n v="74"/>
    <x v="5"/>
    <x v="73"/>
    <s v="AP"/>
    <n v="99.886226851851859"/>
    <n v="100"/>
  </r>
  <r>
    <n v="75"/>
    <x v="5"/>
    <x v="74"/>
    <s v="AP"/>
    <n v="100"/>
    <n v="100"/>
  </r>
  <r>
    <n v="76"/>
    <x v="5"/>
    <x v="75"/>
    <s v="AP"/>
    <n v="99.889598765432098"/>
    <n v="100"/>
  </r>
  <r>
    <n v="77"/>
    <x v="5"/>
    <x v="76"/>
    <s v="AP"/>
    <n v="99.993132716049388"/>
    <n v="98.210972222222225"/>
  </r>
  <r>
    <n v="78"/>
    <x v="5"/>
    <x v="77"/>
    <s v="AP"/>
    <n v="100"/>
    <n v="100"/>
  </r>
  <r>
    <n v="79"/>
    <x v="5"/>
    <x v="78"/>
    <s v="AP"/>
    <n v="99.871589506172839"/>
    <n v="100"/>
  </r>
  <r>
    <n v="80"/>
    <x v="5"/>
    <x v="79"/>
    <s v="AP"/>
    <n v="99.984812242798355"/>
    <n v="99.723708847736631"/>
  </r>
  <r>
    <n v="81"/>
    <x v="5"/>
    <x v="80"/>
    <s v="AP"/>
    <n v="99.955941358024688"/>
    <n v="99.9375"/>
  </r>
  <r>
    <n v="82"/>
    <x v="5"/>
    <x v="81"/>
    <s v="AP"/>
    <n v="99.983109567901238"/>
    <n v="99.215289351851851"/>
  </r>
  <r>
    <n v="83"/>
    <x v="5"/>
    <x v="82"/>
    <s v="AP"/>
    <n v="99.883348765432103"/>
    <n v="100"/>
  </r>
  <r>
    <n v="84"/>
    <x v="5"/>
    <x v="83"/>
    <s v="AP"/>
    <n v="99.867731481481485"/>
    <n v="100"/>
  </r>
  <r>
    <n v="85"/>
    <x v="5"/>
    <x v="84"/>
    <s v="AP"/>
    <n v="99.883950617283958"/>
    <n v="100"/>
  </r>
  <r>
    <n v="86"/>
    <x v="5"/>
    <x v="85"/>
    <s v="AP"/>
    <n v="99.950887345679021"/>
    <n v="96.897955246913583"/>
  </r>
  <r>
    <n v="87"/>
    <x v="5"/>
    <x v="86"/>
    <s v="AP"/>
    <n v="99.987114197530872"/>
    <n v="99.933873456790124"/>
  </r>
  <r>
    <n v="88"/>
    <x v="5"/>
    <x v="87"/>
    <s v="AP"/>
    <n v="99.995694444444439"/>
    <n v="99.427199074074068"/>
  </r>
  <r>
    <n v="89"/>
    <x v="5"/>
    <x v="88"/>
    <s v="AP"/>
    <n v="99.9669045781893"/>
    <n v="99.636921296296293"/>
  </r>
  <r>
    <n v="90"/>
    <x v="5"/>
    <x v="89"/>
    <s v="AP"/>
    <n v="99.99477237654321"/>
    <n v="97.489633487654316"/>
  </r>
  <r>
    <n v="91"/>
    <x v="5"/>
    <x v="90"/>
    <s v="AP"/>
    <n v="99.933379629629627"/>
    <n v="98.383892746913574"/>
  </r>
  <r>
    <n v="92"/>
    <x v="5"/>
    <x v="91"/>
    <s v="AP"/>
    <n v="100"/>
    <n v="100"/>
  </r>
  <r>
    <n v="93"/>
    <x v="5"/>
    <x v="92"/>
    <s v="AP"/>
    <n v="99.961485890652554"/>
    <n v="98.238682760141089"/>
  </r>
  <r>
    <n v="94"/>
    <x v="5"/>
    <x v="93"/>
    <s v="AP"/>
    <n v="99.972319223985892"/>
    <n v="99.388354276895953"/>
  </r>
  <r>
    <n v="95"/>
    <x v="5"/>
    <x v="94"/>
    <s v="AP"/>
    <n v="99.9811188271605"/>
    <n v="96.535594135802469"/>
  </r>
  <r>
    <n v="96"/>
    <x v="5"/>
    <x v="95"/>
    <s v="AP"/>
    <n v="99.96108906525572"/>
    <n v="96.746549823633146"/>
  </r>
  <r>
    <n v="97"/>
    <x v="5"/>
    <x v="96"/>
    <s v="AP"/>
    <n v="99.988456790123465"/>
    <n v="99.707953703703694"/>
  </r>
  <r>
    <n v="98"/>
    <x v="5"/>
    <x v="97"/>
    <s v="AP"/>
    <n v="99.962824074074064"/>
    <n v="99.740137345679017"/>
  </r>
  <r>
    <n v="99"/>
    <x v="5"/>
    <x v="98"/>
    <s v="AP"/>
    <n v="100"/>
    <n v="100"/>
  </r>
  <r>
    <n v="100"/>
    <x v="5"/>
    <x v="99"/>
    <s v="AP"/>
    <n v="99.894074074074084"/>
    <n v="100"/>
  </r>
  <r>
    <n v="101"/>
    <x v="5"/>
    <x v="100"/>
    <s v="AP"/>
    <n v="99.964619984567904"/>
    <n v="99.964211033950619"/>
  </r>
  <r>
    <n v="102"/>
    <x v="5"/>
    <x v="101"/>
    <s v="AP"/>
    <n v="99.950850694444441"/>
    <n v="99.381973379629628"/>
  </r>
  <r>
    <n v="103"/>
    <x v="5"/>
    <x v="102"/>
    <s v="AP"/>
    <n v="99.893541666666664"/>
    <n v="100"/>
  </r>
  <r>
    <n v="104"/>
    <x v="5"/>
    <x v="103"/>
    <s v="AP"/>
    <n v="99.961442901234562"/>
    <n v="98.671653163580245"/>
  </r>
  <r>
    <n v="105"/>
    <x v="5"/>
    <x v="104"/>
    <s v="AP"/>
    <n v="99.954919532627855"/>
    <n v="90.036978615520283"/>
  </r>
  <r>
    <n v="106"/>
    <x v="5"/>
    <x v="105"/>
    <s v="AP"/>
    <n v="99.956265432098775"/>
    <n v="99.937554012345686"/>
  </r>
  <r>
    <n v="107"/>
    <x v="5"/>
    <x v="106"/>
    <s v="AP"/>
    <n v="99.990972222222226"/>
    <n v="98.756311728395048"/>
  </r>
  <r>
    <n v="108"/>
    <x v="5"/>
    <x v="107"/>
    <s v="AP"/>
    <n v="99.881033950617294"/>
    <n v="100"/>
  </r>
  <r>
    <n v="109"/>
    <x v="5"/>
    <x v="108"/>
    <s v="AP"/>
    <n v="99.982021604938268"/>
    <n v="100"/>
  </r>
  <r>
    <n v="110"/>
    <x v="5"/>
    <x v="109"/>
    <s v="AP"/>
    <n v="99.876350308641975"/>
    <n v="100"/>
  </r>
  <r>
    <n v="111"/>
    <x v="5"/>
    <x v="110"/>
    <s v="AP"/>
    <n v="100"/>
    <n v="100"/>
  </r>
  <r>
    <n v="112"/>
    <x v="5"/>
    <x v="111"/>
    <s v="AP"/>
    <n v="99.874907407407406"/>
    <n v="100"/>
  </r>
  <r>
    <n v="113"/>
    <x v="5"/>
    <x v="112"/>
    <s v="AP"/>
    <n v="99.950344650205764"/>
    <n v="98.923739711934147"/>
  </r>
  <r>
    <n v="114"/>
    <x v="5"/>
    <x v="113"/>
    <s v="AP"/>
    <n v="99.952124485596713"/>
    <n v="98.325689300411511"/>
  </r>
  <r>
    <n v="115"/>
    <x v="5"/>
    <x v="114"/>
    <s v="AP"/>
    <n v="99.881751543209873"/>
    <n v="100"/>
  </r>
  <r>
    <n v="116"/>
    <x v="5"/>
    <x v="115"/>
    <s v="AP"/>
    <n v="100"/>
    <n v="100"/>
  </r>
  <r>
    <n v="117"/>
    <x v="5"/>
    <x v="116"/>
    <s v="AP"/>
    <n v="100"/>
    <n v="100"/>
  </r>
  <r>
    <n v="118"/>
    <x v="5"/>
    <x v="117"/>
    <s v="AP"/>
    <n v="99.890871913580241"/>
    <n v="100"/>
  </r>
  <r>
    <n v="119"/>
    <x v="5"/>
    <x v="118"/>
    <s v="AP"/>
    <n v="99.964103009259262"/>
    <n v="99.358956404320978"/>
  </r>
  <r>
    <n v="120"/>
    <x v="5"/>
    <x v="119"/>
    <s v="AP"/>
    <n v="99.883927469135799"/>
    <n v="100"/>
  </r>
  <r>
    <n v="121"/>
    <x v="5"/>
    <x v="120"/>
    <s v="AP"/>
    <n v="99.867955246913581"/>
    <n v="100"/>
  </r>
  <r>
    <n v="122"/>
    <x v="5"/>
    <x v="121"/>
    <s v="AP"/>
    <n v="99.989020061728397"/>
    <n v="99.991458333333327"/>
  </r>
  <r>
    <n v="123"/>
    <x v="5"/>
    <x v="122"/>
    <s v="AP"/>
    <n v="100"/>
    <n v="100"/>
  </r>
  <r>
    <n v="124"/>
    <x v="5"/>
    <x v="123"/>
    <s v="AP"/>
    <n v="100"/>
    <n v="100"/>
  </r>
  <r>
    <n v="125"/>
    <x v="5"/>
    <x v="124"/>
    <s v="AP"/>
    <n v="100"/>
    <n v="100"/>
  </r>
  <r>
    <n v="126"/>
    <x v="5"/>
    <x v="125"/>
    <s v="AP"/>
    <n v="99.993554894179894"/>
    <n v="98.37997685185185"/>
  </r>
  <r>
    <n v="127"/>
    <x v="5"/>
    <x v="126"/>
    <s v="AP"/>
    <n v="99.990370370370371"/>
    <n v="99.990100308641971"/>
  </r>
  <r>
    <n v="128"/>
    <x v="5"/>
    <x v="127"/>
    <s v="AP"/>
    <n v="100"/>
    <n v="100"/>
  </r>
  <r>
    <n v="129"/>
    <x v="5"/>
    <x v="128"/>
    <s v="AP"/>
    <n v="100"/>
    <n v="100"/>
  </r>
  <r>
    <n v="130"/>
    <x v="5"/>
    <x v="129"/>
    <s v="AP"/>
    <n v="100"/>
    <n v="100"/>
  </r>
  <r>
    <n v="131"/>
    <x v="5"/>
    <x v="130"/>
    <s v="AP"/>
    <n v="100"/>
    <n v="100"/>
  </r>
  <r>
    <n v="132"/>
    <x v="5"/>
    <x v="131"/>
    <s v="AP"/>
    <n v="100"/>
    <n v="100"/>
  </r>
  <r>
    <n v="133"/>
    <x v="5"/>
    <x v="132"/>
    <s v="AP"/>
    <n v="100"/>
    <n v="100"/>
  </r>
  <r>
    <n v="134"/>
    <x v="5"/>
    <x v="133"/>
    <s v="SW"/>
    <n v="99.997276234567906"/>
    <n v="97.53813271604939"/>
  </r>
  <r>
    <n v="135"/>
    <x v="5"/>
    <x v="134"/>
    <s v="SW"/>
    <n v="99.99599922839505"/>
    <n v="98.187739197530874"/>
  </r>
  <r>
    <n v="136"/>
    <x v="5"/>
    <x v="135"/>
    <s v="SW"/>
    <n v="100"/>
    <n v="100"/>
  </r>
  <r>
    <n v="137"/>
    <x v="5"/>
    <x v="136"/>
    <s v="SW"/>
    <n v="100"/>
    <n v="100"/>
  </r>
  <r>
    <n v="138"/>
    <x v="5"/>
    <x v="137"/>
    <s v="SW"/>
    <n v="99.986087962962969"/>
    <n v="96.585208333333327"/>
  </r>
  <r>
    <n v="139"/>
    <x v="5"/>
    <x v="138"/>
    <s v="SW"/>
    <n v="100"/>
    <n v="100"/>
  </r>
  <r>
    <n v="140"/>
    <x v="5"/>
    <x v="139"/>
    <s v="SW"/>
    <n v="100"/>
    <n v="100"/>
  </r>
  <r>
    <n v="141"/>
    <x v="5"/>
    <x v="140"/>
    <s v="SW"/>
    <n v="100"/>
    <n v="100"/>
  </r>
  <r>
    <n v="142"/>
    <x v="5"/>
    <x v="141"/>
    <s v="SW"/>
    <n v="100"/>
    <n v="100"/>
  </r>
  <r>
    <n v="143"/>
    <x v="5"/>
    <x v="142"/>
    <s v="SW"/>
    <n v="100"/>
    <n v="100"/>
  </r>
  <r>
    <n v="144"/>
    <x v="5"/>
    <x v="143"/>
    <s v="SW"/>
    <n v="100"/>
    <n v="100"/>
  </r>
  <r>
    <n v="145"/>
    <x v="5"/>
    <x v="144"/>
    <s v="SW"/>
    <n v="100"/>
    <n v="100"/>
  </r>
  <r>
    <n v="146"/>
    <x v="5"/>
    <x v="145"/>
    <s v="SW"/>
    <n v="100"/>
    <n v="100"/>
  </r>
  <r>
    <n v="147"/>
    <x v="5"/>
    <x v="146"/>
    <s v="SW"/>
    <n v="100"/>
    <n v="100"/>
  </r>
  <r>
    <n v="148"/>
    <x v="5"/>
    <x v="147"/>
    <s v="SW"/>
    <n v="100.53787037037037"/>
    <n v="94.207908950617281"/>
  </r>
  <r>
    <n v="149"/>
    <x v="5"/>
    <x v="148"/>
    <s v="SW"/>
    <n v="100"/>
    <n v="100"/>
  </r>
  <r>
    <n v="150"/>
    <x v="5"/>
    <x v="149"/>
    <s v="SW"/>
    <n v="99.984236111111116"/>
    <n v="98.647646604938274"/>
  </r>
  <r>
    <n v="151"/>
    <x v="5"/>
    <x v="150"/>
    <s v="SW"/>
    <n v="100"/>
    <n v="100"/>
  </r>
  <r>
    <n v="152"/>
    <x v="5"/>
    <x v="151"/>
    <s v="SW"/>
    <n v="100"/>
    <n v="100"/>
  </r>
  <r>
    <n v="153"/>
    <x v="5"/>
    <x v="152"/>
    <s v="SW"/>
    <n v="100"/>
    <n v="100"/>
  </r>
  <r>
    <n v="154"/>
    <x v="5"/>
    <x v="153"/>
    <s v="SW"/>
    <n v="100"/>
    <n v="100"/>
  </r>
  <r>
    <n v="155"/>
    <x v="5"/>
    <x v="154"/>
    <s v="SW"/>
    <n v="100"/>
    <n v="100"/>
  </r>
  <r>
    <n v="156"/>
    <x v="5"/>
    <x v="155"/>
    <s v="SW"/>
    <n v="100"/>
    <n v="100"/>
  </r>
  <r>
    <n v="157"/>
    <x v="5"/>
    <x v="156"/>
    <s v="SW"/>
    <n v="99.973148148148155"/>
    <n v="92.498726851851856"/>
  </r>
  <r>
    <n v="158"/>
    <x v="5"/>
    <x v="157"/>
    <s v="SW"/>
    <n v="100"/>
    <n v="100"/>
  </r>
  <r>
    <n v="159"/>
    <x v="5"/>
    <x v="158"/>
    <s v="SW"/>
    <n v="100"/>
    <n v="100"/>
  </r>
  <r>
    <n v="160"/>
    <x v="5"/>
    <x v="159"/>
    <s v="SW"/>
    <n v="99.96672067901234"/>
    <n v="99.877762345679017"/>
  </r>
  <r>
    <n v="161"/>
    <x v="5"/>
    <x v="160"/>
    <s v="SW"/>
    <n v="100"/>
    <n v="100"/>
  </r>
  <r>
    <n v="162"/>
    <x v="5"/>
    <x v="161"/>
    <s v="SW"/>
    <n v="99.831967592592591"/>
    <n v="92.439351851851853"/>
  </r>
  <r>
    <n v="163"/>
    <x v="5"/>
    <x v="162"/>
    <s v="SW"/>
    <n v="99.814467592592592"/>
    <n v="94.299266975308655"/>
  </r>
  <r>
    <n v="164"/>
    <x v="5"/>
    <x v="163"/>
    <s v="SW"/>
    <n v="100"/>
    <n v="100"/>
  </r>
  <r>
    <n v="165"/>
    <x v="5"/>
    <x v="164"/>
    <s v="SW"/>
    <n v="100"/>
    <n v="100"/>
  </r>
  <r>
    <n v="166"/>
    <x v="5"/>
    <x v="165"/>
    <s v="SW"/>
    <n v="100"/>
    <n v="100"/>
  </r>
  <r>
    <n v="167"/>
    <x v="5"/>
    <x v="166"/>
    <s v="SW"/>
    <n v="100"/>
    <n v="100"/>
  </r>
  <r>
    <n v="168"/>
    <x v="5"/>
    <x v="167"/>
    <s v="SW"/>
    <n v="100"/>
    <n v="100"/>
  </r>
  <r>
    <n v="169"/>
    <x v="5"/>
    <x v="168"/>
    <s v="SW"/>
    <n v="100"/>
    <n v="100"/>
  </r>
  <r>
    <n v="170"/>
    <x v="5"/>
    <x v="169"/>
    <s v="SW"/>
    <n v="100"/>
    <n v="100"/>
  </r>
  <r>
    <n v="171"/>
    <x v="5"/>
    <x v="170"/>
    <s v="SW"/>
    <n v="100"/>
    <n v="100"/>
  </r>
  <r>
    <n v="172"/>
    <x v="6"/>
    <x v="171"/>
    <s v="SW"/>
    <n v="100"/>
    <n v="100"/>
  </r>
  <r>
    <n v="173"/>
    <x v="6"/>
    <x v="172"/>
    <s v="SW"/>
    <n v="100"/>
    <n v="100"/>
  </r>
  <r>
    <n v="174"/>
    <x v="6"/>
    <x v="173"/>
    <s v="SW"/>
    <n v="100"/>
    <n v="100"/>
  </r>
  <r>
    <n v="175"/>
    <x v="6"/>
    <x v="174"/>
    <s v="SW"/>
    <n v="100"/>
    <n v="100"/>
  </r>
  <r>
    <n v="176"/>
    <x v="6"/>
    <x v="175"/>
    <s v="WLC"/>
    <n v="100"/>
    <n v="100"/>
  </r>
  <r>
    <n v="177"/>
    <x v="6"/>
    <x v="176"/>
    <s v="SW"/>
    <n v="100"/>
    <n v="100"/>
  </r>
  <r>
    <n v="178"/>
    <x v="6"/>
    <x v="177"/>
    <s v="SW"/>
    <n v="100"/>
    <n v="100"/>
  </r>
  <r>
    <n v="179"/>
    <x v="6"/>
    <x v="178"/>
    <s v="SW"/>
    <n v="100"/>
    <n v="100"/>
  </r>
  <r>
    <n v="180"/>
    <x v="6"/>
    <x v="179"/>
    <s v="SW"/>
    <n v="100"/>
    <n v="100"/>
  </r>
  <r>
    <n v="181"/>
    <x v="6"/>
    <x v="180"/>
    <s v="SW"/>
    <n v="100"/>
    <n v="100"/>
  </r>
  <r>
    <n v="182"/>
    <x v="6"/>
    <x v="181"/>
    <s v="SW"/>
    <n v="100"/>
    <n v="100"/>
  </r>
  <r>
    <n v="183"/>
    <x v="6"/>
    <x v="182"/>
    <s v="SW"/>
    <n v="100"/>
    <n v="100"/>
  </r>
  <r>
    <n v="184"/>
    <x v="6"/>
    <x v="183"/>
    <s v="Router"/>
    <n v="100"/>
    <n v="100"/>
  </r>
  <r>
    <n v="185"/>
    <x v="6"/>
    <x v="184"/>
    <s v="Router"/>
    <n v="100"/>
    <n v="100"/>
  </r>
  <r>
    <n v="186"/>
    <x v="6"/>
    <x v="185"/>
    <s v="Cisco ISE"/>
    <n v="100"/>
    <n v="100"/>
  </r>
  <r>
    <n v="187"/>
    <x v="6"/>
    <x v="186"/>
    <s v="Cisco ISE"/>
    <n v="100"/>
    <n v="100"/>
  </r>
  <r>
    <n v="188"/>
    <x v="6"/>
    <x v="187"/>
    <s v="WLC"/>
    <n v="100"/>
    <n v="100"/>
  </r>
  <r>
    <n v="189"/>
    <x v="6"/>
    <x v="188"/>
    <s v="AP"/>
    <n v="100"/>
    <n v="100"/>
  </r>
  <r>
    <n v="190"/>
    <x v="6"/>
    <x v="189"/>
    <s v="AP"/>
    <n v="100"/>
    <n v="100"/>
  </r>
  <r>
    <n v="191"/>
    <x v="6"/>
    <x v="190"/>
    <s v="AP"/>
    <n v="100"/>
    <n v="100"/>
  </r>
  <r>
    <n v="192"/>
    <x v="6"/>
    <x v="191"/>
    <s v="AP"/>
    <n v="100"/>
    <n v="100"/>
  </r>
  <r>
    <n v="193"/>
    <x v="6"/>
    <x v="192"/>
    <s v="AP"/>
    <n v="100"/>
    <n v="100"/>
  </r>
  <r>
    <n v="194"/>
    <x v="6"/>
    <x v="193"/>
    <s v="AP"/>
    <n v="100"/>
    <n v="100"/>
  </r>
  <r>
    <n v="195"/>
    <x v="6"/>
    <x v="194"/>
    <s v="AP"/>
    <n v="100"/>
    <n v="100"/>
  </r>
  <r>
    <n v="196"/>
    <x v="6"/>
    <x v="195"/>
    <s v="AP"/>
    <n v="100"/>
    <n v="100"/>
  </r>
  <r>
    <n v="197"/>
    <x v="6"/>
    <x v="196"/>
    <s v="AP"/>
    <n v="100"/>
    <n v="100"/>
  </r>
  <r>
    <n v="198"/>
    <x v="6"/>
    <x v="197"/>
    <s v="AP"/>
    <n v="100"/>
    <n v="100"/>
  </r>
  <r>
    <n v="199"/>
    <x v="6"/>
    <x v="198"/>
    <s v="AP"/>
    <n v="99.977260802469132"/>
    <n v="95.772299382716042"/>
  </r>
  <r>
    <n v="200"/>
    <x v="6"/>
    <x v="199"/>
    <s v="AP"/>
    <n v="100"/>
    <n v="100"/>
  </r>
  <r>
    <n v="201"/>
    <x v="6"/>
    <x v="200"/>
    <s v="AP"/>
    <n v="100"/>
    <n v="100"/>
  </r>
  <r>
    <n v="202"/>
    <x v="6"/>
    <x v="201"/>
    <s v="AP"/>
    <n v="100"/>
    <n v="100"/>
  </r>
  <r>
    <n v="203"/>
    <x v="6"/>
    <x v="202"/>
    <s v="AP"/>
    <n v="100"/>
    <n v="100"/>
  </r>
  <r>
    <n v="204"/>
    <x v="6"/>
    <x v="203"/>
    <s v="AP"/>
    <n v="100"/>
    <n v="100"/>
  </r>
  <r>
    <n v="205"/>
    <x v="6"/>
    <x v="204"/>
    <s v="AP"/>
    <n v="100"/>
    <n v="100"/>
  </r>
  <r>
    <n v="206"/>
    <x v="6"/>
    <x v="205"/>
    <s v="AP"/>
    <n v="100"/>
    <n v="100"/>
  </r>
  <r>
    <n v="207"/>
    <x v="6"/>
    <x v="206"/>
    <s v="AP"/>
    <n v="100"/>
    <n v="100"/>
  </r>
  <r>
    <n v="208"/>
    <x v="6"/>
    <x v="207"/>
    <s v="AP"/>
    <n v="100"/>
    <n v="100"/>
  </r>
  <r>
    <n v="209"/>
    <x v="6"/>
    <x v="208"/>
    <s v="AP"/>
    <n v="100"/>
    <n v="100"/>
  </r>
  <r>
    <n v="210"/>
    <x v="6"/>
    <x v="209"/>
    <s v="AP"/>
    <n v="100"/>
    <n v="100"/>
  </r>
  <r>
    <n v="211"/>
    <x v="6"/>
    <x v="210"/>
    <s v="AP"/>
    <n v="100"/>
    <n v="100"/>
  </r>
  <r>
    <n v="212"/>
    <x v="6"/>
    <x v="211"/>
    <s v="AP"/>
    <n v="100"/>
    <n v="100"/>
  </r>
  <r>
    <n v="213"/>
    <x v="6"/>
    <x v="212"/>
    <s v="AP"/>
    <n v="100"/>
    <n v="100"/>
  </r>
  <r>
    <n v="214"/>
    <x v="6"/>
    <x v="213"/>
    <s v="AP"/>
    <n v="100"/>
    <n v="100"/>
  </r>
  <r>
    <n v="215"/>
    <x v="6"/>
    <x v="214"/>
    <s v="AP"/>
    <n v="100"/>
    <n v="100"/>
  </r>
  <r>
    <n v="216"/>
    <x v="6"/>
    <x v="215"/>
    <s v="AP"/>
    <n v="100"/>
    <n v="100"/>
  </r>
  <r>
    <n v="217"/>
    <x v="6"/>
    <x v="216"/>
    <s v="AP"/>
    <n v="100"/>
    <n v="100"/>
  </r>
  <r>
    <n v="218"/>
    <x v="6"/>
    <x v="217"/>
    <s v="AP"/>
    <n v="100"/>
    <n v="100"/>
  </r>
  <r>
    <n v="219"/>
    <x v="6"/>
    <x v="218"/>
    <s v="AP"/>
    <n v="100"/>
    <n v="100"/>
  </r>
  <r>
    <n v="220"/>
    <x v="6"/>
    <x v="219"/>
    <s v="AP"/>
    <n v="100"/>
    <n v="100"/>
  </r>
  <r>
    <n v="221"/>
    <x v="6"/>
    <x v="220"/>
    <s v="AP"/>
    <n v="100"/>
    <n v="100"/>
  </r>
  <r>
    <n v="222"/>
    <x v="6"/>
    <x v="221"/>
    <s v="AP"/>
    <n v="100"/>
    <n v="100"/>
  </r>
  <r>
    <n v="223"/>
    <x v="6"/>
    <x v="222"/>
    <s v="AP"/>
    <n v="100"/>
    <n v="100"/>
  </r>
  <r>
    <n v="224"/>
    <x v="6"/>
    <x v="223"/>
    <s v="AP"/>
    <n v="100"/>
    <n v="100"/>
  </r>
  <r>
    <n v="225"/>
    <x v="6"/>
    <x v="224"/>
    <s v="AP"/>
    <n v="100"/>
    <n v="100"/>
  </r>
  <r>
    <n v="226"/>
    <x v="6"/>
    <x v="225"/>
    <s v="AP"/>
    <n v="100"/>
    <n v="100"/>
  </r>
  <r>
    <n v="227"/>
    <x v="6"/>
    <x v="226"/>
    <s v="AP"/>
    <n v="100"/>
    <n v="100"/>
  </r>
  <r>
    <n v="228"/>
    <x v="6"/>
    <x v="227"/>
    <s v="AP"/>
    <n v="100"/>
    <n v="100"/>
  </r>
  <r>
    <n v="229"/>
    <x v="6"/>
    <x v="228"/>
    <s v="SW"/>
    <n v="100"/>
    <n v="100"/>
  </r>
  <r>
    <n v="230"/>
    <x v="6"/>
    <x v="229"/>
    <s v="SW"/>
    <n v="100"/>
    <n v="100"/>
  </r>
  <r>
    <n v="231"/>
    <x v="6"/>
    <x v="230"/>
    <s v="SW"/>
    <n v="100"/>
    <n v="100"/>
  </r>
  <r>
    <n v="232"/>
    <x v="6"/>
    <x v="231"/>
    <s v="SW"/>
    <n v="100"/>
    <n v="100"/>
  </r>
  <r>
    <n v="233"/>
    <x v="6"/>
    <x v="232"/>
    <s v="SW"/>
    <n v="100"/>
    <n v="100"/>
  </r>
  <r>
    <n v="234"/>
    <x v="6"/>
    <x v="233"/>
    <s v="SW"/>
    <n v="100"/>
    <n v="100"/>
  </r>
  <r>
    <n v="235"/>
    <x v="6"/>
    <x v="234"/>
    <s v="SW"/>
    <n v="100"/>
    <n v="100"/>
  </r>
  <r>
    <n v="236"/>
    <x v="6"/>
    <x v="235"/>
    <s v="SW"/>
    <n v="100"/>
    <n v="100"/>
  </r>
  <r>
    <n v="237"/>
    <x v="6"/>
    <x v="236"/>
    <s v="SW"/>
    <n v="100"/>
    <n v="100"/>
  </r>
  <r>
    <n v="238"/>
    <x v="6"/>
    <x v="237"/>
    <s v="SW"/>
    <n v="100"/>
    <n v="100"/>
  </r>
  <r>
    <n v="239"/>
    <x v="6"/>
    <x v="238"/>
    <s v="SW"/>
    <n v="100"/>
    <n v="100"/>
  </r>
  <r>
    <n v="240"/>
    <x v="6"/>
    <x v="239"/>
    <s v="SW"/>
    <n v="100"/>
    <n v="100"/>
  </r>
  <r>
    <n v="241"/>
    <x v="6"/>
    <x v="240"/>
    <s v="SW"/>
    <n v="100"/>
    <n v="100"/>
  </r>
  <r>
    <n v="242"/>
    <x v="6"/>
    <x v="241"/>
    <s v="SW"/>
    <n v="100"/>
    <n v="100"/>
  </r>
  <r>
    <n v="243"/>
    <x v="6"/>
    <x v="242"/>
    <s v="SW"/>
    <n v="100"/>
    <n v="100"/>
  </r>
  <r>
    <n v="244"/>
    <x v="6"/>
    <x v="243"/>
    <s v="SW"/>
    <n v="100"/>
    <n v="100"/>
  </r>
  <r>
    <n v="245"/>
    <x v="6"/>
    <x v="244"/>
    <s v="SW"/>
    <n v="100"/>
    <n v="100"/>
  </r>
  <r>
    <n v="246"/>
    <x v="6"/>
    <x v="245"/>
    <s v="SW"/>
    <n v="100"/>
    <n v="100"/>
  </r>
  <r>
    <n v="247"/>
    <x v="6"/>
    <x v="246"/>
    <s v="SW"/>
    <n v="100"/>
    <n v="100"/>
  </r>
  <r>
    <n v="248"/>
    <x v="6"/>
    <x v="247"/>
    <s v="SW"/>
    <n v="100"/>
    <n v="100"/>
  </r>
  <r>
    <n v="249"/>
    <x v="6"/>
    <x v="248"/>
    <s v="SW"/>
    <n v="100"/>
    <n v="100"/>
  </r>
  <r>
    <n v="250"/>
    <x v="6"/>
    <x v="249"/>
    <s v="SW"/>
    <n v="100"/>
    <n v="100"/>
  </r>
  <r>
    <n v="251"/>
    <x v="6"/>
    <x v="250"/>
    <s v="SW"/>
    <n v="100"/>
    <n v="100"/>
  </r>
  <r>
    <n v="252"/>
    <x v="6"/>
    <x v="251"/>
    <s v="SW"/>
    <n v="100"/>
    <n v="100"/>
  </r>
  <r>
    <n v="253"/>
    <x v="7"/>
    <x v="252"/>
    <s v="SW"/>
    <n v="92.050617283950615"/>
    <n v="100"/>
  </r>
  <r>
    <n v="254"/>
    <x v="7"/>
    <x v="253"/>
    <s v="SW"/>
    <n v="99.992376543209872"/>
    <n v="93.778564814814814"/>
  </r>
  <r>
    <n v="255"/>
    <x v="7"/>
    <x v="254"/>
    <s v="SW"/>
    <n v="100"/>
    <n v="100"/>
  </r>
  <r>
    <n v="256"/>
    <x v="7"/>
    <x v="255"/>
    <s v="SW"/>
    <n v="100"/>
    <n v="100"/>
  </r>
  <r>
    <n v="257"/>
    <x v="7"/>
    <x v="256"/>
    <s v="SW"/>
    <n v="100"/>
    <n v="100"/>
  </r>
  <r>
    <n v="258"/>
    <x v="7"/>
    <x v="257"/>
    <s v="SW"/>
    <n v="100"/>
    <n v="100"/>
  </r>
  <r>
    <n v="259"/>
    <x v="7"/>
    <x v="258"/>
    <s v="SW"/>
    <n v="100"/>
    <n v="100"/>
  </r>
  <r>
    <n v="260"/>
    <x v="7"/>
    <x v="259"/>
    <s v="SW"/>
    <n v="100"/>
    <n v="100"/>
  </r>
  <r>
    <n v="261"/>
    <x v="7"/>
    <x v="260"/>
    <s v="SW"/>
    <n v="100"/>
    <n v="100"/>
  </r>
  <r>
    <n v="262"/>
    <x v="7"/>
    <x v="261"/>
    <s v="SW"/>
    <n v="99.991226851851849"/>
    <n v="99.860478395061719"/>
  </r>
  <r>
    <n v="263"/>
    <x v="7"/>
    <x v="262"/>
    <s v="SW"/>
    <n v="99.993209876543204"/>
    <n v="99.955038580246907"/>
  </r>
  <r>
    <n v="264"/>
    <x v="7"/>
    <x v="263"/>
    <s v="SW"/>
    <n v="100"/>
    <n v="100"/>
  </r>
  <r>
    <n v="265"/>
    <x v="7"/>
    <x v="264"/>
    <s v="SW"/>
    <n v="99.99284722222221"/>
    <n v="99.770293209876542"/>
  </r>
  <r>
    <n v="266"/>
    <x v="7"/>
    <x v="265"/>
    <s v="SW"/>
    <n v="99.987368827160495"/>
    <n v="89.26886574074075"/>
  </r>
  <r>
    <n v="267"/>
    <x v="7"/>
    <x v="266"/>
    <s v="SW"/>
    <n v="99.989567901234565"/>
    <n v="96.658063271604945"/>
  </r>
  <r>
    <n v="268"/>
    <x v="7"/>
    <x v="267"/>
    <s v="SW"/>
    <n v="100"/>
    <n v="100"/>
  </r>
  <r>
    <n v="269"/>
    <x v="7"/>
    <x v="268"/>
    <s v="SW"/>
    <n v="100"/>
    <n v="100"/>
  </r>
  <r>
    <n v="270"/>
    <x v="7"/>
    <x v="269"/>
    <s v="SW"/>
    <n v="100"/>
    <n v="100"/>
  </r>
  <r>
    <n v="271"/>
    <x v="7"/>
    <x v="270"/>
    <s v="SW"/>
    <n v="99.992932098765422"/>
    <n v="99.200646219135805"/>
  </r>
  <r>
    <n v="272"/>
    <x v="7"/>
    <x v="271"/>
    <s v="SW"/>
    <n v="99.993942901234561"/>
    <n v="99.414969135802465"/>
  </r>
  <r>
    <n v="273"/>
    <x v="7"/>
    <x v="272"/>
    <s v="SW"/>
    <n v="100"/>
    <n v="100"/>
  </r>
  <r>
    <n v="274"/>
    <x v="7"/>
    <x v="273"/>
    <s v="SW"/>
    <n v="99.995115740740744"/>
    <n v="99.656504629629623"/>
  </r>
  <r>
    <n v="275"/>
    <x v="7"/>
    <x v="274"/>
    <s v="SW"/>
    <n v="100"/>
    <n v="100"/>
  </r>
  <r>
    <n v="276"/>
    <x v="7"/>
    <x v="275"/>
    <s v="SW"/>
    <n v="100"/>
    <n v="100"/>
  </r>
  <r>
    <n v="277"/>
    <x v="7"/>
    <x v="276"/>
    <s v="SW"/>
    <n v="99.994675925925932"/>
    <n v="99.243348765432103"/>
  </r>
  <r>
    <n v="278"/>
    <x v="7"/>
    <x v="277"/>
    <s v="SW"/>
    <n v="100"/>
    <n v="100"/>
  </r>
  <r>
    <n v="279"/>
    <x v="7"/>
    <x v="278"/>
    <s v="SW"/>
    <n v="100"/>
    <n v="100"/>
  </r>
  <r>
    <n v="280"/>
    <x v="7"/>
    <x v="279"/>
    <s v="SW"/>
    <n v="99.989405864197536"/>
    <n v="99.659390432098775"/>
  </r>
  <r>
    <n v="281"/>
    <x v="7"/>
    <x v="280"/>
    <s v="SW"/>
    <n v="99.989004629629633"/>
    <n v="99.938672839506168"/>
  </r>
  <r>
    <n v="282"/>
    <x v="7"/>
    <x v="281"/>
    <s v="SW"/>
    <n v="100"/>
    <n v="100"/>
  </r>
  <r>
    <n v="283"/>
    <x v="7"/>
    <x v="282"/>
    <s v="SW"/>
    <n v="99.991890432098756"/>
    <n v="98.729656635802471"/>
  </r>
  <r>
    <n v="284"/>
    <x v="7"/>
    <x v="283"/>
    <s v="SW"/>
    <n v="99.995806327160494"/>
    <n v="98.728244598765428"/>
  </r>
  <r>
    <n v="285"/>
    <x v="7"/>
    <x v="284"/>
    <s v="SW"/>
    <n v="99.993429783950617"/>
    <n v="99.412924382716056"/>
  </r>
  <r>
    <n v="286"/>
    <x v="7"/>
    <x v="285"/>
    <s v="SW"/>
    <n v="100"/>
    <n v="100"/>
  </r>
  <r>
    <n v="287"/>
    <x v="7"/>
    <x v="286"/>
    <s v="SW"/>
    <n v="99.995408950617275"/>
    <n v="99.943881172839511"/>
  </r>
  <r>
    <n v="288"/>
    <x v="7"/>
    <x v="287"/>
    <s v="SW"/>
    <n v="100"/>
    <n v="100"/>
  </r>
  <r>
    <n v="289"/>
    <x v="7"/>
    <x v="288"/>
    <s v="SW"/>
    <n v="99.99463734567901"/>
    <n v="99.245578703703714"/>
  </r>
  <r>
    <n v="290"/>
    <x v="7"/>
    <x v="289"/>
    <s v="SW"/>
    <n v="99.991412037037037"/>
    <n v="99.654297839506185"/>
  </r>
  <r>
    <n v="291"/>
    <x v="7"/>
    <x v="290"/>
    <s v="SW"/>
    <n v="100"/>
    <n v="100"/>
  </r>
  <r>
    <n v="292"/>
    <x v="7"/>
    <x v="291"/>
    <s v="SW"/>
    <n v="100"/>
    <n v="100"/>
  </r>
  <r>
    <n v="293"/>
    <x v="7"/>
    <x v="292"/>
    <s v="SW"/>
    <n v="99.995196759259258"/>
    <n v="75.047114197530874"/>
  </r>
  <r>
    <n v="294"/>
    <x v="7"/>
    <x v="293"/>
    <s v="SW"/>
    <n v="99.992145061728394"/>
    <n v="100"/>
  </r>
  <r>
    <n v="295"/>
    <x v="7"/>
    <x v="294"/>
    <s v="SW"/>
    <n v="100"/>
    <n v="100"/>
  </r>
  <r>
    <n v="296"/>
    <x v="7"/>
    <x v="295"/>
    <s v="SW"/>
    <n v="100"/>
    <n v="100"/>
  </r>
  <r>
    <n v="297"/>
    <x v="7"/>
    <x v="296"/>
    <s v="SW"/>
    <n v="99.990788966049379"/>
    <n v="99.981361882716044"/>
  </r>
  <r>
    <n v="298"/>
    <x v="7"/>
    <x v="297"/>
    <s v="SW"/>
    <n v="99.990843621399179"/>
    <n v="99.97505144032921"/>
  </r>
  <r>
    <n v="299"/>
    <x v="7"/>
    <x v="298"/>
    <s v="SW"/>
    <n v="100"/>
    <n v="100"/>
  </r>
  <r>
    <n v="300"/>
    <x v="7"/>
    <x v="299"/>
    <s v="SW"/>
    <n v="99.993711419753097"/>
    <n v="99.655709876543213"/>
  </r>
  <r>
    <n v="301"/>
    <x v="7"/>
    <x v="300"/>
    <s v="SW"/>
    <n v="100"/>
    <n v="100"/>
  </r>
  <r>
    <n v="302"/>
    <x v="7"/>
    <x v="301"/>
    <s v="SW"/>
    <n v="100"/>
    <n v="100"/>
  </r>
  <r>
    <n v="303"/>
    <x v="7"/>
    <x v="302"/>
    <s v="SW"/>
    <n v="100"/>
    <n v="100"/>
  </r>
  <r>
    <n v="304"/>
    <x v="7"/>
    <x v="303"/>
    <s v="SW"/>
    <n v="100"/>
    <n v="100"/>
  </r>
  <r>
    <n v="305"/>
    <x v="7"/>
    <x v="304"/>
    <s v="SW"/>
    <n v="100"/>
    <n v="100"/>
  </r>
  <r>
    <n v="306"/>
    <x v="7"/>
    <x v="305"/>
    <s v="SW"/>
    <n v="100"/>
    <n v="100"/>
  </r>
  <r>
    <n v="307"/>
    <x v="7"/>
    <x v="306"/>
    <s v="SW"/>
    <n v="100"/>
    <n v="100"/>
  </r>
  <r>
    <n v="308"/>
    <x v="7"/>
    <x v="307"/>
    <s v="SW"/>
    <n v="100"/>
    <n v="100"/>
  </r>
  <r>
    <n v="309"/>
    <x v="7"/>
    <x v="308"/>
    <s v="SW"/>
    <n v="99.994004629629629"/>
    <n v="99.373086419753093"/>
  </r>
  <r>
    <n v="310"/>
    <x v="7"/>
    <x v="309"/>
    <s v="SW"/>
    <n v="100"/>
    <n v="100"/>
  </r>
  <r>
    <n v="311"/>
    <x v="7"/>
    <x v="310"/>
    <s v="SW"/>
    <n v="100"/>
    <n v="100"/>
  </r>
  <r>
    <n v="312"/>
    <x v="7"/>
    <x v="311"/>
    <s v="SW"/>
    <n v="99.994675925925932"/>
    <n v="99.37335648148148"/>
  </r>
  <r>
    <n v="313"/>
    <x v="7"/>
    <x v="312"/>
    <s v="AP"/>
    <n v="100"/>
    <n v="100"/>
  </r>
  <r>
    <n v="314"/>
    <x v="7"/>
    <x v="313"/>
    <s v="AP"/>
    <n v="100"/>
    <n v="100"/>
  </r>
  <r>
    <n v="315"/>
    <x v="7"/>
    <x v="314"/>
    <s v="AP"/>
    <n v="100"/>
    <n v="100"/>
  </r>
  <r>
    <n v="316"/>
    <x v="7"/>
    <x v="315"/>
    <s v="AP"/>
    <n v="100"/>
    <n v="100"/>
  </r>
  <r>
    <n v="317"/>
    <x v="7"/>
    <x v="316"/>
    <s v="AP"/>
    <n v="100"/>
    <n v="100"/>
  </r>
  <r>
    <n v="318"/>
    <x v="7"/>
    <x v="317"/>
    <s v="AP"/>
    <n v="100"/>
    <n v="100"/>
  </r>
  <r>
    <n v="319"/>
    <x v="7"/>
    <x v="318"/>
    <s v="AP"/>
    <n v="100"/>
    <n v="100"/>
  </r>
  <r>
    <n v="320"/>
    <x v="7"/>
    <x v="319"/>
    <s v="AP"/>
    <n v="99.991913580246916"/>
    <n v="99.251412037037028"/>
  </r>
  <r>
    <n v="321"/>
    <x v="7"/>
    <x v="320"/>
    <s v="AP"/>
    <n v="100"/>
    <n v="100"/>
  </r>
  <r>
    <n v="322"/>
    <x v="7"/>
    <x v="321"/>
    <s v="AP"/>
    <n v="100"/>
    <n v="100"/>
  </r>
  <r>
    <n v="323"/>
    <x v="7"/>
    <x v="322"/>
    <s v="AP"/>
    <n v="100"/>
    <n v="100"/>
  </r>
  <r>
    <n v="324"/>
    <x v="7"/>
    <x v="323"/>
    <s v="AP"/>
    <n v="100"/>
    <n v="100"/>
  </r>
  <r>
    <n v="325"/>
    <x v="7"/>
    <x v="324"/>
    <s v="AP"/>
    <n v="100"/>
    <n v="100"/>
  </r>
  <r>
    <n v="326"/>
    <x v="7"/>
    <x v="325"/>
    <s v="AP"/>
    <n v="100"/>
    <n v="100"/>
  </r>
  <r>
    <n v="327"/>
    <x v="7"/>
    <x v="326"/>
    <s v="AP"/>
    <n v="100"/>
    <n v="100"/>
  </r>
  <r>
    <n v="328"/>
    <x v="7"/>
    <x v="327"/>
    <s v="AP"/>
    <n v="100"/>
    <n v="100"/>
  </r>
  <r>
    <n v="329"/>
    <x v="7"/>
    <x v="328"/>
    <s v="AP"/>
    <n v="100"/>
    <n v="100"/>
  </r>
  <r>
    <n v="330"/>
    <x v="7"/>
    <x v="329"/>
    <s v="AP"/>
    <n v="100"/>
    <n v="100"/>
  </r>
  <r>
    <n v="331"/>
    <x v="7"/>
    <x v="330"/>
    <s v="AP"/>
    <n v="99.994413580246913"/>
    <n v="99.945852623456801"/>
  </r>
  <r>
    <n v="332"/>
    <x v="7"/>
    <x v="331"/>
    <s v="AP"/>
    <n v="100"/>
    <n v="100"/>
  </r>
  <r>
    <n v="333"/>
    <x v="7"/>
    <x v="332"/>
    <s v="AP"/>
    <n v="100"/>
    <n v="100"/>
  </r>
  <r>
    <n v="334"/>
    <x v="7"/>
    <x v="333"/>
    <s v="AP"/>
    <n v="100"/>
    <n v="100"/>
  </r>
  <r>
    <n v="335"/>
    <x v="7"/>
    <x v="334"/>
    <s v="AP"/>
    <n v="100"/>
    <n v="100"/>
  </r>
  <r>
    <n v="336"/>
    <x v="7"/>
    <x v="335"/>
    <s v="AP"/>
    <n v="100"/>
    <n v="100"/>
  </r>
  <r>
    <n v="337"/>
    <x v="7"/>
    <x v="336"/>
    <s v="AP"/>
    <n v="99.991705246913583"/>
    <n v="99.955987654320978"/>
  </r>
  <r>
    <n v="338"/>
    <x v="7"/>
    <x v="337"/>
    <s v="AP"/>
    <n v="100"/>
    <n v="100"/>
  </r>
  <r>
    <n v="339"/>
    <x v="7"/>
    <x v="338"/>
    <s v="AP"/>
    <n v="100"/>
    <n v="100"/>
  </r>
  <r>
    <n v="340"/>
    <x v="7"/>
    <x v="339"/>
    <s v="AP"/>
    <n v="99.993032407407412"/>
    <n v="99.995694444444439"/>
  </r>
  <r>
    <n v="341"/>
    <x v="7"/>
    <x v="340"/>
    <s v="AP"/>
    <n v="99.993765432098769"/>
    <n v="99.93590277777777"/>
  </r>
  <r>
    <n v="342"/>
    <x v="7"/>
    <x v="341"/>
    <s v="AP"/>
    <n v="99.994807098765435"/>
    <n v="90.534336419753075"/>
  </r>
  <r>
    <n v="343"/>
    <x v="7"/>
    <x v="342"/>
    <s v="AP"/>
    <n v="100"/>
    <n v="100"/>
  </r>
  <r>
    <n v="344"/>
    <x v="7"/>
    <x v="343"/>
    <s v="AP"/>
    <n v="99.991689814814819"/>
    <n v="95.093348765432097"/>
  </r>
  <r>
    <n v="345"/>
    <x v="7"/>
    <x v="344"/>
    <s v="AP"/>
    <n v="100"/>
    <n v="100"/>
  </r>
  <r>
    <n v="346"/>
    <x v="7"/>
    <x v="345"/>
    <s v="AP"/>
    <n v="100"/>
    <n v="100"/>
  </r>
  <r>
    <n v="347"/>
    <x v="7"/>
    <x v="346"/>
    <s v="AP"/>
    <n v="100"/>
    <n v="100"/>
  </r>
  <r>
    <n v="348"/>
    <x v="7"/>
    <x v="347"/>
    <s v="AP"/>
    <n v="100"/>
    <n v="100"/>
  </r>
  <r>
    <n v="349"/>
    <x v="7"/>
    <x v="348"/>
    <s v="AP"/>
    <n v="100"/>
    <n v="100"/>
  </r>
  <r>
    <n v="350"/>
    <x v="7"/>
    <x v="349"/>
    <s v="AP"/>
    <n v="100"/>
    <n v="100"/>
  </r>
  <r>
    <n v="351"/>
    <x v="7"/>
    <x v="350"/>
    <s v="AP"/>
    <n v="99.986666666666665"/>
    <n v="99.655825617283938"/>
  </r>
  <r>
    <n v="352"/>
    <x v="7"/>
    <x v="351"/>
    <s v="AP"/>
    <n v="99.993996913580247"/>
    <n v="99.99212962962963"/>
  </r>
  <r>
    <n v="353"/>
    <x v="7"/>
    <x v="352"/>
    <s v="AP"/>
    <n v="100"/>
    <n v="100"/>
  </r>
  <r>
    <n v="354"/>
    <x v="7"/>
    <x v="353"/>
    <s v="AP"/>
    <n v="100"/>
    <n v="100"/>
  </r>
  <r>
    <n v="355"/>
    <x v="7"/>
    <x v="354"/>
    <s v="AP"/>
    <n v="100"/>
    <n v="100"/>
  </r>
  <r>
    <n v="356"/>
    <x v="7"/>
    <x v="355"/>
    <s v="AP"/>
    <n v="99.996396604938269"/>
    <n v="99.93882716049383"/>
  </r>
  <r>
    <n v="357"/>
    <x v="7"/>
    <x v="356"/>
    <s v="AP"/>
    <n v="100"/>
    <n v="100"/>
  </r>
  <r>
    <n v="358"/>
    <x v="7"/>
    <x v="357"/>
    <s v="AP"/>
    <n v="100"/>
    <n v="100"/>
  </r>
  <r>
    <n v="359"/>
    <x v="7"/>
    <x v="358"/>
    <s v="AP"/>
    <n v="100"/>
    <n v="100"/>
  </r>
  <r>
    <n v="360"/>
    <x v="7"/>
    <x v="359"/>
    <s v="AP"/>
    <n v="100"/>
    <n v="100"/>
  </r>
  <r>
    <n v="361"/>
    <x v="7"/>
    <x v="360"/>
    <s v="AP"/>
    <n v="99.99490740740741"/>
    <n v="99.995393518518512"/>
  </r>
  <r>
    <n v="362"/>
    <x v="7"/>
    <x v="361"/>
    <s v="AP"/>
    <n v="99.99251543209877"/>
    <n v="96.018310185185186"/>
  </r>
  <r>
    <n v="363"/>
    <x v="7"/>
    <x v="362"/>
    <s v="AP"/>
    <n v="100"/>
    <n v="100"/>
  </r>
  <r>
    <n v="364"/>
    <x v="7"/>
    <x v="363"/>
    <s v="AP"/>
    <n v="100"/>
    <n v="100"/>
  </r>
  <r>
    <n v="365"/>
    <x v="7"/>
    <x v="364"/>
    <s v="AP"/>
    <n v="99.99350308641975"/>
    <n v="99.249050925925928"/>
  </r>
  <r>
    <n v="366"/>
    <x v="7"/>
    <x v="365"/>
    <s v="AP"/>
    <n v="100"/>
    <n v="100"/>
  </r>
  <r>
    <n v="367"/>
    <x v="7"/>
    <x v="366"/>
    <s v="AP"/>
    <n v="100"/>
    <n v="100"/>
  </r>
  <r>
    <n v="368"/>
    <x v="7"/>
    <x v="367"/>
    <s v="AP"/>
    <n v="99.991415895061721"/>
    <n v="99.95397762345678"/>
  </r>
  <r>
    <n v="369"/>
    <x v="7"/>
    <x v="368"/>
    <s v="AP"/>
    <n v="99.992785493827157"/>
    <n v="99.995817901234574"/>
  </r>
  <r>
    <n v="370"/>
    <x v="7"/>
    <x v="369"/>
    <s v="AP"/>
    <n v="100"/>
    <n v="100"/>
  </r>
  <r>
    <n v="371"/>
    <x v="7"/>
    <x v="370"/>
    <s v="AP"/>
    <n v="100"/>
    <n v="100"/>
  </r>
  <r>
    <n v="372"/>
    <x v="7"/>
    <x v="371"/>
    <s v="AP"/>
    <n v="100"/>
    <n v="100"/>
  </r>
  <r>
    <n v="373"/>
    <x v="7"/>
    <x v="372"/>
    <s v="AP"/>
    <n v="100"/>
    <n v="100"/>
  </r>
  <r>
    <n v="374"/>
    <x v="7"/>
    <x v="373"/>
    <s v="AP"/>
    <n v="99.98860339506173"/>
    <n v="99.655300925925928"/>
  </r>
  <r>
    <n v="375"/>
    <x v="7"/>
    <x v="374"/>
    <s v="AP"/>
    <n v="100"/>
    <n v="100"/>
  </r>
  <r>
    <n v="376"/>
    <x v="7"/>
    <x v="375"/>
    <s v="AP"/>
    <n v="99.993996913580247"/>
    <n v="99.992168209876553"/>
  </r>
  <r>
    <n v="377"/>
    <x v="7"/>
    <x v="376"/>
    <s v="AP"/>
    <n v="100"/>
    <n v="100"/>
  </r>
  <r>
    <n v="378"/>
    <x v="7"/>
    <x v="377"/>
    <s v="AP"/>
    <n v="99.996091820987658"/>
    <n v="94.169783950617273"/>
  </r>
  <r>
    <n v="379"/>
    <x v="7"/>
    <x v="378"/>
    <s v="AP"/>
    <n v="100"/>
    <n v="100"/>
  </r>
  <r>
    <n v="380"/>
    <x v="7"/>
    <x v="379"/>
    <s v="AP"/>
    <n v="100"/>
    <n v="100"/>
  </r>
  <r>
    <n v="381"/>
    <x v="7"/>
    <x v="380"/>
    <s v="AP"/>
    <n v="100"/>
    <n v="100"/>
  </r>
  <r>
    <n v="382"/>
    <x v="7"/>
    <x v="381"/>
    <s v="AP"/>
    <n v="100"/>
    <n v="100"/>
  </r>
  <r>
    <n v="383"/>
    <x v="7"/>
    <x v="382"/>
    <s v="AP"/>
    <n v="100"/>
    <n v="100"/>
  </r>
  <r>
    <n v="384"/>
    <x v="7"/>
    <x v="383"/>
    <s v="AP"/>
    <n v="100"/>
    <n v="100"/>
  </r>
  <r>
    <n v="385"/>
    <x v="7"/>
    <x v="384"/>
    <s v="AP"/>
    <n v="100"/>
    <n v="100"/>
  </r>
  <r>
    <n v="386"/>
    <x v="7"/>
    <x v="385"/>
    <s v="AP"/>
    <n v="100"/>
    <n v="100"/>
  </r>
  <r>
    <n v="387"/>
    <x v="7"/>
    <x v="386"/>
    <s v="AP"/>
    <n v="100"/>
    <n v="100"/>
  </r>
  <r>
    <n v="388"/>
    <x v="7"/>
    <x v="387"/>
    <s v="AP"/>
    <n v="99.994290123456793"/>
    <n v="99.245949074074076"/>
  </r>
  <r>
    <n v="389"/>
    <x v="7"/>
    <x v="388"/>
    <s v="AP"/>
    <n v="100"/>
    <n v="100"/>
  </r>
  <r>
    <n v="390"/>
    <x v="7"/>
    <x v="389"/>
    <s v="AP"/>
    <n v="100"/>
    <n v="100"/>
  </r>
  <r>
    <n v="391"/>
    <x v="7"/>
    <x v="390"/>
    <s v="AP"/>
    <n v="100"/>
    <n v="100"/>
  </r>
  <r>
    <n v="392"/>
    <x v="7"/>
    <x v="391"/>
    <s v="AP"/>
    <n v="100"/>
    <n v="100"/>
  </r>
  <r>
    <n v="393"/>
    <x v="7"/>
    <x v="392"/>
    <s v="AP"/>
    <n v="100"/>
    <n v="100"/>
  </r>
  <r>
    <n v="394"/>
    <x v="7"/>
    <x v="393"/>
    <s v="AP"/>
    <n v="100"/>
    <n v="100"/>
  </r>
  <r>
    <n v="395"/>
    <x v="7"/>
    <x v="394"/>
    <s v="AP"/>
    <n v="99.995655864197531"/>
    <n v="90.534930555555562"/>
  </r>
  <r>
    <n v="396"/>
    <x v="7"/>
    <x v="395"/>
    <s v="AP"/>
    <n v="100"/>
    <n v="100"/>
  </r>
  <r>
    <n v="397"/>
    <x v="7"/>
    <x v="396"/>
    <s v="AP"/>
    <n v="100"/>
    <n v="100"/>
  </r>
  <r>
    <n v="398"/>
    <x v="7"/>
    <x v="397"/>
    <s v="AP"/>
    <n v="99.993850308641967"/>
    <n v="99.935046296296306"/>
  </r>
  <r>
    <n v="399"/>
    <x v="7"/>
    <x v="398"/>
    <s v="AP"/>
    <n v="100"/>
    <n v="100"/>
  </r>
  <r>
    <n v="400"/>
    <x v="7"/>
    <x v="399"/>
    <s v="AP"/>
    <n v="99.998171296296306"/>
    <n v="97.806712962962962"/>
  </r>
  <r>
    <n v="401"/>
    <x v="7"/>
    <x v="400"/>
    <s v="AP"/>
    <n v="100"/>
    <n v="100"/>
  </r>
  <r>
    <n v="402"/>
    <x v="7"/>
    <x v="401"/>
    <s v="AP"/>
    <n v="100"/>
    <n v="100"/>
  </r>
  <r>
    <n v="403"/>
    <x v="7"/>
    <x v="402"/>
    <s v="AP"/>
    <n v="99.995756172839506"/>
    <n v="97.806080246913581"/>
  </r>
  <r>
    <n v="404"/>
    <x v="7"/>
    <x v="403"/>
    <s v="AP"/>
    <n v="100"/>
    <n v="100"/>
  </r>
  <r>
    <n v="405"/>
    <x v="7"/>
    <x v="404"/>
    <s v="AP"/>
    <n v="100"/>
    <n v="100"/>
  </r>
  <r>
    <n v="406"/>
    <x v="7"/>
    <x v="405"/>
    <s v="AP"/>
    <n v="100"/>
    <n v="100"/>
  </r>
  <r>
    <n v="407"/>
    <x v="7"/>
    <x v="406"/>
    <s v="AP"/>
    <n v="100"/>
    <n v="100"/>
  </r>
  <r>
    <n v="408"/>
    <x v="7"/>
    <x v="407"/>
    <s v="AP"/>
    <n v="100"/>
    <n v="100"/>
  </r>
  <r>
    <n v="409"/>
    <x v="7"/>
    <x v="408"/>
    <s v="AP"/>
    <n v="100"/>
    <n v="100"/>
  </r>
  <r>
    <n v="410"/>
    <x v="7"/>
    <x v="409"/>
    <s v="AP"/>
    <n v="100"/>
    <n v="100"/>
  </r>
  <r>
    <n v="411"/>
    <x v="7"/>
    <x v="410"/>
    <s v="AP"/>
    <n v="100"/>
    <n v="100"/>
  </r>
  <r>
    <n v="412"/>
    <x v="7"/>
    <x v="411"/>
    <s v="AP"/>
    <n v="100"/>
    <n v="100"/>
  </r>
  <r>
    <n v="413"/>
    <x v="7"/>
    <x v="412"/>
    <s v="AP"/>
    <n v="100"/>
    <n v="100"/>
  </r>
  <r>
    <n v="414"/>
    <x v="7"/>
    <x v="413"/>
    <s v="AP"/>
    <n v="100"/>
    <n v="100"/>
  </r>
  <r>
    <n v="415"/>
    <x v="7"/>
    <x v="414"/>
    <s v="AP"/>
    <n v="100"/>
    <n v="100"/>
  </r>
  <r>
    <n v="416"/>
    <x v="7"/>
    <x v="415"/>
    <s v="AP"/>
    <n v="100"/>
    <n v="100"/>
  </r>
  <r>
    <n v="417"/>
    <x v="7"/>
    <x v="416"/>
    <s v="AP"/>
    <n v="100"/>
    <n v="100"/>
  </r>
  <r>
    <n v="418"/>
    <x v="7"/>
    <x v="417"/>
    <s v="AP"/>
    <n v="100"/>
    <n v="100"/>
  </r>
  <r>
    <n v="419"/>
    <x v="7"/>
    <x v="418"/>
    <s v="AP"/>
    <n v="99.994961419753096"/>
    <n v="99.37277777777777"/>
  </r>
  <r>
    <n v="420"/>
    <x v="7"/>
    <x v="419"/>
    <s v="AP"/>
    <n v="100"/>
    <n v="100"/>
  </r>
  <r>
    <n v="421"/>
    <x v="7"/>
    <x v="420"/>
    <s v="AP"/>
    <n v="100"/>
    <n v="100"/>
  </r>
  <r>
    <n v="422"/>
    <x v="7"/>
    <x v="421"/>
    <s v="AP"/>
    <n v="100"/>
    <n v="100"/>
  </r>
  <r>
    <n v="423"/>
    <x v="7"/>
    <x v="422"/>
    <s v="AP"/>
    <n v="100"/>
    <n v="100"/>
  </r>
  <r>
    <n v="424"/>
    <x v="7"/>
    <x v="423"/>
    <s v="AP"/>
    <n v="99.995659722222229"/>
    <n v="98.416381172839507"/>
  </r>
  <r>
    <n v="425"/>
    <x v="7"/>
    <x v="424"/>
    <s v="AP"/>
    <n v="100"/>
    <n v="100"/>
  </r>
  <r>
    <n v="426"/>
    <x v="7"/>
    <x v="425"/>
    <s v="AP"/>
    <n v="100"/>
    <n v="100"/>
  </r>
  <r>
    <n v="427"/>
    <x v="7"/>
    <x v="426"/>
    <s v="AP"/>
    <n v="100"/>
    <n v="100"/>
  </r>
  <r>
    <n v="428"/>
    <x v="7"/>
    <x v="427"/>
    <s v="AP"/>
    <n v="100"/>
    <n v="100"/>
  </r>
  <r>
    <n v="429"/>
    <x v="7"/>
    <x v="428"/>
    <s v="AP"/>
    <n v="100"/>
    <n v="100"/>
  </r>
  <r>
    <n v="430"/>
    <x v="7"/>
    <x v="429"/>
    <s v="AP"/>
    <n v="100"/>
    <n v="100"/>
  </r>
  <r>
    <n v="431"/>
    <x v="7"/>
    <x v="430"/>
    <s v="AP"/>
    <n v="100"/>
    <n v="100"/>
  </r>
  <r>
    <n v="432"/>
    <x v="7"/>
    <x v="431"/>
    <s v="AP"/>
    <n v="100"/>
    <n v="100"/>
  </r>
  <r>
    <n v="433"/>
    <x v="7"/>
    <x v="432"/>
    <s v="AP"/>
    <n v="100"/>
    <n v="100"/>
  </r>
  <r>
    <n v="434"/>
    <x v="7"/>
    <x v="433"/>
    <s v="AP"/>
    <n v="100"/>
    <n v="1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4">
  <r>
    <s v="Jubilant Foodworks Ltd (JFL)"/>
    <s v="Alert"/>
    <s v="Dheerendra Maurya"/>
    <s v="PRO/INC/41590"/>
    <s v="switches went down"/>
    <s v="Meraki Managed Services"/>
    <s v="Software / Configuration"/>
    <x v="0"/>
    <s v="Q2MW-DT66-3HKL"/>
    <s v="Q2MW-DT66-3HKL"/>
    <s v="SIDE-PLANT1"/>
    <x v="0"/>
    <s v="SIDE-PLANT1"/>
    <s v="MS250-24P"/>
    <s v="switch-17-1-4"/>
    <m/>
    <s v="Core"/>
    <s v="Closed"/>
    <x v="0"/>
    <s v="power issue"/>
    <s v="Switch went down due to power issue"/>
    <d v="2026-04-07T13:10:49"/>
    <d v="2026-04-07T16:23:00"/>
    <n v="192.18"/>
    <d v="2026-04-07T13:10:50"/>
    <n v="0.02"/>
    <n v="30"/>
    <s v="SLA Met"/>
    <d v="2026-04-07T13:19:21"/>
    <d v="2026-04-07T16:20:10"/>
    <n v="180.82"/>
    <n v="11.37"/>
    <n v="120"/>
    <s v="SLA Met"/>
    <m/>
    <n v="129600"/>
    <n v="129588.63"/>
    <n v="99.991226851851849"/>
    <n v="129419.18"/>
    <n v="99.860478395061719"/>
  </r>
  <r>
    <s v="Jubilant Foodworks Ltd (JFL)"/>
    <s v="Alert"/>
    <s v="Dheerendra Maurya"/>
    <s v="PRO/INC/41597"/>
    <s v="Need to Enable VLan 9 - GF-ETP-SW1-Port 45"/>
    <s v="Meraki Managed Services"/>
    <s v="Change Request"/>
    <x v="0"/>
    <m/>
    <s v="Q2QW-CAJU-QVKD"/>
    <s v="GF-ETP"/>
    <x v="0"/>
    <s v="GF-ETP-SW1"/>
    <s v="MS250-48FP"/>
    <s v="switch-17-1-4"/>
    <m/>
    <s v="P4"/>
    <s v="Closed"/>
    <x v="1"/>
    <s v="client site  activity"/>
    <s v="I have Enabled VLan 9 - GF-ETP-SW1-Port 45"/>
    <d v="2026-04-07T14:28:55"/>
    <d v="2026-04-07T15:16:00"/>
    <n v="47.08"/>
    <d v="2026-04-07T14:28:55"/>
    <n v="0"/>
    <n v="30"/>
    <s v="SLA Met"/>
    <d v="2026-04-07T14:31:14"/>
    <d v="2026-04-07T15:06:56"/>
    <n v="35.700000000000003"/>
    <n v="11.38"/>
    <n v="2880"/>
    <s v="SLA Met"/>
    <m/>
    <n v="129600"/>
    <n v="129588.62"/>
    <n v="99.991219135802467"/>
    <n v="129564.3"/>
    <n v="99.972453703703707"/>
  </r>
  <r>
    <s v="Jubilant Foodworks Ltd (JFL)"/>
    <s v="Alert"/>
    <s v="John Ashis Roy"/>
    <s v="PRO/INC/41621"/>
    <s v="aps went down"/>
    <s v="Meraki Managed Services"/>
    <s v="Software / Configuration"/>
    <x v="1"/>
    <s v="Q5AA-RM28-C2R8"/>
    <s v="Q5AA-RM28-C2R8"/>
    <s v="NA"/>
    <x v="1"/>
    <s v="JFL-Guwahati-SSC-AP-03"/>
    <s v="CW9162I"/>
    <s v="MR 32.1.7"/>
    <m/>
    <s v="Non-Core"/>
    <s v="Closed"/>
    <x v="2"/>
    <s v="Client Side Activity"/>
    <s v="AP firmware activity going on due to that AP went down, So now firmware has been upgraded successfully and AP came online."/>
    <d v="2026-04-07T21:07:37"/>
    <d v="2026-04-07T23:29:00"/>
    <n v="141.38"/>
    <d v="2026-04-07T21:07:37"/>
    <n v="0"/>
    <n v="30"/>
    <s v="SLA Met"/>
    <d v="2026-04-07T21:09:12"/>
    <d v="2026-04-07T23:24:20"/>
    <n v="135.13"/>
    <n v="6.25"/>
    <n v="120"/>
    <s v="SLA Met"/>
    <m/>
    <n v="129600"/>
    <n v="129593.75"/>
    <n v="99.995177469135797"/>
    <n v="129464.87"/>
    <n v="99.895733024691353"/>
  </r>
  <r>
    <s v="Jubilant Foodworks Ltd (JFL)"/>
    <s v="Alert"/>
    <s v="Kartik Choudhary"/>
    <s v="PRO/INC/41635"/>
    <s v="new dhcp server detected"/>
    <s v="Meraki Managed Services"/>
    <s v="Software / Configuration"/>
    <x v="2"/>
    <s v="Q5JJ-68KZ-MXAS"/>
    <s v="Q5JJ-68KZ-MXAS"/>
    <s v="RACK 1"/>
    <x v="0"/>
    <s v="JFL-NAG-SSC-SW01"/>
    <s v="C9300L-48P-4X"/>
    <s v="cs-17-2-2"/>
    <m/>
    <s v="Non-Core"/>
    <s v="Closed"/>
    <x v="3"/>
    <s v="observation with customer, Customer reply awaiting."/>
    <s v="new DHCP server blocked"/>
    <d v="2026-04-08T05:41:47"/>
    <d v="2026-04-13T12:09:00"/>
    <n v="7587.22"/>
    <d v="2026-04-08T05:41:48"/>
    <n v="0.02"/>
    <n v="30"/>
    <s v="SLA Met"/>
    <d v="2026-04-08T05:48:25"/>
    <d v="2026-04-13T12:07:09"/>
    <n v="7578.73"/>
    <n v="8.48"/>
    <n v="120"/>
    <s v="SLA Met"/>
    <m/>
    <n v="129600"/>
    <n v="129591.52"/>
    <n v="99.99345679012346"/>
    <n v="122021.27"/>
    <n v="94.152214506172839"/>
  </r>
  <r>
    <s v="Jubilant Foodworks Ltd (JFL)"/>
    <s v="Alert"/>
    <s v="Dheerendra Maurya"/>
    <s v="PRO/INC/41650"/>
    <s v="aps went down"/>
    <s v="Meraki Managed Services"/>
    <s v="Software / Configuration"/>
    <x v="0"/>
    <s v="Q3AC-9EFV-95CH"/>
    <s v="Q3AC-9EFV-95CH"/>
    <s v="NA"/>
    <x v="1"/>
    <s v="2F-AP20-R4-SW2-45P"/>
    <s v="MR46"/>
    <s v="wireless-31-1-8"/>
    <m/>
    <s v="Non-Core"/>
    <s v="Closed"/>
    <x v="0"/>
    <s v="power issue"/>
    <s v="AP went down due to power issue"/>
    <d v="2026-04-08T13:01:06"/>
    <d v="2026-04-08T14:18:00"/>
    <n v="76.900000000000006"/>
    <d v="2026-04-08T13:01:07"/>
    <n v="0.02"/>
    <n v="30"/>
    <s v="SLA Met"/>
    <d v="2026-04-08T13:05:03"/>
    <d v="2026-04-08T14:16:40"/>
    <n v="71.62"/>
    <n v="5.28"/>
    <n v="120"/>
    <s v="SLA Met"/>
    <m/>
    <n v="129600"/>
    <n v="129594.72"/>
    <n v="99.995925925925917"/>
    <n v="129528.38"/>
    <n v="99.944737654320988"/>
  </r>
  <r>
    <s v="Jubilant Foodworks Ltd (JFL)"/>
    <s v="Alert"/>
    <s v="Dheerendra Maurya"/>
    <s v="PRO/INC/41649"/>
    <s v="aps went down"/>
    <s v="Meraki Managed Services"/>
    <s v="Software / Configuration"/>
    <x v="0"/>
    <s v="Q3AC-C4P4-JNC9"/>
    <s v="Q3AC-C4P4-JNC9"/>
    <s v="NA"/>
    <x v="1"/>
    <s v="2F-AP18-R4-SW2-8P"/>
    <s v="MR46"/>
    <s v="wireless-31-1-8"/>
    <m/>
    <s v="Non-Core"/>
    <s v="Closed"/>
    <x v="0"/>
    <s v="power issue"/>
    <s v="AP went down due to power issue"/>
    <d v="2026-04-08T13:01:06"/>
    <d v="2026-04-08T14:16:00"/>
    <n v="74.900000000000006"/>
    <d v="2026-04-08T13:01:06"/>
    <n v="0"/>
    <n v="30"/>
    <s v="SLA Met"/>
    <d v="2026-04-08T13:06:05"/>
    <d v="2026-04-08T14:15:10"/>
    <n v="69.08"/>
    <n v="5.82"/>
    <n v="120"/>
    <s v="SLA Met"/>
    <m/>
    <n v="129600"/>
    <n v="129594.18"/>
    <n v="99.995509259259251"/>
    <n v="129530.92"/>
    <n v="99.946697530864199"/>
  </r>
  <r>
    <s v="Jubilant Foodworks Ltd (JFL)"/>
    <s v="Alert"/>
    <s v="Dheerendra Maurya"/>
    <s v="PRO/INC/41651"/>
    <s v="aps went down"/>
    <s v="Meraki Managed Services"/>
    <s v="Software / Configuration"/>
    <x v="0"/>
    <s v="Q3AC-PGZ6-YM5F"/>
    <s v="Q3AC-PGZ6-YM5F"/>
    <s v="NA"/>
    <x v="1"/>
    <s v="2F-AP12-R5-SW2-4P"/>
    <s v="MR46"/>
    <s v="wireless-31-1-8"/>
    <m/>
    <s v="Non-Core"/>
    <s v="Closed"/>
    <x v="0"/>
    <s v="power issue"/>
    <s v="AP went down due to power issue"/>
    <d v="2026-04-08T13:01:09"/>
    <d v="2026-04-08T14:20:00"/>
    <n v="78.849999999999994"/>
    <d v="2026-04-08T13:01:09"/>
    <n v="0"/>
    <n v="30"/>
    <s v="SLA Met"/>
    <d v="2026-04-08T13:06:50"/>
    <d v="2026-04-08T14:18:57"/>
    <n v="72.12"/>
    <n v="6.73"/>
    <n v="120"/>
    <s v="SLA Met"/>
    <m/>
    <n v="129600"/>
    <n v="129593.27"/>
    <n v="99.994807098765435"/>
    <n v="129527.88"/>
    <n v="99.944351851851849"/>
  </r>
  <r>
    <s v="Jubilant Foodworks Ltd (JFL)"/>
    <s v="Alert"/>
    <s v="Aneesh P S"/>
    <s v="PRO/INC/41652"/>
    <s v="switches went down"/>
    <s v="Meraki Managed Services"/>
    <s v="Software / Configuration"/>
    <x v="0"/>
    <s v="Q2QW-CTCG-QKDE"/>
    <s v="Q2QW-CTCG-QKDE"/>
    <s v="2F-R5"/>
    <x v="0"/>
    <s v="2F-R5-SW1"/>
    <s v="MS250-48FP"/>
    <s v="switch-17-1-4"/>
    <m/>
    <s v="Core"/>
    <s v="Closed"/>
    <x v="0"/>
    <s v="power issue"/>
    <s v="Device Power issues"/>
    <d v="2026-04-08T13:03:16"/>
    <d v="2026-04-08T14:37:00"/>
    <n v="93.73"/>
    <d v="2026-04-08T13:03:17"/>
    <n v="0.02"/>
    <n v="30"/>
    <s v="SLA Met"/>
    <d v="2026-04-08T13:07:35"/>
    <d v="2026-04-08T14:27:04"/>
    <n v="79.48"/>
    <n v="14.25"/>
    <n v="120"/>
    <s v="SLA Met"/>
    <m/>
    <n v="129600"/>
    <n v="129585.75"/>
    <n v="99.989004629629633"/>
    <n v="129520.52"/>
    <n v="99.938672839506168"/>
  </r>
  <r>
    <s v="Jubilant Foodworks Ltd (JFL)"/>
    <s v="Alert"/>
    <s v="Dheerendra Maurya"/>
    <s v="PRO/INC/41653"/>
    <s v="switches went down"/>
    <s v="Meraki Managed Services"/>
    <s v="Software / Configuration"/>
    <x v="0"/>
    <s v="Q2QW-CTMF-ZXMF"/>
    <s v="Q2QW-CTMF-ZXMF"/>
    <s v="2F-R5"/>
    <x v="0"/>
    <s v="2F-R5-SW2"/>
    <s v="MS250-48FP"/>
    <s v="switch-17-2-2"/>
    <m/>
    <s v="Core"/>
    <s v="Closed"/>
    <x v="0"/>
    <s v="power issue"/>
    <s v="Switch went down due to power issue"/>
    <d v="2026-04-08T13:03:19"/>
    <d v="2026-04-08T14:22:00"/>
    <n v="78.680000000000007"/>
    <d v="2026-04-08T13:03:19"/>
    <n v="0"/>
    <n v="30"/>
    <s v="SLA Met"/>
    <d v="2026-04-08T13:08:28"/>
    <d v="2026-04-08T14:21:12"/>
    <n v="72.73"/>
    <n v="5.95"/>
    <n v="120"/>
    <s v="SLA Met"/>
    <m/>
    <n v="129600"/>
    <n v="129594.05"/>
    <n v="99.995408950617275"/>
    <n v="129527.27"/>
    <n v="99.943881172839511"/>
  </r>
  <r>
    <s v="Jubilant Foodworks Ltd (JFL)"/>
    <s v="Alert"/>
    <s v="Dheerendra Maurya"/>
    <s v="PRO/INC/41657"/>
    <s v="aps went down"/>
    <s v="Meraki Managed Services"/>
    <s v="Software / Configuration"/>
    <x v="0"/>
    <s v="Q3AC-JN66-PSGV"/>
    <s v="Q3AC-JN66-PSGV"/>
    <s v="NA"/>
    <x v="1"/>
    <s v="2F-AP04-R4-SW3-24P"/>
    <s v="MR46"/>
    <s v="wireless-31-1-8"/>
    <m/>
    <s v="Non-Core"/>
    <s v="Closed"/>
    <x v="0"/>
    <s v="power issue"/>
    <s v="AP went down due to power issue"/>
    <d v="2026-04-08T15:22:03"/>
    <d v="2026-04-08T16:46:00"/>
    <n v="83.95"/>
    <d v="2026-04-08T15:22:04"/>
    <n v="0.02"/>
    <n v="30"/>
    <s v="SLA Met"/>
    <d v="2026-04-08T15:25:37"/>
    <d v="2026-04-08T16:44:54"/>
    <n v="79.28"/>
    <n v="4.67"/>
    <n v="120"/>
    <s v="SLA Met"/>
    <m/>
    <n v="129600"/>
    <n v="129595.33"/>
    <n v="99.996396604938269"/>
    <n v="129520.72"/>
    <n v="99.93882716049383"/>
  </r>
  <r>
    <s v="Jubilant Foodworks Ltd (JFL)"/>
    <s v="Alert"/>
    <s v="Dheerendra Maurya"/>
    <s v="PRO/INC/41658"/>
    <s v="aps went down"/>
    <s v="Meraki Managed Services"/>
    <s v="Software / Configuration"/>
    <x v="0"/>
    <s v="Q3AC-9EFV-95CH"/>
    <s v="Q3AC-9EFV-95CH"/>
    <s v="NA"/>
    <x v="1"/>
    <s v="2F-AP20-R4-SW2-45P"/>
    <s v="MR46"/>
    <s v="wireless-31-1-8"/>
    <m/>
    <s v="Non-Core"/>
    <s v="Closed"/>
    <x v="0"/>
    <s v="power issue"/>
    <s v="AP went down due to power issue"/>
    <d v="2026-04-08T15:22:04"/>
    <d v="2026-04-08T16:40:00"/>
    <n v="77.930000000000007"/>
    <d v="2026-04-08T15:22:04"/>
    <n v="0"/>
    <n v="30"/>
    <s v="SLA Met"/>
    <d v="2026-04-08T15:28:53"/>
    <d v="2026-04-08T16:37:37"/>
    <n v="68.73"/>
    <n v="9.1999999999999993"/>
    <n v="120"/>
    <s v="SLA Met"/>
    <m/>
    <n v="129600"/>
    <n v="129590.8"/>
    <n v="99.992901234567896"/>
    <n v="129531.27"/>
    <n v="99.9469675925926"/>
  </r>
  <r>
    <s v="Jubilant Foodworks Ltd (JFL)"/>
    <s v="Alert"/>
    <s v="Dheerendra Maurya"/>
    <s v="PRO/INC/41659"/>
    <s v="switches went down"/>
    <s v="Meraki Managed Services"/>
    <s v="Software / Configuration"/>
    <x v="0"/>
    <s v="Q2QW-ARKH-HCRT"/>
    <s v="Q2QW-ARKH-HCRT"/>
    <s v="2F-R4"/>
    <x v="0"/>
    <s v="2F-R4-SW2"/>
    <s v="MS250-48FP"/>
    <s v="switch-17-1-4"/>
    <m/>
    <s v="Core"/>
    <s v="Closed"/>
    <x v="0"/>
    <s v="power issue"/>
    <s v="Switch went down due to power issue"/>
    <d v="2026-04-08T15:23:56"/>
    <d v="2026-04-08T16:31:00"/>
    <n v="67.069999999999993"/>
    <d v="2026-04-08T15:23:57"/>
    <n v="0.02"/>
    <n v="30"/>
    <s v="SLA Met"/>
    <d v="2026-04-08T15:26:41"/>
    <d v="2026-04-08T16:24:57"/>
    <n v="58.27"/>
    <n v="8.8000000000000007"/>
    <n v="120"/>
    <s v="SLA Met"/>
    <m/>
    <n v="129600"/>
    <n v="129591.2"/>
    <n v="99.993209876543204"/>
    <n v="129541.73"/>
    <n v="99.955038580246907"/>
  </r>
  <r>
    <s v="Jubilant Foodworks Ltd (JFL)"/>
    <s v="Alert"/>
    <s v="Dheerendra Maurya"/>
    <s v="PRO/INC/41660"/>
    <s v="aps went down"/>
    <s v="Meraki Managed Services"/>
    <s v="Software / Configuration"/>
    <x v="0"/>
    <s v="Q3AC-PGZ6-YM5F"/>
    <s v="Q3AC-PGZ6-YM5F"/>
    <s v="NA"/>
    <x v="1"/>
    <s v="2F-AP12-R5-SW2-4P"/>
    <s v="MR46"/>
    <s v="wireless-31-1-8"/>
    <m/>
    <s v="Non-Core"/>
    <s v="Closed"/>
    <x v="0"/>
    <s v="power issue"/>
    <s v="AP went down due to power issue"/>
    <d v="2026-04-08T16:03:19"/>
    <d v="2026-04-08T17:06:00"/>
    <n v="62.68"/>
    <d v="2026-04-08T16:03:20"/>
    <n v="0.02"/>
    <n v="30"/>
    <s v="SLA Met"/>
    <d v="2026-04-08T16:17:00"/>
    <d v="2026-04-08T17:04:10"/>
    <n v="47.17"/>
    <n v="15.52"/>
    <n v="120"/>
    <s v="SLA Met"/>
    <m/>
    <n v="129600"/>
    <n v="129584.48"/>
    <n v="99.988024691358021"/>
    <n v="129552.83"/>
    <n v="99.963603395061725"/>
  </r>
  <r>
    <s v="Jubilant Foodworks Ltd (JFL)"/>
    <s v="Alert"/>
    <s v="Dheerendra Maurya"/>
    <s v="PRO/INC/41661"/>
    <s v="aps went down"/>
    <s v="Meraki Managed Services"/>
    <s v="Software / Configuration"/>
    <x v="0"/>
    <s v="Q3AC-C4P4-JNC9"/>
    <s v="Q3AC-C4P4-JNC9"/>
    <s v="NA"/>
    <x v="1"/>
    <s v="2F-AP18-R4-SW2-8P"/>
    <s v="MR46"/>
    <s v="wireless-31-1-8"/>
    <m/>
    <s v="Non-Core"/>
    <s v="Closed"/>
    <x v="0"/>
    <s v="power issue"/>
    <s v="AP went down due to power issue"/>
    <d v="2026-04-08T16:03:19"/>
    <d v="2026-04-08T17:04:00"/>
    <n v="60.68"/>
    <d v="2026-04-08T16:03:20"/>
    <n v="0.02"/>
    <n v="30"/>
    <s v="SLA Met"/>
    <d v="2026-04-08T16:17:54"/>
    <d v="2026-04-08T17:02:54"/>
    <n v="45"/>
    <n v="15.68"/>
    <n v="120"/>
    <s v="SLA Met"/>
    <m/>
    <n v="129600"/>
    <n v="129584.32000000001"/>
    <n v="99.987901234567914"/>
    <n v="129555"/>
    <n v="99.965277777777771"/>
  </r>
  <r>
    <s v="Jubilant Foodworks Ltd (JFL)"/>
    <s v="Alert"/>
    <s v="Abhishek Satish Pawar"/>
    <s v="PRO/INC/41715"/>
    <s v="new dhcp server detected"/>
    <s v="Meraki Managed Services"/>
    <s v="Software / Configuration"/>
    <x v="2"/>
    <s v="Q5JJ-68KZ-MXAS"/>
    <s v="Q5JJ-68KZ-MXAS"/>
    <s v="RACK 1"/>
    <x v="0"/>
    <s v="JFL-NAG-SSC-SW01"/>
    <s v="C9300L-48P-4X"/>
    <s v="cs-17-2-2"/>
    <m/>
    <s v="Non-Core"/>
    <s v="Closed"/>
    <x v="3"/>
    <s v="Third Party Device issue"/>
    <s v="issue resolved"/>
    <d v="2026-04-10T16:45:36"/>
    <d v="2026-04-13T12:10:00"/>
    <n v="4044.4"/>
    <d v="2026-04-10T16:45:37"/>
    <n v="0.02"/>
    <n v="30"/>
    <s v="SLA Met"/>
    <d v="2026-04-10T16:48:45"/>
    <d v="2026-04-13T12:04:00"/>
    <n v="4035.25"/>
    <n v="9.15"/>
    <n v="120"/>
    <s v="SLA Met"/>
    <m/>
    <n v="129600"/>
    <n v="129590.85"/>
    <n v="99.992939814814818"/>
    <n v="125564.75"/>
    <n v="96.886381172839506"/>
  </r>
  <r>
    <s v="Jubilant Foodworks Ltd (JFL)"/>
    <s v="Alert"/>
    <s v="Shresth Kushwaha"/>
    <s v="PRO/INC/41803"/>
    <s v="Alert for JFL-MOHALI-SCC - Devices operating at critical temperature"/>
    <s v="Meraki Managed Services"/>
    <s v="Software / Configuration"/>
    <x v="3"/>
    <s v="6c:7f:0c:c7:d8:02"/>
    <s v="Q3LP-2PSJ-6DLB"/>
    <s v="TRANSPORT ROOM"/>
    <x v="0"/>
    <s v="JFL-MOHALI-ACC-SW-01(Transport Room)"/>
    <s v="MS130-12X"/>
    <s v="switch-17-2-1"/>
    <m/>
    <s v="Non-Core"/>
    <s v="Closed"/>
    <x v="4"/>
    <s v="I have already informed the customer and am waiting for the customer's response."/>
    <s v="As confirmed with the client, the AC was not powered on due to holiday."/>
    <d v="2026-04-12T14:35:56"/>
    <d v="2026-04-16T12:42:00"/>
    <n v="5646.07"/>
    <d v="2026-04-12T14:35:56"/>
    <n v="0"/>
    <n v="30"/>
    <s v="SLA Met"/>
    <d v="2026-04-12T14:39:43"/>
    <d v="2026-04-16T12:36:25"/>
    <n v="5636.7"/>
    <n v="9.3699999999999992"/>
    <n v="120"/>
    <s v="SLA Met"/>
    <m/>
    <n v="129600"/>
    <n v="129590.63"/>
    <n v="99.992770061728393"/>
    <n v="123963.3"/>
    <n v="95.650694444444454"/>
  </r>
  <r>
    <s v="Jubilant Foodworks Ltd (JFL)"/>
    <s v="Alert"/>
    <s v="Kartik Choudhary"/>
    <s v="PRO/INC/41933"/>
    <s v="aps went down"/>
    <s v="Meraki Managed Services"/>
    <s v="Software / Configuration"/>
    <x v="0"/>
    <s v="Q3AC-YHHC-Q634"/>
    <s v="Q3AC-YHHC-Q634"/>
    <s v="NA"/>
    <x v="1"/>
    <s v="SEC-CAB-GF-AP02-R01-SW01-04P"/>
    <s v="MR46"/>
    <s v="wireless-31-1-8"/>
    <m/>
    <s v="Non-Core"/>
    <s v="Closed"/>
    <x v="0"/>
    <s v="As discussed with Mr. Uday, there is a power issue, and their team is currently working to resolve it."/>
    <s v="power issue"/>
    <d v="2026-04-13T16:50:51"/>
    <d v="2026-04-13T18:23:00"/>
    <n v="92.15"/>
    <d v="2026-04-13T16:50:51"/>
    <n v="0"/>
    <n v="30"/>
    <s v="SLA Met"/>
    <d v="2026-04-13T16:56:46"/>
    <d v="2026-04-13T18:20:57"/>
    <n v="84.18"/>
    <n v="7.97"/>
    <n v="120"/>
    <s v="SLA Met"/>
    <m/>
    <n v="129600"/>
    <n v="129592.03"/>
    <n v="99.993850308641967"/>
    <n v="129515.82"/>
    <n v="99.935046296296306"/>
  </r>
  <r>
    <s v="Jubilant Foodworks Ltd (JFL)"/>
    <s v="Alert"/>
    <s v="Kartik Choudhary"/>
    <s v="PRO/INC/41932"/>
    <s v="aps went down"/>
    <s v="Meraki Managed Services"/>
    <s v="Software / Configuration"/>
    <x v="0"/>
    <s v="Q3AC-DTQ8-WQMM"/>
    <s v="Q3AC-DTQ8-WQMM"/>
    <s v="NA"/>
    <x v="1"/>
    <s v="SEC-CAB-GF-AP03-R01-SW01-06P"/>
    <s v="MR46"/>
    <s v="wireless-31-1-8"/>
    <m/>
    <s v="Non-Core"/>
    <s v="Closed"/>
    <x v="0"/>
    <s v="As discussed with Mr. Uday, there is a power issue, and their team is currently working to resolve it."/>
    <s v="power issue"/>
    <d v="2026-04-13T16:50:51"/>
    <d v="2026-04-13T18:22:00"/>
    <n v="91.15"/>
    <d v="2026-04-13T16:50:52"/>
    <n v="0.02"/>
    <n v="30"/>
    <s v="SLA Met"/>
    <d v="2026-04-13T16:57:02"/>
    <d v="2026-04-13T18:20:06"/>
    <n v="83.07"/>
    <n v="8.08"/>
    <n v="120"/>
    <s v="SLA Met"/>
    <m/>
    <n v="129600"/>
    <n v="129591.92"/>
    <n v="99.993765432098769"/>
    <n v="129516.93"/>
    <n v="99.93590277777777"/>
  </r>
  <r>
    <s v="Jubilant Foodworks Ltd (JFL)"/>
    <s v="Alert"/>
    <s v="Kartik Choudhary"/>
    <s v="PRO/INC/41934"/>
    <s v="switches went down"/>
    <s v="Meraki Managed Services"/>
    <s v="Software / Configuration"/>
    <x v="0"/>
    <s v="Q2QW-FCJL-LJS8"/>
    <s v="Q2QW-FCJL-LJS8"/>
    <s v="SEC-CAB"/>
    <x v="0"/>
    <s v="SEC-CAB-SW1"/>
    <s v="MS250-48FP"/>
    <s v="switch-17-2-2"/>
    <m/>
    <s v="Core"/>
    <s v="Closed"/>
    <x v="0"/>
    <s v="As discussed with Mr. Uday there is Power issue and their team is working on to fix it."/>
    <s v="power issue"/>
    <d v="2026-04-13T16:52:46"/>
    <d v="2026-04-13T18:24:00"/>
    <n v="91.23"/>
    <d v="2026-04-13T16:52:46"/>
    <n v="0"/>
    <n v="30"/>
    <s v="SLA Met"/>
    <d v="2026-04-13T16:55:28"/>
    <d v="2026-04-13T18:21:59"/>
    <n v="86.52"/>
    <n v="4.72"/>
    <n v="120"/>
    <s v="SLA Met"/>
    <m/>
    <n v="129600"/>
    <n v="129595.28"/>
    <n v="99.996358024691361"/>
    <n v="129513.48"/>
    <n v="99.933240740740743"/>
  </r>
  <r>
    <s v="Jubilant Foodworks Ltd (JFL)"/>
    <s v="Alert"/>
    <s v="Kartik Choudhary"/>
    <s v="PRO/INC/41935"/>
    <s v="switches went down"/>
    <s v="Meraki Managed Services"/>
    <s v="Software / Configuration"/>
    <x v="0"/>
    <s v="Q2QW-FCH3-EMVG"/>
    <s v="Q2QW-FCH3-EMVG"/>
    <s v="SEC-CAB"/>
    <x v="0"/>
    <s v="SEC-CAB-SW2"/>
    <s v="MS250-48FP"/>
    <s v="switch-17-2-2"/>
    <m/>
    <s v="Core"/>
    <s v="Closed"/>
    <x v="0"/>
    <s v="As discussed with Mr. Uday, there is a power issue, and their team is currently working to resolve it."/>
    <s v="power issue"/>
    <d v="2026-04-13T16:52:56"/>
    <d v="2026-04-13T18:25:00"/>
    <n v="92.07"/>
    <d v="2026-04-13T16:52:57"/>
    <n v="0.02"/>
    <n v="30"/>
    <s v="SLA Met"/>
    <d v="2026-04-13T16:56:29"/>
    <d v="2026-04-13T18:22:56"/>
    <n v="86.45"/>
    <n v="5.62"/>
    <n v="120"/>
    <s v="SLA Met"/>
    <m/>
    <n v="129600"/>
    <n v="129594.38"/>
    <n v="99.995663580246912"/>
    <n v="129513.55"/>
    <n v="99.933294753086415"/>
  </r>
  <r>
    <s v="Jubilant Foodworks Ltd (JFL)"/>
    <s v="Alert"/>
    <s v="Shresth Kushwaha"/>
    <s v="PRO/INC/41992"/>
    <s v="switches went down"/>
    <s v="Meraki Managed Services"/>
    <s v="Software / Configuration"/>
    <x v="0"/>
    <s v="Q2QW-BAYV-J6K5"/>
    <s v="Q2QW-BAYV-J6K5"/>
    <s v="2F-R4"/>
    <x v="0"/>
    <s v="2F-R4-SW3"/>
    <s v="MS250-48FP"/>
    <s v="switch-17-1-4"/>
    <m/>
    <s v="Core"/>
    <s v="Closed"/>
    <x v="0"/>
    <s v="power issue"/>
    <s v="power issue"/>
    <d v="2026-04-16T07:40:02"/>
    <d v="2026-04-16T12:47:00"/>
    <n v="306.97000000000003"/>
    <d v="2026-04-16T07:40:02"/>
    <n v="0"/>
    <n v="30"/>
    <s v="SLA Met"/>
    <d v="2026-04-16T07:48:02"/>
    <d v="2026-04-16T12:45:44"/>
    <n v="297.7"/>
    <n v="9.27"/>
    <n v="120"/>
    <s v="SLA Met"/>
    <m/>
    <n v="129600"/>
    <n v="129590.73"/>
    <n v="99.99284722222221"/>
    <n v="129302.3"/>
    <n v="99.770293209876542"/>
  </r>
  <r>
    <s v="Jubilant Foodworks Ltd (JFL)"/>
    <s v="Alert"/>
    <s v="Shresth Kushwaha"/>
    <s v="PRO/INC/41993"/>
    <s v="switches went down"/>
    <s v="Meraki Managed Services"/>
    <s v="Software / Configuration"/>
    <x v="0"/>
    <s v="Q2QW-EXXK-QDZ3"/>
    <s v="Q2QW-EXXK-QDZ3"/>
    <s v="GF-UTILITY"/>
    <x v="0"/>
    <s v="GF-UTILITY-SW1"/>
    <s v="MS250-48FP"/>
    <s v="switch-17-2-2"/>
    <m/>
    <s v="Core"/>
    <s v="Closed"/>
    <x v="0"/>
    <s v="power issue"/>
    <s v="power issue"/>
    <d v="2026-04-16T07:40:19"/>
    <d v="2026-04-16T12:48:00"/>
    <n v="307.68"/>
    <d v="2026-04-16T07:40:19"/>
    <n v="0"/>
    <n v="30"/>
    <s v="SLA Met"/>
    <d v="2026-04-16T07:47:36"/>
    <d v="2026-04-16T12:46:45"/>
    <n v="299.14999999999998"/>
    <n v="8.5299999999999994"/>
    <n v="120"/>
    <s v="SLA Met"/>
    <m/>
    <n v="129600"/>
    <n v="129591.47"/>
    <n v="99.993418209876538"/>
    <n v="129300.85"/>
    <n v="99.769174382716059"/>
  </r>
  <r>
    <s v="Jubilant Foodworks Ltd (JFL)"/>
    <s v="Alert"/>
    <s v="Dharmendra Bhadoriya"/>
    <s v="PRO/INC/42152"/>
    <s v="Camera not Working -GF-UTILITY-SW1-28-jfl bngl"/>
    <s v="Meraki Managed Services"/>
    <s v="Software / Configuration"/>
    <x v="0"/>
    <s v="Q2QW-EXXK-QDZ3"/>
    <s v="Q2QW-EXXK-QDZ3"/>
    <s v="GF-UTILITY"/>
    <x v="0"/>
    <s v="GF-UTILITY-SW1"/>
    <s v="MS250-48FP"/>
    <s v="switch-17-2-2"/>
    <m/>
    <s v="P3"/>
    <s v="Closed"/>
    <x v="2"/>
    <s v="Cable issue/RJ45 connector"/>
    <s v="client side activity"/>
    <d v="2026-04-18T16:24:21"/>
    <d v="2026-06-02T09:27:00"/>
    <n v="64382.65"/>
    <d v="2026-04-18T16:24:21"/>
    <n v="0"/>
    <n v="30"/>
    <s v="SLA Met"/>
    <d v="2026-04-18T16:25:37"/>
    <d v="2026-06-02T09:24:21"/>
    <n v="64378.73"/>
    <n v="3.92"/>
    <n v="1440"/>
    <s v="SLA Met"/>
    <m/>
    <n v="129600"/>
    <n v="129596.08"/>
    <n v="99.996975308641979"/>
    <n v="65221.27"/>
    <n v="50.325054012345674"/>
  </r>
  <r>
    <s v="Jubilant Foodworks Ltd (JFL)"/>
    <s v="Alert"/>
    <s v="Kartik Choudhary"/>
    <s v="PRO/INC/42155"/>
    <s v="aps went down"/>
    <s v="Meraki Managed Services"/>
    <s v="Software / Configuration"/>
    <x v="4"/>
    <s v="Q3KG-CFHX-4TRU"/>
    <s v="Q3KG-CFHX-4TRU"/>
    <s v="NA"/>
    <x v="1"/>
    <s v="JFL-GNSC-AP49"/>
    <s v="MR86"/>
    <s v="wireless-31-1-7"/>
    <m/>
    <s v="Non-Core"/>
    <s v="Closed"/>
    <x v="0"/>
    <s v="power issue"/>
    <s v="power issue"/>
    <d v="2026-04-18T17:06:57"/>
    <d v="2026-04-18T20:21:00"/>
    <n v="194.05"/>
    <d v="2026-04-18T17:06:57"/>
    <n v="0"/>
    <n v="30"/>
    <s v="SLA Met"/>
    <d v="2026-04-18T17:13:12"/>
    <d v="2026-04-18T20:19:19"/>
    <n v="186.12"/>
    <n v="7.93"/>
    <n v="120"/>
    <s v="SLA Met"/>
    <m/>
    <n v="129600"/>
    <n v="129592.07"/>
    <n v="99.993881172839522"/>
    <n v="129413.88"/>
    <n v="99.856388888888887"/>
  </r>
  <r>
    <s v="Jubilant Foodworks Ltd (JFL)"/>
    <s v="Alert"/>
    <s v="Kartik Choudhary"/>
    <s v="PRO/INC/42157"/>
    <s v="aps went down"/>
    <s v="Meraki Managed Services"/>
    <s v="Software / Configuration"/>
    <x v="4"/>
    <s v="Q5AA-J9A9-ZJ2B"/>
    <s v="Q5AA-J9A9-ZJ2B"/>
    <s v="NA"/>
    <x v="1"/>
    <s v="JFL-GNSC-AP30"/>
    <s v="CW9162I"/>
    <s v="wireless-31-1-7"/>
    <m/>
    <s v="Non-Core"/>
    <s v="Closed"/>
    <x v="0"/>
    <s v="power issue"/>
    <s v="power issue"/>
    <d v="2026-04-18T17:07:06"/>
    <d v="2026-04-18T20:22:00"/>
    <n v="194.9"/>
    <d v="2026-04-18T17:07:06"/>
    <n v="0"/>
    <n v="30"/>
    <s v="SLA Met"/>
    <d v="2026-04-18T17:14:32"/>
    <d v="2026-04-18T20:20:04"/>
    <n v="185.53"/>
    <n v="9.3699999999999992"/>
    <n v="120"/>
    <s v="SLA Met"/>
    <m/>
    <n v="129600"/>
    <n v="129590.63"/>
    <n v="99.992770061728393"/>
    <n v="129414.47"/>
    <n v="99.856844135802476"/>
  </r>
  <r>
    <s v="Jubilant Foodworks Ltd (JFL)"/>
    <s v="Alert"/>
    <s v="Rohit Mourya"/>
    <s v="PRO/INC/42631"/>
    <s v="aps went down"/>
    <s v="Meraki Managed Services"/>
    <s v="Software / Configuration"/>
    <x v="1"/>
    <s v="Q3KG-ZJZJ-WWH5"/>
    <s v="Q3KG-ZJZJ-WWH5"/>
    <s v="NA"/>
    <x v="1"/>
    <s v="JFL-Guwahati-SSC-AP-02"/>
    <s v="MR86"/>
    <s v="MR 32.1.7"/>
    <m/>
    <s v="Non-Core"/>
    <s v="Closed"/>
    <x v="0"/>
    <s v="power issue"/>
    <s v="power issue"/>
    <d v="2026-04-20T00:26:57"/>
    <d v="2026-04-20T08:39:00"/>
    <n v="492.05"/>
    <d v="2026-04-20T00:26:57"/>
    <n v="0"/>
    <n v="30"/>
    <s v="SLA Met"/>
    <d v="2026-04-20T00:29:19"/>
    <d v="2026-04-20T08:37:54"/>
    <n v="488.58"/>
    <n v="3.47"/>
    <n v="120"/>
    <s v="SLA Met"/>
    <m/>
    <n v="129600"/>
    <n v="129596.53"/>
    <n v="99.997322530864196"/>
    <n v="129111.42"/>
    <n v="99.623009259259248"/>
  </r>
  <r>
    <s v="Jubilant Foodworks Ltd (JFL)"/>
    <s v="Alert"/>
    <s v="Rohit Mourya"/>
    <s v="PRO/INC/42633"/>
    <s v="switches went down"/>
    <s v="Meraki Managed Services"/>
    <s v="Software / Configuration"/>
    <x v="1"/>
    <s v="Q5JG-ECTW-5MN7"/>
    <s v="Q5JG-ECTW-5MN7"/>
    <s v="CORE"/>
    <x v="0"/>
    <s v="JFL-Guwahati-CORE-01"/>
    <s v="C9300L-24P-4X"/>
    <s v="IOS XE 17.15.5"/>
    <m/>
    <s v="Core"/>
    <s v="Closed"/>
    <x v="0"/>
    <s v="power issue"/>
    <s v="power issue"/>
    <d v="2026-04-20T00:27:06"/>
    <d v="2026-04-20T08:40:00"/>
    <n v="492.9"/>
    <d v="2026-04-20T00:27:06"/>
    <n v="0"/>
    <n v="30"/>
    <s v="SLA Met"/>
    <d v="2026-04-20T00:29:58"/>
    <d v="2026-04-20T08:38:44"/>
    <n v="488.77"/>
    <n v="4.13"/>
    <n v="120"/>
    <s v="SLA Met"/>
    <m/>
    <n v="129600"/>
    <n v="129595.87"/>
    <n v="99.996813271604935"/>
    <n v="129111.23"/>
    <n v="99.622862654320983"/>
  </r>
  <r>
    <s v="Jubilant Foodworks Ltd (JFL)"/>
    <s v="Alert"/>
    <s v="Rohit Mourya"/>
    <s v="PRO/INC/42634"/>
    <s v="aps went down"/>
    <s v="Meraki Managed Services"/>
    <s v="Software / Configuration"/>
    <x v="1"/>
    <s v="Q5AA-RM28-C2R8"/>
    <s v="Q5AA-RM28-C2R8"/>
    <s v="NA"/>
    <x v="1"/>
    <s v="JFL-Guwahati-SSC-AP-03"/>
    <s v="CW9162I"/>
    <s v="MR 32.1.7"/>
    <m/>
    <s v="Non-Core"/>
    <s v="Closed"/>
    <x v="0"/>
    <s v="power issue"/>
    <s v="power issue"/>
    <d v="2026-04-20T00:27:06"/>
    <d v="2026-04-20T08:40:47"/>
    <n v="493.68"/>
    <d v="2026-04-20T00:27:06"/>
    <n v="0"/>
    <n v="30"/>
    <s v="SLA Met"/>
    <d v="2026-04-20T00:30:43"/>
    <d v="2026-04-20T08:39:37"/>
    <n v="488.9"/>
    <n v="4.78"/>
    <n v="120"/>
    <s v="SLA Met"/>
    <m/>
    <n v="129600"/>
    <n v="129595.22"/>
    <n v="99.996311728395057"/>
    <n v="129111.1"/>
    <n v="99.622762345679021"/>
  </r>
  <r>
    <s v="Jubilant Foodworks Ltd (JFL)"/>
    <s v="Alert"/>
    <s v="Dharmendra Bhadoriya"/>
    <s v="PRO/INC/42933"/>
    <s v="switches went down"/>
    <s v="Meraki Managed Services"/>
    <s v="Software / Configuration"/>
    <x v="4"/>
    <s v="Q5TN-DGC5-M8QZ"/>
    <s v="Q5TN-DGC5-M8QZ"/>
    <s v="CORE"/>
    <x v="0"/>
    <s v="JFL-GNSC-CORE-SW-ST-01 [2]"/>
    <s v="C9300X-24Y"/>
    <s v="ios-xe-17-15-4"/>
    <m/>
    <s v="Core"/>
    <s v="Closed"/>
    <x v="0"/>
    <s v="power issue"/>
    <s v="After Restore issue has been resolved"/>
    <d v="2026-04-24T02:31:53"/>
    <d v="2026-04-26T07:46:00"/>
    <n v="3194.12"/>
    <d v="2026-04-24T02:31:54"/>
    <n v="0.02"/>
    <n v="30"/>
    <s v="SLA Met"/>
    <d v="2026-04-24T02:33:16"/>
    <d v="2026-04-26T07:43:51"/>
    <n v="3190.58"/>
    <n v="3.53"/>
    <n v="120"/>
    <s v="SLA Met"/>
    <m/>
    <n v="129600"/>
    <n v="129596.47"/>
    <n v="99.997276234567906"/>
    <n v="126409.42"/>
    <n v="97.53813271604939"/>
  </r>
  <r>
    <s v="Jubilant Foodworks Ltd (JFL)"/>
    <s v="Alert"/>
    <s v="Dharmendra Bhadoriya"/>
    <s v="PRO/INC/43076"/>
    <s v="switches went down"/>
    <s v="Meraki Managed Services"/>
    <s v="Software / Configuration"/>
    <x v="3"/>
    <s v="Q3LP-2PSJ-6DLB"/>
    <s v="Q3LP-2PSJ-6DLB"/>
    <s v="TRANSPORT ROOM"/>
    <x v="0"/>
    <s v="JFL-MOHALI-ACC-SW-01(Transport Room)"/>
    <s v="MS130-12X"/>
    <s v="switch-17-2-1"/>
    <m/>
    <s v="Core"/>
    <s v="Closed"/>
    <x v="0"/>
    <s v="power issue"/>
    <s v="After Restore issue has been resolved"/>
    <d v="2026-04-24T20:11:53"/>
    <d v="2026-04-26T07:40:00"/>
    <n v="2128.12"/>
    <d v="2026-04-24T20:11:54"/>
    <n v="0.02"/>
    <n v="30"/>
    <s v="SLA Met"/>
    <d v="2026-04-24T20:16:31"/>
    <d v="2026-04-26T07:37:51"/>
    <n v="2121.33"/>
    <n v="6.78"/>
    <n v="120"/>
    <s v="SLA Met"/>
    <m/>
    <n v="129600"/>
    <n v="129593.22"/>
    <n v="99.994768518518512"/>
    <n v="127478.67"/>
    <n v="98.363171296296287"/>
  </r>
  <r>
    <s v="Jubilant Foodworks Ltd (JFL)"/>
    <s v="Alert"/>
    <s v="John Ashis Roy"/>
    <s v="PRO/INC/43792"/>
    <s v="aps went down"/>
    <s v="Meraki Managed Services"/>
    <s v="Software / Configuration"/>
    <x v="0"/>
    <s v="Q5AE-KNH9-5GV8"/>
    <s v="Q5AE-KNH9-5GV8"/>
    <s v="NA"/>
    <x v="1"/>
    <s v="GF-AP01-ETP-SW1-10P"/>
    <s v="CW9166I"/>
    <s v="wireless-31-1-8"/>
    <m/>
    <s v="P3"/>
    <s v="Closed"/>
    <x v="0"/>
    <s v="power issue"/>
    <s v="Resolved"/>
    <d v="2026-04-26T15:49:05"/>
    <d v="2026-04-29T12:00:00"/>
    <n v="4090.92"/>
    <d v="2026-04-26T15:49:06"/>
    <n v="0.02"/>
    <n v="30"/>
    <s v="SLA Met"/>
    <d v="2026-04-26T15:55:11"/>
    <d v="2026-04-29T12:03:39"/>
    <n v="4088.47"/>
    <n v="2.4500000000000002"/>
    <n v="1440"/>
    <s v="SLA Met"/>
    <m/>
    <n v="129600"/>
    <n v="129597.55"/>
    <n v="99.998109567901238"/>
    <n v="125511.53"/>
    <n v="96.845316358024689"/>
  </r>
  <r>
    <s v="Jubilant Foodworks Ltd (JFL)"/>
    <s v="Alert"/>
    <s v="John Ashis Roy"/>
    <s v="PRO/INC/43795"/>
    <s v="switches went down"/>
    <s v="Meraki Managed Services"/>
    <s v="Software / Configuration"/>
    <x v="0"/>
    <s v="Q2QW-CAJU-QVKD"/>
    <s v="Q2QW-CAJU-QVKD"/>
    <s v="GF-ETP"/>
    <x v="0"/>
    <s v="GF-ETP-SW1"/>
    <s v="MS250-48FP"/>
    <s v="switch-17-1-4"/>
    <m/>
    <s v="Core"/>
    <s v="Closed"/>
    <x v="0"/>
    <s v="power issue"/>
    <s v="Resolved"/>
    <d v="2026-04-26T15:50:52"/>
    <d v="2026-04-29T12:00:00"/>
    <n v="4089.13"/>
    <d v="2026-04-26T15:50:53"/>
    <n v="0.02"/>
    <n v="30"/>
    <s v="SLA Met"/>
    <d v="2026-04-26T15:53:12"/>
    <d v="2026-04-29T12:05:12"/>
    <n v="4092"/>
    <n v="-2.87"/>
    <n v="120"/>
    <s v="SLA Met"/>
    <m/>
    <n v="129600"/>
    <n v="129602.87"/>
    <n v="100.00221450617283"/>
    <n v="125508"/>
    <n v="96.842592592592595"/>
  </r>
  <r>
    <s v="Jubilant Foodworks Ltd (JFL)"/>
    <s v="Alert"/>
    <s v="Dheerendra Maurya"/>
    <s v="PRO/INC/44364"/>
    <s v="Need to Enable VLan 100 -  SEC-CAB-SW1-Port 31"/>
    <s v="Meraki Managed Services"/>
    <s v="Change Request"/>
    <x v="0"/>
    <m/>
    <s v="Q2QW-FCJL-LJS8"/>
    <s v="SEC-CAB"/>
    <x v="0"/>
    <s v="SEC-CAB-SW1"/>
    <s v="MS250-48FP"/>
    <s v="switch-17-2-2"/>
    <m/>
    <s v="P4"/>
    <s v="Closed"/>
    <x v="1"/>
    <m/>
    <s v="Enabled sec rack port 31 under vlan 100"/>
    <d v="2026-04-27T16:35:37"/>
    <d v="2026-04-27T16:57:00"/>
    <n v="21.38"/>
    <d v="2026-04-27T16:35:38"/>
    <n v="0.02"/>
    <n v="30"/>
    <s v="SLA Met"/>
    <m/>
    <m/>
    <n v="0"/>
    <n v="21.38"/>
    <n v="2880"/>
    <s v="SLA Met"/>
    <m/>
    <n v="129600"/>
    <n v="129578.62"/>
    <n v="99.983503086419745"/>
    <n v="129600"/>
    <n v="100"/>
  </r>
  <r>
    <s v="Jubilant Foodworks Ltd (JFL)"/>
    <s v="Alert"/>
    <s v="Shresth Kushwaha"/>
    <s v="PRO/INC/44366"/>
    <s v="Need to Enable VLan 100 -  SEC-CAB-SW2-Port 47"/>
    <s v="Meraki Managed Services"/>
    <s v="Change Request"/>
    <x v="0"/>
    <m/>
    <s v="Q2QW-FCH3-EMVG"/>
    <s v="SEC-CAB"/>
    <x v="0"/>
    <s v="SEC-CAB-SW2"/>
    <s v="MS250-48FP"/>
    <s v="switch-17-2-2"/>
    <m/>
    <s v="P4"/>
    <s v="Closed"/>
    <x v="1"/>
    <m/>
    <s v="Enabled VLan 100 - SEC-CAB-SW2-Port 47"/>
    <d v="2026-04-27T16:47:22"/>
    <d v="2026-04-27T17:03:00"/>
    <n v="15.63"/>
    <d v="2026-04-27T16:47:23"/>
    <n v="0.02"/>
    <n v="30"/>
    <s v="SLA Met"/>
    <m/>
    <m/>
    <n v="0"/>
    <n v="15.63"/>
    <n v="2880"/>
    <s v="SLA Met"/>
    <m/>
    <n v="129600"/>
    <n v="129584.37"/>
    <n v="99.987939814814808"/>
    <n v="129600"/>
    <n v="100"/>
  </r>
  <r>
    <s v="Jubilant Foodworks Ltd (JFL)"/>
    <s v="Alert"/>
    <s v="Kartik Choudhary"/>
    <s v="PRO/INC/44555"/>
    <s v="aps went down"/>
    <s v="Meraki Managed Services"/>
    <s v="Software / Configuration"/>
    <x v="4"/>
    <s v="Q5AA-J9A9-ZJ2B"/>
    <s v="Q5AA-J9A9-ZJ2B"/>
    <s v="NA"/>
    <x v="1"/>
    <s v="JFL-GNSC-AP30"/>
    <s v="CW9162I"/>
    <s v="wireless-31-1-7"/>
    <m/>
    <s v="Non-Core"/>
    <s v="Closed"/>
    <x v="0"/>
    <m/>
    <s v="power issue"/>
    <d v="2026-04-30T12:57:26"/>
    <d v="2026-04-30T13:05:00"/>
    <n v="7.57"/>
    <d v="2026-04-30T12:57:27"/>
    <n v="0.02"/>
    <n v="30"/>
    <s v="SLA Met"/>
    <m/>
    <m/>
    <n v="0"/>
    <n v="7.57"/>
    <n v="120"/>
    <s v="SLA Met"/>
    <m/>
    <n v="129600"/>
    <n v="129592.43"/>
    <n v="99.994158950617276"/>
    <n v="129600"/>
    <n v="100"/>
  </r>
  <r>
    <s v="Jubilant Foodworks Ltd (JFL)"/>
    <s v="Alert"/>
    <s v="Kartik Choudhary"/>
    <s v="PRO/INC/44676"/>
    <s v="new dhcp server detected"/>
    <s v="Meraki Managed Services"/>
    <s v="Software / Configuration"/>
    <x v="2"/>
    <s v="Q5JJ-68KZ-MXAS"/>
    <s v="Q5JJ-68KZ-MXAS"/>
    <s v="RACK 1"/>
    <x v="0"/>
    <s v="JFL-NAG-SSC-SW01"/>
    <s v="C9300L-48P-4X"/>
    <s v="cs-17-2-2"/>
    <m/>
    <s v="Non-Core"/>
    <s v="Closed"/>
    <x v="3"/>
    <s v="Information has been shared with the customer. We are currently awaiting their response to proceed further."/>
    <s v="We have blocked the new DHCP server as per customer confirmation."/>
    <d v="2026-05-02T19:17:19"/>
    <d v="2026-05-02T20:02:00"/>
    <n v="44.68"/>
    <d v="2026-05-02T19:17:20"/>
    <n v="0.02"/>
    <n v="30"/>
    <s v="SLA Met"/>
    <d v="2026-05-02T19:22:39"/>
    <d v="2026-05-02T19:59:54"/>
    <n v="37.25"/>
    <n v="7.43"/>
    <n v="120"/>
    <s v="SLA Met"/>
    <m/>
    <n v="129600"/>
    <n v="129592.57"/>
    <n v="99.994266975308648"/>
    <n v="129562.75"/>
    <n v="99.971257716049379"/>
  </r>
  <r>
    <s v="Jubilant Foodworks Ltd (JFL)"/>
    <s v="Alert"/>
    <s v="Shresth Kushwaha"/>
    <s v="PRO/INC/44719"/>
    <s v="aps went down"/>
    <s v="Meraki Managed Services"/>
    <s v="Software / Configuration"/>
    <x v="4"/>
    <s v="Q3KG-JH9T-FL7Z"/>
    <s v="Q3KG-JH9T-FL7Z"/>
    <s v="NA"/>
    <x v="1"/>
    <s v="JFL-GNSC-AP48"/>
    <s v="MR86"/>
    <s v="wireless-31-1-7"/>
    <m/>
    <s v="Non-Core"/>
    <s v="Closed"/>
    <x v="0"/>
    <s v="power issue"/>
    <s v="power issue"/>
    <d v="2026-05-04T02:11:12"/>
    <d v="2026-05-13T20:32:00"/>
    <n v="14060.8"/>
    <d v="2026-05-04T02:11:12"/>
    <n v="0"/>
    <n v="30"/>
    <s v="SLA Met"/>
    <d v="2026-05-04T02:14:04"/>
    <d v="2026-05-13T20:29:27"/>
    <n v="14055.38"/>
    <n v="5.42"/>
    <n v="120"/>
    <s v="SLA Met"/>
    <m/>
    <n v="129600"/>
    <n v="129594.58"/>
    <n v="99.995817901234574"/>
    <n v="115544.62"/>
    <n v="89.15479938271605"/>
  </r>
  <r>
    <s v="Jubilant Foodworks Ltd (JFL)"/>
    <s v="Alert"/>
    <s v="Shresth Kushwaha"/>
    <s v="PRO/INC/44727"/>
    <s v="aps went down"/>
    <s v="Meraki Managed Services"/>
    <s v="Software / Configuration"/>
    <x v="4"/>
    <s v="Q3KG-JH9T-FL7Z"/>
    <s v="Q3KG-JH9T-FL7Z"/>
    <s v="NA"/>
    <x v="1"/>
    <s v="JFL-GNSC-AP48"/>
    <s v="MR86"/>
    <s v="wireless-31-1-7"/>
    <m/>
    <s v="Non-Core"/>
    <s v="Closed"/>
    <x v="0"/>
    <s v="power issue"/>
    <s v="power issue"/>
    <d v="2026-05-04T04:07:48"/>
    <d v="2026-05-13T20:34:00"/>
    <n v="13946.2"/>
    <d v="2026-05-04T04:07:48"/>
    <n v="0"/>
    <n v="30"/>
    <s v="SLA Met"/>
    <d v="2026-05-04T04:09:32"/>
    <d v="2026-05-13T20:30:27"/>
    <n v="13940.92"/>
    <n v="5.28"/>
    <n v="120"/>
    <s v="SLA Met"/>
    <m/>
    <n v="129600"/>
    <n v="129594.72"/>
    <n v="99.995925925925917"/>
    <n v="115659.08"/>
    <n v="89.243117283950625"/>
  </r>
  <r>
    <s v="Jubilant Foodworks Ltd (JFL)"/>
    <s v="Alert"/>
    <s v="Aneesh P S"/>
    <s v="PRO/INC/44814"/>
    <s v="aps went down"/>
    <s v="Meraki Managed Services"/>
    <s v="Software / Configuration"/>
    <x v="0"/>
    <s v="Q5AE-KNH9-5GV8"/>
    <s v="Q5AE-KNH9-5GV8"/>
    <s v="NA"/>
    <x v="1"/>
    <s v="GF-AP01-ETP-SW1-10P"/>
    <s v="CW9166I"/>
    <s v="wireless-31-1-8"/>
    <m/>
    <s v="Non-Core"/>
    <s v="Closed"/>
    <x v="0"/>
    <s v="Device Power issues"/>
    <s v="Device Power issues"/>
    <d v="2026-05-05T11:33:56"/>
    <d v="2026-05-05T11:59:00"/>
    <n v="25.07"/>
    <d v="2026-05-05T11:33:57"/>
    <n v="0.02"/>
    <n v="30"/>
    <s v="SLA Met"/>
    <d v="2026-05-05T11:39:59"/>
    <d v="2026-05-05T11:56:15"/>
    <n v="16.27"/>
    <n v="8.8000000000000007"/>
    <n v="120"/>
    <s v="SLA Met"/>
    <m/>
    <n v="129600"/>
    <n v="129591.2"/>
    <n v="99.993209876543204"/>
    <n v="129583.73"/>
    <n v="99.987445987654326"/>
  </r>
  <r>
    <s v="Jubilant Foodworks Ltd (JFL)"/>
    <s v="Alert"/>
    <s v="Aneesh P S"/>
    <s v="PRO/INC/44815"/>
    <s v="switches went down"/>
    <s v="Meraki Managed Services"/>
    <s v="Software / Configuration"/>
    <x v="0"/>
    <s v="Q2QW-CAJU-QVKD"/>
    <s v="Q2QW-CAJU-QVKD"/>
    <s v="GF-ETP"/>
    <x v="0"/>
    <s v="GF-ETP-SW1"/>
    <s v="MS250-48FP"/>
    <s v="switch-17-1-4"/>
    <m/>
    <s v="Core"/>
    <s v="Closed"/>
    <x v="0"/>
    <s v="Device Power issues"/>
    <s v="Device Power issues"/>
    <d v="2026-05-05T11:36:03"/>
    <d v="2026-05-05T11:58:00"/>
    <n v="21.95"/>
    <d v="2026-05-05T11:36:03"/>
    <n v="0"/>
    <n v="30"/>
    <s v="SLA Met"/>
    <d v="2026-05-05T11:39:22"/>
    <d v="2026-05-05T11:55:25"/>
    <n v="16.05"/>
    <n v="5.9"/>
    <n v="120"/>
    <s v="SLA Met"/>
    <m/>
    <n v="129600"/>
    <n v="129594.1"/>
    <n v="99.995447530864197"/>
    <n v="129583.95"/>
    <n v="99.987615740740736"/>
  </r>
  <r>
    <s v="Jubilant Foodworks Ltd (JFL)"/>
    <s v="Alert"/>
    <s v="Dheerendra Maurya"/>
    <s v="PRO/INC/44824"/>
    <s v="new dhcp server detected"/>
    <s v="Meraki Managed Services"/>
    <s v="Software / Configuration"/>
    <x v="2"/>
    <s v="Q5JJ-68KZ-MXAS"/>
    <s v="Q5JJ-68KZ-MXAS"/>
    <s v="RACK 1"/>
    <x v="0"/>
    <s v="JFL-NAG-SSC-SW01"/>
    <s v="C9300L-48P-4X"/>
    <s v="cs-17-2-2"/>
    <m/>
    <s v="Non-Core"/>
    <s v="Closed"/>
    <x v="3"/>
    <s v="DHCP New device detected"/>
    <s v="We have blocked Mac address.New dhcp server detected issue has been resolved. . now closed the case"/>
    <d v="2026-05-05T14:00:23"/>
    <d v="2026-05-05T19:42:00"/>
    <n v="341.62"/>
    <d v="2026-05-05T14:00:24"/>
    <n v="0.02"/>
    <n v="30"/>
    <s v="SLA Met"/>
    <d v="2026-05-05T14:27:24"/>
    <d v="2026-05-05T19:38:36"/>
    <n v="311.2"/>
    <n v="30.42"/>
    <n v="120"/>
    <s v="SLA Met"/>
    <m/>
    <n v="129600"/>
    <n v="129569.58"/>
    <n v="99.976527777777775"/>
    <n v="129288.8"/>
    <n v="99.759876543209884"/>
  </r>
  <r>
    <s v="Jubilant Foodworks Ltd (JFL)"/>
    <s v="Alert"/>
    <s v="Abhishek Satish Pawar"/>
    <s v="PRO/INC/44850"/>
    <s v="aps went down"/>
    <s v="Meraki Managed Services"/>
    <s v="Software / Configuration"/>
    <x v="0"/>
    <s v="Q3AC-Y2HS-V29M"/>
    <s v="Q3AC-Y2HS-V29M"/>
    <s v="NA"/>
    <x v="1"/>
    <s v="1F-AP26-R5-SW02-34P"/>
    <s v="MR46"/>
    <s v="wireless-31-1-8"/>
    <m/>
    <s v="Non-Core"/>
    <s v="Closed"/>
    <x v="0"/>
    <s v="power issue"/>
    <s v="Resolved"/>
    <d v="2026-05-05T23:32:38"/>
    <d v="2026-05-14T12:05:00"/>
    <n v="12272.37"/>
    <d v="2026-05-05T23:32:39"/>
    <n v="0.02"/>
    <n v="30"/>
    <s v="SLA Met"/>
    <d v="2026-05-05T23:34:46"/>
    <d v="2026-05-14T12:01:30"/>
    <n v="12266.73"/>
    <n v="5.63"/>
    <n v="120"/>
    <s v="SLA Met"/>
    <m/>
    <n v="129600"/>
    <n v="129594.37"/>
    <n v="99.995655864197531"/>
    <n v="117333.27"/>
    <n v="90.534930555555562"/>
  </r>
  <r>
    <s v="Jubilant Foodworks Ltd (JFL)"/>
    <s v="Alert"/>
    <s v="Abhishek Satish Pawar"/>
    <s v="PRO/INC/44851"/>
    <s v="aps went down"/>
    <s v="Meraki Managed Services"/>
    <s v="Software / Configuration"/>
    <x v="0"/>
    <s v="Q3AC-RQJS-FY3M"/>
    <s v="Q3AC-RQJS-FY3M"/>
    <s v="NA"/>
    <x v="1"/>
    <s v="1F-AP14-R04-SW02-11P"/>
    <s v="MR46"/>
    <s v="wireless-31-1-8"/>
    <m/>
    <s v="Non-Core"/>
    <s v="Closed"/>
    <x v="0"/>
    <s v="power issue"/>
    <s v="Resolved"/>
    <d v="2026-05-05T23:32:41"/>
    <d v="2026-05-14T12:05:00"/>
    <n v="12272.32"/>
    <d v="2026-05-05T23:32:41"/>
    <n v="0"/>
    <n v="30"/>
    <s v="SLA Met"/>
    <d v="2026-05-05T23:36:17"/>
    <d v="2026-05-14T12:03:06"/>
    <n v="12266.82"/>
    <n v="5.5"/>
    <n v="120"/>
    <s v="SLA Met"/>
    <m/>
    <n v="129600"/>
    <n v="129594.5"/>
    <n v="99.995756172839506"/>
    <n v="117333.18"/>
    <n v="90.534861111111113"/>
  </r>
  <r>
    <s v="Jubilant Foodworks Ltd (JFL)"/>
    <s v="Alert"/>
    <s v="Abhishek Satish Pawar"/>
    <s v="PRO/INC/44853"/>
    <s v="aps went down"/>
    <s v="Meraki Managed Services"/>
    <s v="Software / Configuration"/>
    <x v="0"/>
    <s v="Q3AC-DZAX-3FNP"/>
    <s v="Q3AC-DZAX-3FNP"/>
    <s v="NA"/>
    <x v="1"/>
    <s v="1F-AP13-R04-SW02-13P"/>
    <s v="MR46"/>
    <s v="wireless-31-1-8"/>
    <m/>
    <s v="Non-Core"/>
    <s v="Closed"/>
    <x v="0"/>
    <s v="power issue"/>
    <s v="Resolved"/>
    <d v="2026-05-05T23:32:46"/>
    <d v="2026-05-14T12:07:00"/>
    <n v="12274.23"/>
    <d v="2026-05-05T23:32:47"/>
    <n v="0.02"/>
    <n v="30"/>
    <s v="SLA Met"/>
    <d v="2026-05-05T23:37:44"/>
    <d v="2026-05-14T12:05:14"/>
    <n v="12267.5"/>
    <n v="6.73"/>
    <n v="120"/>
    <s v="SLA Met"/>
    <m/>
    <n v="129600"/>
    <n v="129593.27"/>
    <n v="99.994807098765435"/>
    <n v="117332.5"/>
    <n v="90.534336419753075"/>
  </r>
  <r>
    <s v="Jubilant Foodworks Ltd (JFL)"/>
    <s v="Alert"/>
    <s v="Abhishek Satish Pawar"/>
    <s v="PRO/INC/44852"/>
    <s v="aps went down"/>
    <s v="Meraki Managed Services"/>
    <s v="Software / Configuration"/>
    <x v="0"/>
    <s v="Q3AC-E8LA-PVD4"/>
    <s v="Q3AC-E8LA-PVD4"/>
    <s v="NA"/>
    <x v="1"/>
    <s v="1F-AP10-R05-SW02-44P"/>
    <s v="MR46"/>
    <s v="wireless-31-1-8"/>
    <m/>
    <s v="Non-Core"/>
    <s v="Closed"/>
    <x v="0"/>
    <s v="power issue"/>
    <s v="Resolved"/>
    <d v="2026-05-05T23:32:46"/>
    <d v="2026-05-14T12:08:00"/>
    <n v="12275.23"/>
    <d v="2026-05-05T23:32:46"/>
    <n v="0"/>
    <n v="30"/>
    <s v="SLA Met"/>
    <d v="2026-05-05T23:36:58"/>
    <d v="2026-05-14T12:06:32"/>
    <n v="12269.57"/>
    <n v="5.67"/>
    <n v="120"/>
    <s v="SLA Met"/>
    <m/>
    <n v="129600"/>
    <n v="129594.33"/>
    <n v="99.995625000000004"/>
    <n v="117330.43"/>
    <n v="90.532739197530859"/>
  </r>
  <r>
    <s v="Jubilant Foodworks Ltd (JFL)"/>
    <s v="Alert"/>
    <s v="Abhishek Satish Pawar"/>
    <s v="PRO/INC/44988"/>
    <s v="switches went down"/>
    <s v="Meraki Managed Services"/>
    <s v="Software / Configuration"/>
    <x v="4"/>
    <s v="Q5TN-NF5F-N32X"/>
    <s v="Q5TN-NF5F-N32X"/>
    <s v="CORE"/>
    <x v="0"/>
    <s v="JFL-GNSC-CORE-SW-ST-01 [1]"/>
    <s v="C9300X-24Y"/>
    <s v="ios-xe-17-15-4"/>
    <m/>
    <s v="Core"/>
    <s v="Closed"/>
    <x v="0"/>
    <s v="power issue"/>
    <s v="After Restore issue has been resolved"/>
    <d v="2026-05-08T02:18:51"/>
    <d v="2026-05-11T08:30:00"/>
    <n v="4691.1499999999996"/>
    <d v="2026-05-08T02:18:52"/>
    <n v="0.02"/>
    <n v="30"/>
    <s v="SLA Met"/>
    <d v="2026-05-08T02:20:42"/>
    <d v="2026-05-11T08:27:53"/>
    <n v="4687.18"/>
    <n v="3.97"/>
    <n v="120"/>
    <s v="SLA Met"/>
    <m/>
    <n v="129600"/>
    <n v="129596.03"/>
    <n v="99.996936728395056"/>
    <n v="124912.82"/>
    <n v="96.383348765432103"/>
  </r>
  <r>
    <s v="Jubilant Foodworks Ltd (JFL)"/>
    <s v="Alert"/>
    <s v="Aneesh P S"/>
    <s v="PRO/INC/45099"/>
    <s v="aps went down"/>
    <s v="Meraki Managed Services"/>
    <s v="Software / Configuration"/>
    <x v="3"/>
    <s v="Q5AR-A7VQ-MZJM"/>
    <s v="Q5AR-A7VQ-MZJM"/>
    <s v="NA"/>
    <x v="1"/>
    <s v="JFL-Mohali-SCC-AP13"/>
    <s v="CW9166I"/>
    <s v="wireless-31-1-7"/>
    <m/>
    <s v="Non-Core"/>
    <s v="Closed"/>
    <x v="0"/>
    <s v="power issue"/>
    <s v="Device Power issues"/>
    <d v="2026-05-10T10:30:38"/>
    <d v="2026-05-11T09:00:00"/>
    <n v="1349.37"/>
    <d v="2026-05-10T10:30:39"/>
    <n v="0.02"/>
    <n v="30"/>
    <s v="SLA Met"/>
    <d v="2026-05-10T10:40:30"/>
    <d v="2026-05-11T08:05:16"/>
    <n v="1284.77"/>
    <n v="64.599999999999994"/>
    <n v="120"/>
    <s v="SLA Met"/>
    <m/>
    <n v="129600"/>
    <n v="129535.4"/>
    <n v="99.95015432098765"/>
    <n v="128315.23"/>
    <n v="99.00866512345678"/>
  </r>
  <r>
    <s v="Jubilant Foodworks Ltd (JFL)"/>
    <s v="Alert"/>
    <s v="Aneesh P S"/>
    <s v="PRO/INC/45327"/>
    <s v="aps went down"/>
    <s v="Meraki Managed Services"/>
    <s v="Software / Configuration"/>
    <x v="4"/>
    <s v="Q3KG-JH9T-FL7Z"/>
    <s v="Q3KG-JH9T-FL7Z"/>
    <s v="NA"/>
    <x v="1"/>
    <s v="JFL-GNSC-AP48"/>
    <s v="MR86"/>
    <s v="wireless-31-1-7"/>
    <m/>
    <s v="Non-Core"/>
    <s v="Closed"/>
    <x v="0"/>
    <s v="power issue"/>
    <s v="Device Power issues"/>
    <d v="2026-05-12T22:23:41"/>
    <d v="2026-05-13T00:24:00"/>
    <n v="120.32"/>
    <d v="2026-05-12T22:23:42"/>
    <n v="0.02"/>
    <n v="30"/>
    <s v="SLA Met"/>
    <d v="2026-05-12T22:28:44"/>
    <d v="2026-05-13T00:18:31"/>
    <n v="109.78"/>
    <n v="10.53"/>
    <n v="120"/>
    <s v="SLA Met"/>
    <m/>
    <n v="129600"/>
    <n v="129589.47"/>
    <n v="99.991874999999993"/>
    <n v="129490.22"/>
    <n v="99.915293209876538"/>
  </r>
  <r>
    <s v="Jubilant Foodworks Ltd (JFL)"/>
    <s v="Email"/>
    <s v="Kartik Choudhary"/>
    <s v="PRO/INC/45342"/>
    <s v="Request to Whitelist New MAC Address for Mohali SCC Desktop"/>
    <s v="Meraki Managed Services"/>
    <s v="Change Request"/>
    <x v="3"/>
    <s v="Q5JJ-3TZH-2HV5"/>
    <s v="Q5JJ-3TZH-2HV5"/>
    <s v="CORE"/>
    <x v="0"/>
    <s v="JFL-MOHALI-CORE-01"/>
    <s v="C9300L-48P-4X"/>
    <s v="cs-17-2-1"/>
    <m/>
    <s v="P4"/>
    <s v="Closed"/>
    <x v="1"/>
    <m/>
    <s v="Required changes has been made successfully and same has been confirmed with customer."/>
    <d v="2026-05-13T14:06:33"/>
    <d v="2026-05-13T15:21:00"/>
    <n v="74.45"/>
    <d v="2026-05-13T14:06:32"/>
    <n v="0"/>
    <n v="30"/>
    <s v="SLA Met"/>
    <m/>
    <m/>
    <n v="0"/>
    <n v="74.45"/>
    <n v="2880"/>
    <s v="SLA Met"/>
    <m/>
    <n v="129600"/>
    <n v="129525.55"/>
    <n v="99.942554012345681"/>
    <n v="129600"/>
    <n v="100"/>
  </r>
  <r>
    <s v="Jubilant Foodworks Ltd (JFL)"/>
    <s v="Alert"/>
    <s v="Aneesh P S"/>
    <s v="PRO/INC/45359"/>
    <s v="aps went down"/>
    <s v="Meraki Managed Services"/>
    <s v="Software / Configuration"/>
    <x v="4"/>
    <s v="Q3KG-Y2PU-4DWW"/>
    <s v="Q3KG-Y2PU-4DWW"/>
    <s v="NA"/>
    <x v="1"/>
    <s v="JFL-GNSC-AP55"/>
    <s v="MR86"/>
    <s v="wireless-31-1-7"/>
    <m/>
    <s v="Non-Core"/>
    <s v="Closed"/>
    <x v="0"/>
    <s v="Device Power issues"/>
    <s v="Device Power Issue"/>
    <d v="2026-05-14T06:33:58"/>
    <d v="2026-05-14T07:00:00"/>
    <n v="26.03"/>
    <d v="2026-05-14T06:33:59"/>
    <n v="0.02"/>
    <n v="30"/>
    <s v="SLA Met"/>
    <d v="2026-05-14T06:42:38"/>
    <d v="2026-05-14T06:44:06"/>
    <n v="1.47"/>
    <n v="24.57"/>
    <n v="120"/>
    <s v="SLA Met"/>
    <m/>
    <n v="129600"/>
    <n v="129575.43"/>
    <n v="99.981041666666655"/>
    <n v="129598.53"/>
    <n v="99.99886574074074"/>
  </r>
  <r>
    <s v="Jubilant Foodworks Ltd (JFL)"/>
    <s v="Alert"/>
    <s v="Dharmendra Bhadoriya"/>
    <s v="PRO/INC/45363"/>
    <s v="aps went down"/>
    <s v="Meraki Managed Services"/>
    <s v="Software / Configuration"/>
    <x v="4"/>
    <s v="Q3KG-GWW5-CHJC"/>
    <s v="Q3KG-GWW5-CHJC"/>
    <s v="NA"/>
    <x v="1"/>
    <s v="JFL-GNSC-AP52"/>
    <s v="MR86"/>
    <s v="wireless-31-1-7"/>
    <m/>
    <s v="Non-Core"/>
    <s v="Closed"/>
    <x v="0"/>
    <s v="power issue"/>
    <s v="After Restore issue has been resolved"/>
    <d v="2026-05-14T08:44:09"/>
    <d v="2026-05-26T10:55:00"/>
    <n v="17410.849999999999"/>
    <d v="2026-05-14T08:44:10"/>
    <n v="0.02"/>
    <n v="30"/>
    <s v="SLA Met"/>
    <d v="2026-05-14T08:50:17"/>
    <d v="2026-05-26T10:49:55"/>
    <n v="17399.63"/>
    <n v="11.22"/>
    <n v="120"/>
    <s v="SLA Met"/>
    <m/>
    <n v="129600"/>
    <n v="129588.78"/>
    <n v="99.991342592592588"/>
    <n v="112200.37"/>
    <n v="86.574359567901226"/>
  </r>
  <r>
    <s v="Jubilant Foodworks Ltd (JFL)"/>
    <s v="Alert"/>
    <s v="Arvind Kumar Arya"/>
    <s v="PRO/INC/45367"/>
    <s v="aps went down"/>
    <s v="Meraki Managed Services"/>
    <s v="Software / Configuration"/>
    <x v="4"/>
    <s v="Q3KG-GWW5-CHJC"/>
    <s v="Q3KG-GWW5-CHJC"/>
    <s v="NA"/>
    <x v="1"/>
    <s v="JFL-GNSC-AP52"/>
    <s v="MR86"/>
    <s v="wireless-31-1-7"/>
    <m/>
    <s v="Non-Core"/>
    <s v="Closed"/>
    <x v="0"/>
    <s v="ISP issue or Power issue"/>
    <s v="power issue"/>
    <d v="2026-05-14T09:25:34"/>
    <d v="2026-05-14T16:12:00"/>
    <n v="406.43"/>
    <d v="2026-05-14T09:25:34"/>
    <n v="0"/>
    <n v="30"/>
    <s v="SLA Met"/>
    <d v="2026-05-14T10:17:39"/>
    <d v="2026-05-14T16:11:05"/>
    <n v="353.43"/>
    <n v="53"/>
    <n v="120"/>
    <s v="SLA Met"/>
    <m/>
    <n v="129600"/>
    <n v="129547"/>
    <n v="99.959104938271608"/>
    <n v="129246.57"/>
    <n v="99.727291666666673"/>
  </r>
  <r>
    <s v="Jubilant Foodworks Ltd (JFL)"/>
    <s v="Alert"/>
    <s v="Dharmendra Bhadoriya"/>
    <s v="PRO/INC/45370"/>
    <s v="aps went down"/>
    <s v="Meraki Managed Services"/>
    <s v="Software / Configuration"/>
    <x v="4"/>
    <s v="Q3KG-GWW5-CHJC"/>
    <s v="Q3KG-GWW5-CHJC"/>
    <s v="NA"/>
    <x v="1"/>
    <s v="JFL-GNSC-AP52"/>
    <s v="MR86"/>
    <s v="wireless-31-1-7"/>
    <m/>
    <s v="Non-Core"/>
    <s v="Closed"/>
    <x v="0"/>
    <s v="power issue"/>
    <s v="After Restore issue has been resolved"/>
    <d v="2026-05-14T10:20:46"/>
    <d v="2026-05-26T10:57:00"/>
    <n v="17316.23"/>
    <d v="2026-05-14T10:20:47"/>
    <n v="0.02"/>
    <n v="30"/>
    <s v="SLA Met"/>
    <d v="2026-05-14T10:23:07"/>
    <d v="2026-05-26T10:52:29"/>
    <n v="17309.37"/>
    <n v="6.87"/>
    <n v="120"/>
    <s v="SLA Met"/>
    <m/>
    <n v="129600"/>
    <n v="129593.13"/>
    <n v="99.994699074074077"/>
    <n v="112290.63"/>
    <n v="86.644004629629634"/>
  </r>
  <r>
    <s v="Jubilant Foodworks Ltd (JFL)"/>
    <s v="Alert"/>
    <s v="Arvind Kumar Arya"/>
    <s v="PRO/INC/45373"/>
    <s v="aps went down"/>
    <s v="Meraki Managed Services"/>
    <s v="Software / Configuration"/>
    <x v="4"/>
    <s v="Q3KG-XSEX-EG6A"/>
    <s v="Q3KG-XSEX-EG6A"/>
    <s v="NA"/>
    <x v="1"/>
    <s v="JFL-GNSC-AP60"/>
    <s v="MR86"/>
    <s v="wireless-31-1-7"/>
    <m/>
    <s v="Non-Core"/>
    <s v="Closed"/>
    <x v="0"/>
    <s v="ISP issue or Power issue"/>
    <s v="power issue"/>
    <d v="2026-05-14T10:45:19"/>
    <d v="2026-05-14T16:16:00"/>
    <n v="330.68"/>
    <d v="2026-05-14T10:45:19"/>
    <n v="0"/>
    <n v="30"/>
    <s v="SLA Met"/>
    <d v="2026-05-14T11:07:56"/>
    <d v="2026-05-14T16:12:31"/>
    <n v="304.58"/>
    <n v="26.1"/>
    <n v="120"/>
    <s v="SLA Met"/>
    <m/>
    <n v="129600"/>
    <n v="129573.9"/>
    <n v="99.979861111111106"/>
    <n v="129295.42"/>
    <n v="99.764984567901237"/>
  </r>
  <r>
    <s v="Jubilant Foodworks Ltd (JFL)"/>
    <s v="Alert"/>
    <s v="Arvind Kumar Arya"/>
    <s v="PRO/INC/45379"/>
    <s v="aps went down"/>
    <s v="Meraki Managed Services"/>
    <s v="Software / Configuration"/>
    <x v="4"/>
    <s v="Q3KG-8U94-FMUC"/>
    <s v="Q3KG-8U94-FMUC"/>
    <s v="NA"/>
    <x v="1"/>
    <s v="JFL-GNSC-AP56"/>
    <s v="MR86"/>
    <s v="wireless-31-1-7"/>
    <m/>
    <s v="Non-Core"/>
    <s v="Closed"/>
    <x v="0"/>
    <s v="ISP issue or Power issue"/>
    <s v="power issue"/>
    <d v="2026-05-14T10:52:20"/>
    <d v="2026-05-14T16:18:00"/>
    <n v="325.67"/>
    <d v="2026-05-14T10:52:20"/>
    <n v="0"/>
    <n v="30"/>
    <s v="SLA Met"/>
    <d v="2026-05-14T11:08:49"/>
    <d v="2026-05-14T16:17:11"/>
    <n v="308.37"/>
    <n v="17.3"/>
    <n v="120"/>
    <s v="SLA Met"/>
    <m/>
    <n v="129600"/>
    <n v="129582.7"/>
    <n v="99.986651234567901"/>
    <n v="129291.63"/>
    <n v="99.762060185185192"/>
  </r>
  <r>
    <s v="Jubilant Foodworks Ltd (JFL)"/>
    <s v="Alert"/>
    <s v="Arvind Kumar Arya"/>
    <s v="PRO/INC/45381"/>
    <s v="aps went down"/>
    <s v="Meraki Managed Services"/>
    <s v="Software / Configuration"/>
    <x v="4"/>
    <s v="Q3KG-Y2PU-4DWW"/>
    <s v="Q3KG-Y2PU-4DWW"/>
    <s v="NA"/>
    <x v="1"/>
    <s v="JFL-GNSC-AP55"/>
    <s v="MR86"/>
    <s v="wireless-31-1-7"/>
    <m/>
    <s v="Non-Core"/>
    <s v="Closed"/>
    <x v="0"/>
    <s v="ISP issue or Power issue"/>
    <s v="power issue"/>
    <d v="2026-05-14T10:52:29"/>
    <d v="2026-05-14T16:20:00"/>
    <n v="327.52"/>
    <d v="2026-05-14T10:52:30"/>
    <n v="0.02"/>
    <n v="30"/>
    <s v="SLA Met"/>
    <d v="2026-05-14T11:09:36"/>
    <d v="2026-05-14T16:18:14"/>
    <n v="308.63"/>
    <n v="18.88"/>
    <n v="120"/>
    <s v="SLA Met"/>
    <m/>
    <n v="129600"/>
    <n v="129581.12"/>
    <n v="99.985432098765429"/>
    <n v="129291.37"/>
    <n v="99.76185956790124"/>
  </r>
  <r>
    <s v="Jubilant Foodworks Ltd (JFL)"/>
    <s v="Alert"/>
    <s v="Kartik Choudhary"/>
    <s v="PRO/INC/45519"/>
    <s v="aps went down"/>
    <s v="Meraki Managed Services"/>
    <s v="Software / Configuration"/>
    <x v="4"/>
    <s v="Q3KG-XSEX-EG6A"/>
    <s v="Q3KG-XSEX-EG6A"/>
    <s v="NA"/>
    <x v="1"/>
    <s v="JFL-GNSC-AP60"/>
    <s v="MR86"/>
    <s v="wireless-31-1-7"/>
    <m/>
    <s v="Non-Core"/>
    <s v="Closed"/>
    <x v="5"/>
    <m/>
    <s v="Device boot issue"/>
    <d v="2026-05-15T13:35:14"/>
    <d v="2026-05-15T13:48:00"/>
    <n v="12.77"/>
    <d v="2026-05-15T13:35:15"/>
    <n v="0.02"/>
    <n v="30"/>
    <s v="SLA Met"/>
    <m/>
    <m/>
    <n v="0"/>
    <n v="12.77"/>
    <n v="120"/>
    <s v="SLA Met"/>
    <m/>
    <n v="129600"/>
    <n v="129587.23"/>
    <n v="99.990146604938275"/>
    <n v="129600"/>
    <n v="100"/>
  </r>
  <r>
    <s v="Jubilant Foodworks Ltd (JFL)"/>
    <s v="Alert"/>
    <s v="Kartik Choudhary"/>
    <s v="PRO/INC/45518"/>
    <s v="aps went down"/>
    <s v="Meraki Managed Services"/>
    <s v="Software / Configuration"/>
    <x v="4"/>
    <s v="Q3KG-Y2PU-4DWW"/>
    <s v="Q3KG-Y2PU-4DWW"/>
    <s v="NA"/>
    <x v="1"/>
    <s v="JFL-GNSC-AP55"/>
    <s v="MR86"/>
    <s v="wireless-31-1-7"/>
    <m/>
    <s v="Non-Core"/>
    <s v="Closed"/>
    <x v="5"/>
    <m/>
    <s v="Device boot issue"/>
    <d v="2026-05-15T13:35:14"/>
    <d v="2026-05-15T13:52:00"/>
    <n v="16.77"/>
    <d v="2026-05-15T13:35:15"/>
    <n v="0.02"/>
    <n v="30"/>
    <s v="SLA Met"/>
    <m/>
    <m/>
    <n v="0"/>
    <n v="16.77"/>
    <n v="120"/>
    <s v="SLA Met"/>
    <m/>
    <n v="129600"/>
    <n v="129583.23"/>
    <n v="99.987060185185186"/>
    <n v="129600"/>
    <n v="100"/>
  </r>
  <r>
    <s v="Jubilant Foodworks Ltd (JFL)"/>
    <s v="Alert"/>
    <s v="Kartik Choudhary"/>
    <s v="PRO/INC/45520"/>
    <s v="aps went down"/>
    <s v="Meraki Managed Services"/>
    <s v="Software / Configuration"/>
    <x v="4"/>
    <s v="Q3KG-GWW5-CHJC"/>
    <s v="Q3KG-GWW5-CHJC"/>
    <s v="NA"/>
    <x v="1"/>
    <s v="JFL-GNSC-AP52"/>
    <s v="MR86"/>
    <s v="wireless-31-1-7"/>
    <m/>
    <s v="Non-Core"/>
    <s v="Closed"/>
    <x v="5"/>
    <m/>
    <s v="Device boot issue"/>
    <d v="2026-05-15T13:35:23"/>
    <d v="2026-05-15T13:54:00"/>
    <n v="18.62"/>
    <d v="2026-05-15T13:35:24"/>
    <n v="0.02"/>
    <n v="30"/>
    <s v="SLA Met"/>
    <m/>
    <m/>
    <n v="0"/>
    <n v="18.62"/>
    <n v="120"/>
    <s v="SLA Met"/>
    <m/>
    <n v="129600"/>
    <n v="129581.38"/>
    <n v="99.985632716049395"/>
    <n v="129600"/>
    <n v="100"/>
  </r>
  <r>
    <s v="Jubilant Foodworks Ltd (JFL)"/>
    <s v="Email"/>
    <s v="Kartik Choudhary"/>
    <s v="PRO/INC/45528"/>
    <s v="Port Reset | JFL-NAG-SSC-SW01 /Port no. 43 JFL, Nagpur"/>
    <s v="Meraki Managed Services"/>
    <s v="Change Request"/>
    <x v="2"/>
    <s v="Q5JJ-68KZ-MXAS"/>
    <s v="Q5JJ-68KZ-MXAS"/>
    <s v="RACK 1"/>
    <x v="0"/>
    <s v="JFL-NAG-SSC-SW01"/>
    <s v="C9300L-48P-4X"/>
    <s v="cs-17-2-2"/>
    <m/>
    <s v="Non-Core"/>
    <s v="Closed"/>
    <x v="1"/>
    <s v="We have reset the port but getting the CRC error on port so now customer is checking for cable at their end and update us to move further."/>
    <s v="As discussed over the call, we have enabled port number 43. Based on our discussion, we are proceeding with the closure of this case. Please feel free to reach out to us if any further assistance is required."/>
    <d v="2026-05-15T17:26:52"/>
    <d v="2026-05-19T18:20:00"/>
    <n v="5813.13"/>
    <d v="2026-05-15T17:26:51"/>
    <n v="0"/>
    <n v="30"/>
    <s v="SLA Met"/>
    <d v="2026-05-15T17:46:02"/>
    <d v="2026-05-19T18:14:07"/>
    <n v="5788.08"/>
    <n v="25.05"/>
    <n v="120"/>
    <s v="SLA Met"/>
    <m/>
    <n v="129600"/>
    <n v="129574.95"/>
    <n v="99.980671296296293"/>
    <n v="123811.92"/>
    <n v="95.533888888888882"/>
  </r>
  <r>
    <s v="Jubilant Foodworks Ltd (JFL)"/>
    <s v="Email"/>
    <s v="Dheerendra Maurya"/>
    <s v="PRO/INC/45588"/>
    <s v="Pls align Engineer at Greater Noida SCC || Power Maintenance Activity"/>
    <s v="Meraki Managed Services"/>
    <s v="Software / Configuration"/>
    <x v="4"/>
    <s v="FVH2836L5EQ"/>
    <s v="FVH2836L5EQ"/>
    <s v="NO RACK "/>
    <x v="0"/>
    <n v="1"/>
    <e v="#N/A"/>
    <e v="#N/A"/>
    <m/>
    <s v="P4"/>
    <s v="Closed"/>
    <x v="2"/>
    <s v="Tomorrow power shut down activity"/>
    <s v="Power shutdown activity has been completed. We are now closing the case."/>
    <d v="2026-05-16T13:50:36"/>
    <d v="2026-05-18T15:14:00"/>
    <n v="2963.4"/>
    <d v="2026-05-16T13:50:35"/>
    <n v="0"/>
    <n v="30"/>
    <s v="SLA Met"/>
    <d v="2026-05-16T14:10:18"/>
    <d v="2026-05-18T15:11:25"/>
    <n v="2941.12"/>
    <n v="22.28"/>
    <n v="2880"/>
    <s v="SLA Met"/>
    <m/>
    <n v="129600"/>
    <n v="129577.72"/>
    <n v="99.982808641975311"/>
    <n v="126658.88"/>
    <n v="97.730617283950622"/>
  </r>
  <r>
    <s v="Jubilant Foodworks Ltd (JFL)"/>
    <s v="Alert"/>
    <s v="Dharmendra Bhadoriya"/>
    <s v="PRO/INC/45631"/>
    <s v="switches went down"/>
    <s v="Meraki Managed Services"/>
    <s v="Software / Configuration"/>
    <x v="1"/>
    <s v="Q5JG-AQNW-P9FB"/>
    <s v="Q5JG-AQNW-P9FB"/>
    <s v="CORE"/>
    <x v="0"/>
    <s v="JFL-Guwahati-CORE-02"/>
    <s v="C9300L-24P-4X"/>
    <s v="IOS XE 17.15.5"/>
    <m/>
    <s v="Core"/>
    <s v="Closed"/>
    <x v="0"/>
    <s v="power issue"/>
    <s v="After Restore issue has been resolved"/>
    <d v="2026-05-17T10:58:13"/>
    <d v="2026-05-18T09:19:00"/>
    <n v="1340.78"/>
    <d v="2026-05-17T10:58:14"/>
    <n v="0.02"/>
    <n v="30"/>
    <s v="SLA Met"/>
    <d v="2026-05-17T11:11:40"/>
    <d v="2026-05-18T09:16:05"/>
    <n v="1324.42"/>
    <n v="16.37"/>
    <n v="120"/>
    <s v="SLA Met"/>
    <m/>
    <n v="129600"/>
    <n v="129583.63"/>
    <n v="99.987368827160495"/>
    <n v="128275.58"/>
    <n v="98.97807098765432"/>
  </r>
  <r>
    <s v="Jubilant Foodworks Ltd (JFL)"/>
    <s v="Alert"/>
    <s v="Dharmendra Bhadoriya"/>
    <s v="PRO/INC/45632"/>
    <s v="aps went down"/>
    <s v="Meraki Managed Services"/>
    <s v="Software / Configuration"/>
    <x v="1"/>
    <s v="Q3KG-ZJZJ-WWH5"/>
    <s v="Q3KG-ZJZJ-WWH5"/>
    <s v="NA"/>
    <x v="1"/>
    <s v="JFL-Guwahati-SSC-AP-02"/>
    <s v="MR86"/>
    <s v="MR 32.1.7"/>
    <m/>
    <s v="Non-Core"/>
    <s v="Closed"/>
    <x v="0"/>
    <s v="power issue"/>
    <s v="After Restore issue has been resolved"/>
    <d v="2026-05-17T10:58:13"/>
    <d v="2026-05-18T09:14:00"/>
    <n v="1335.78"/>
    <d v="2026-05-17T10:58:14"/>
    <n v="0.02"/>
    <n v="30"/>
    <s v="SLA Met"/>
    <d v="2026-05-17T11:10:57"/>
    <d v="2026-05-18T09:11:25"/>
    <n v="1320.47"/>
    <n v="15.32"/>
    <n v="120"/>
    <s v="SLA Met"/>
    <m/>
    <n v="129600"/>
    <n v="129584.68"/>
    <n v="99.988179012345668"/>
    <n v="128279.53"/>
    <n v="98.9811188271605"/>
  </r>
  <r>
    <s v="Jubilant Foodworks Ltd (JFL)"/>
    <s v="Alert"/>
    <s v="Dharmendra Bhadoriya"/>
    <s v="PRO/INC/45951"/>
    <s v="switches went down"/>
    <s v="Meraki Managed Services"/>
    <s v="Software / Configuration"/>
    <x v="3"/>
    <s v="Q3LP-2PSJ-6DLB"/>
    <s v="Q3LP-2PSJ-6DLB"/>
    <s v="TRANSPORT ROOM"/>
    <x v="0"/>
    <s v="JFL-MOHALI-ACC-SW-01(Transport Room)"/>
    <s v="MS130-12X"/>
    <s v="switch-17-2-1"/>
    <m/>
    <s v="Core"/>
    <s v="Closed"/>
    <x v="0"/>
    <s v="power issue"/>
    <s v="After Restore issue has been resolved"/>
    <d v="2026-05-17T16:37:02"/>
    <d v="2026-05-26T11:08:00"/>
    <n v="12630.97"/>
    <d v="2026-05-17T16:37:03"/>
    <n v="0.02"/>
    <n v="30"/>
    <s v="SLA Met"/>
    <d v="2026-05-17T16:39:17"/>
    <d v="2026-05-26T11:05:17"/>
    <n v="12626"/>
    <n v="4.97"/>
    <n v="120"/>
    <s v="SLA Met"/>
    <m/>
    <n v="129600"/>
    <n v="129595.03"/>
    <n v="99.996165123456791"/>
    <n v="116974"/>
    <n v="90.257716049382722"/>
  </r>
  <r>
    <s v="Jubilant Foodworks Ltd (JFL)"/>
    <s v="Alert"/>
    <s v="Dharmendra Bhadoriya"/>
    <s v="PRO/INC/45952"/>
    <s v="aps went down"/>
    <s v="Meraki Managed Services"/>
    <s v="Software / Configuration"/>
    <x v="3"/>
    <s v="Q5AR-A7VQ-MZJM"/>
    <s v="Q5AR-A7VQ-MZJM"/>
    <s v="NA"/>
    <x v="1"/>
    <s v="JFL-Mohali-SCC-AP13"/>
    <s v="CW9166I"/>
    <s v="wireless-31-1-7"/>
    <m/>
    <s v="Non-Core"/>
    <s v="Closed"/>
    <x v="0"/>
    <s v="power issue"/>
    <s v="After Restore issue has been resolved"/>
    <d v="2026-05-17T16:37:02"/>
    <d v="2026-05-26T11:08:00"/>
    <n v="12630.97"/>
    <d v="2026-05-17T16:37:03"/>
    <n v="0.02"/>
    <n v="30"/>
    <s v="SLA Met"/>
    <d v="2026-05-17T16:38:37"/>
    <d v="2026-05-26T11:03:00"/>
    <n v="12624.38"/>
    <n v="6.58"/>
    <n v="120"/>
    <s v="SLA Met"/>
    <m/>
    <n v="129600"/>
    <n v="129593.42"/>
    <n v="99.994922839506174"/>
    <n v="116975.62"/>
    <n v="90.258966049382721"/>
  </r>
  <r>
    <s v="Jubilant Foodworks Ltd (JFL)"/>
    <s v="Alert"/>
    <s v="Dharmendra Bhadoriya"/>
    <s v="PRO/INC/45960"/>
    <s v="switches went down"/>
    <s v="Meraki Managed Services"/>
    <s v="Software / Configuration"/>
    <x v="3"/>
    <s v="Q3LP-2PSJ-6DLB"/>
    <s v="Q3LP-2PSJ-6DLB"/>
    <s v="TRANSPORT ROOM"/>
    <x v="0"/>
    <s v="JFL-MOHALI-ACC-SW-01(Transport Room)"/>
    <s v="MS130-12X"/>
    <s v="switch-17-2-1"/>
    <m/>
    <s v="Core"/>
    <s v="Closed"/>
    <x v="0"/>
    <s v="power issue"/>
    <s v="After Restore issue has been resolved"/>
    <d v="2026-05-17T17:42:40"/>
    <d v="2026-05-26T11:09:00"/>
    <n v="12566.33"/>
    <d v="2026-05-17T17:42:41"/>
    <n v="0.02"/>
    <n v="30"/>
    <s v="SLA Met"/>
    <d v="2026-05-17T17:45:49"/>
    <d v="2026-05-26T11:07:16"/>
    <n v="12561.45"/>
    <n v="4.88"/>
    <n v="120"/>
    <s v="SLA Met"/>
    <m/>
    <n v="129600"/>
    <n v="129595.12"/>
    <n v="99.996234567901226"/>
    <n v="117038.55"/>
    <n v="90.30752314814815"/>
  </r>
  <r>
    <s v="Jubilant Foodworks Ltd (JFL)"/>
    <s v="Alert"/>
    <s v="Arvind Kumar Arya"/>
    <s v="PRO/INC/45966"/>
    <s v="new dhcp server detected"/>
    <s v="Meraki Managed Services"/>
    <s v="Software / Configuration"/>
    <x v="2"/>
    <s v="Q5JJ-68KZ-MXAS"/>
    <s v="Q5JJ-68KZ-MXAS"/>
    <s v="RACK 1"/>
    <x v="0"/>
    <s v="JFL-NAG-SSC-SW01"/>
    <s v="C9300L-48P-4X"/>
    <s v="cs-17-2-2"/>
    <m/>
    <s v="Non-Core"/>
    <s v="Closed"/>
    <x v="2"/>
    <s v="checking new server."/>
    <s v="Resolved"/>
    <d v="2026-05-18T05:17:34"/>
    <d v="2026-06-01T12:39:00"/>
    <n v="20601.43"/>
    <d v="2026-05-18T05:17:34"/>
    <n v="0"/>
    <n v="30"/>
    <s v="SLA Met"/>
    <d v="2026-05-18T05:20:11"/>
    <d v="2026-06-01T12:34:14"/>
    <n v="20594.05"/>
    <n v="7.38"/>
    <n v="120"/>
    <s v="SLA Met"/>
    <m/>
    <n v="129600"/>
    <n v="129592.62"/>
    <n v="99.994305555555556"/>
    <n v="109005.95"/>
    <n v="84.109529320987647"/>
  </r>
  <r>
    <s v="Jubilant Foodworks Ltd (JFL)"/>
    <s v="Email"/>
    <s v="Kartik Choudhary"/>
    <s v="PRO/INC/46268"/>
    <s v="Port Reset | JFL, Nagpur"/>
    <s v="Meraki Managed Services"/>
    <s v="Change Request"/>
    <x v="2"/>
    <s v="Q5JG-TM9S-PLFP"/>
    <s v="Q5JG-TM9S-PLFP"/>
    <s v="RACK 2"/>
    <x v="0"/>
    <s v="JFL-NAG-SSC-SW02"/>
    <s v="C9300L-24P-4X"/>
    <s v="cs-17-2-2"/>
    <m/>
    <s v="P4"/>
    <s v="Closed"/>
    <x v="1"/>
    <m/>
    <s v="Required changes has been made as per customer confirmation and its working fine. Same has been confirmed with customer."/>
    <d v="2026-05-21T13:31:52"/>
    <d v="2026-05-22T15:36:00"/>
    <n v="1564.13"/>
    <d v="2026-05-21T13:31:52"/>
    <n v="0"/>
    <n v="30"/>
    <s v="SLA Met"/>
    <d v="2026-05-21T13:57:52"/>
    <d v="2026-05-22T15:32:31"/>
    <n v="1534.65"/>
    <n v="29.48"/>
    <n v="2880"/>
    <s v="SLA Met"/>
    <m/>
    <n v="129600"/>
    <n v="129570.52"/>
    <n v="99.977253086419765"/>
    <n v="128065.35"/>
    <n v="98.815856481481489"/>
  </r>
  <r>
    <s v="Jubilant Foodworks Ltd (JFL)"/>
    <s v="Alert"/>
    <s v="Aneesh P S"/>
    <s v="PRO/INC/46310"/>
    <s v="new dhcp server detected"/>
    <s v="Meraki Managed Services"/>
    <s v="Software / Configuration"/>
    <x v="2"/>
    <s v="Q5JJ-68KZ-MXAS"/>
    <s v="Q5JJ-68KZ-MXAS"/>
    <s v="RACK 1"/>
    <x v="0"/>
    <s v="JFL-NAG-SSC-SW01"/>
    <s v="C9300L-48P-4X"/>
    <s v="cs-17-2-2"/>
    <m/>
    <s v="Non-Core"/>
    <s v="Closed"/>
    <x v="3"/>
    <s v="client-side activity"/>
    <s v="new DHCP server detected As per customer confirmation blocked that"/>
    <d v="2026-05-23T03:02:08"/>
    <d v="2026-05-27T08:19:00"/>
    <n v="6076.87"/>
    <d v="2026-05-23T03:02:09"/>
    <n v="0.02"/>
    <n v="30"/>
    <s v="SLA Met"/>
    <d v="2026-05-23T03:04:00"/>
    <d v="2026-05-27T08:16:49"/>
    <n v="6072.82"/>
    <n v="4.05"/>
    <n v="120"/>
    <s v="SLA Met"/>
    <m/>
    <n v="129600"/>
    <n v="129595.95"/>
    <n v="99.996875000000003"/>
    <n v="123527.18"/>
    <n v="95.314182098765428"/>
  </r>
  <r>
    <s v="Jubilant Foodworks Ltd (JFL)"/>
    <s v="Alert"/>
    <s v="Dharmendra Bhadoriya"/>
    <s v="PRO/INC/46727"/>
    <s v="switches went down"/>
    <s v="Meraki Managed Services"/>
    <s v="Software / Configuration"/>
    <x v="3"/>
    <s v="Q5JG-NJW9-ABBQ"/>
    <s v="Q5JG-NJW9-ABBQ"/>
    <s v="CORE"/>
    <x v="0"/>
    <s v="JFL-MOHALI-CORE-02"/>
    <s v="C9300L-24P-4X"/>
    <s v="cs-17-2-1"/>
    <m/>
    <s v="Core"/>
    <s v="Closed"/>
    <x v="0"/>
    <s v="checking with local team and on the dashboard"/>
    <s v="After Restore issue has been resolved"/>
    <d v="2026-05-24T13:10:20"/>
    <d v="2026-05-26T11:13:00"/>
    <n v="2762.67"/>
    <d v="2026-05-24T13:10:21"/>
    <n v="0.02"/>
    <n v="30"/>
    <s v="SLA Met"/>
    <d v="2026-05-24T13:11:40"/>
    <d v="2026-05-26T11:10:09"/>
    <n v="2758.48"/>
    <n v="4.18"/>
    <n v="120"/>
    <s v="SLA Met"/>
    <m/>
    <n v="129600"/>
    <n v="129595.82"/>
    <n v="99.996774691358027"/>
    <n v="126841.52"/>
    <n v="97.871543209876549"/>
  </r>
  <r>
    <s v="Jubilant Foodworks Ltd (JFL)"/>
    <s v="Alert"/>
    <s v="Dharmendra Bhadoriya"/>
    <s v="PRO/INC/46728"/>
    <s v="switches went down"/>
    <s v="Meraki Managed Services"/>
    <s v="Software / Configuration"/>
    <x v="3"/>
    <s v="Q3LP-2PSJ-6DLB"/>
    <s v="Q3LP-2PSJ-6DLB"/>
    <s v="TRANSPORT ROOM"/>
    <x v="0"/>
    <s v="JFL-MOHALI-ACC-SW-01(Transport Room)"/>
    <s v="MS130-12X"/>
    <s v="switch-17-2-1"/>
    <m/>
    <s v="Core"/>
    <s v="Closed"/>
    <x v="0"/>
    <s v="checking with the local team and on the dashboard"/>
    <s v="After Restore issue has been resolved"/>
    <d v="2026-05-24T13:10:24"/>
    <d v="2026-05-26T11:18:00"/>
    <n v="2767.6"/>
    <d v="2026-05-24T13:10:24"/>
    <n v="0"/>
    <n v="30"/>
    <s v="SLA Met"/>
    <d v="2026-05-24T13:14:21"/>
    <d v="2026-05-26T11:15:31"/>
    <n v="2761.17"/>
    <n v="6.43"/>
    <n v="120"/>
    <s v="SLA Met"/>
    <m/>
    <n v="129600"/>
    <n v="129593.57"/>
    <n v="99.995038580246927"/>
    <n v="126838.83"/>
    <n v="97.869467592592599"/>
  </r>
  <r>
    <s v="Jubilant Foodworks Ltd (JFL)"/>
    <s v="Alert"/>
    <s v="Dharmendra Bhadoriya"/>
    <s v="PRO/INC/46729"/>
    <s v="aps went down"/>
    <s v="Meraki Managed Services"/>
    <s v="Software / Configuration"/>
    <x v="3"/>
    <s v="Q5AA-MHPW-2YA8"/>
    <s v="Q5AA-MHPW-2YA8"/>
    <s v="NA"/>
    <x v="1"/>
    <s v="JFL-Mohali-SCC-AP14"/>
    <s v="CW9162I"/>
    <s v="wireless-31-1-7"/>
    <m/>
    <s v="Non-Core"/>
    <s v="Closed"/>
    <x v="0"/>
    <s v="checking with the local team and on the dashboard"/>
    <s v="After Restore issue has been resolved"/>
    <d v="2026-05-24T13:10:24"/>
    <d v="2026-05-26T11:18:00"/>
    <n v="2767.6"/>
    <d v="2026-05-24T13:10:25"/>
    <n v="0.02"/>
    <n v="30"/>
    <s v="SLA Met"/>
    <d v="2026-05-24T13:12:46"/>
    <d v="2026-05-26T11:12:40"/>
    <n v="2759.9"/>
    <n v="7.7"/>
    <n v="120"/>
    <s v="SLA Met"/>
    <m/>
    <n v="129600"/>
    <n v="129592.3"/>
    <n v="99.994058641975315"/>
    <n v="126840.1"/>
    <n v="97.870447530864197"/>
  </r>
  <r>
    <s v="Jubilant Foodworks Ltd (JFL)"/>
    <s v="Alert"/>
    <s v="Dharmendra Bhadoriya"/>
    <s v="PRO/INC/46730"/>
    <s v="aps went down"/>
    <s v="Meraki Managed Services"/>
    <s v="Software / Configuration"/>
    <x v="3"/>
    <s v="Q3KG-9RDD-U5HG"/>
    <s v="Q3KG-9RDD-U5HG"/>
    <s v="NA"/>
    <x v="1"/>
    <s v="JFL-Mohali-SCC-AP12"/>
    <s v="MR86"/>
    <s v="wireless-31-1-7"/>
    <m/>
    <s v="Non-Core"/>
    <s v="Closed"/>
    <x v="0"/>
    <s v="checking with the local team and on the dashboard"/>
    <s v="After Restore issue has been resolved"/>
    <d v="2026-05-24T13:10:30"/>
    <d v="2026-05-26T11:22:00"/>
    <n v="2771.5"/>
    <d v="2026-05-24T13:10:30"/>
    <n v="0"/>
    <n v="30"/>
    <s v="SLA Met"/>
    <d v="2026-05-24T13:15:37"/>
    <d v="2026-05-26T11:18:32"/>
    <n v="2762.92"/>
    <n v="8.58"/>
    <n v="120"/>
    <s v="SLA Met"/>
    <m/>
    <n v="129600"/>
    <n v="129591.42"/>
    <n v="99.993379629629629"/>
    <n v="126837.08"/>
    <n v="97.868117283950625"/>
  </r>
  <r>
    <s v="Jubilant Foodworks Ltd (JFL)"/>
    <s v="Alert"/>
    <s v="Dharmendra Bhadoriya"/>
    <s v="PRO/INC/46798"/>
    <s v="switches went down"/>
    <s v="Meraki Managed Services"/>
    <s v="Software / Configuration"/>
    <x v="3"/>
    <s v="Q3LM-TGAF-Q97P"/>
    <s v="Q3LM-TGAF-Q97P"/>
    <s v="WAREHOUSE"/>
    <x v="0"/>
    <s v="JFL-MOHALI-ACC-SW-02"/>
    <s v="MS130-8P"/>
    <s v="switch-17-2-1"/>
    <m/>
    <s v="Core"/>
    <s v="Closed"/>
    <x v="0"/>
    <s v="Checking with the local team and on the meraki dashboard"/>
    <s v="After Restore issue has been resolved"/>
    <d v="2026-05-24T14:54:29"/>
    <d v="2026-05-26T11:25:00"/>
    <n v="2670.52"/>
    <d v="2026-05-24T14:54:30"/>
    <n v="0.02"/>
    <n v="30"/>
    <s v="SLA Met"/>
    <d v="2026-05-24T15:01:11"/>
    <d v="2026-05-26T11:20:39"/>
    <n v="2659.47"/>
    <n v="11.05"/>
    <n v="120"/>
    <s v="SLA Met"/>
    <m/>
    <n v="129600"/>
    <n v="129588.95"/>
    <n v="99.99147376543209"/>
    <n v="126940.53"/>
    <n v="97.947939814814816"/>
  </r>
  <r>
    <s v="Jubilant Foodworks Ltd (JFL)"/>
    <s v="Alert"/>
    <s v="Dharmendra Bhadoriya"/>
    <s v="PRO/INC/46799"/>
    <s v="aps went down"/>
    <s v="Meraki Managed Services"/>
    <s v="Software / Configuration"/>
    <x v="3"/>
    <s v="Q5AA-E8FN-53RX"/>
    <s v="Q5AA-E8FN-53RX"/>
    <s v="NA"/>
    <x v="1"/>
    <s v="JFL-Mohali-SCC-AP07"/>
    <s v="CW9162I"/>
    <s v="wireless-31-1-7"/>
    <m/>
    <s v="Non-Core"/>
    <s v="Closed"/>
    <x v="0"/>
    <s v="Checking with the local team and on the meraki dashboard"/>
    <s v="After Restore issue has been resolved"/>
    <d v="2026-05-24T14:54:38"/>
    <d v="2026-05-26T11:29:00"/>
    <n v="2674.37"/>
    <d v="2026-05-24T14:54:39"/>
    <n v="0.02"/>
    <n v="30"/>
    <s v="SLA Met"/>
    <d v="2026-05-24T15:00:15"/>
    <d v="2026-05-26T11:22:02"/>
    <n v="2661.78"/>
    <n v="12.58"/>
    <n v="120"/>
    <s v="SLA Met"/>
    <m/>
    <n v="129600"/>
    <n v="129587.42"/>
    <n v="99.99029320987654"/>
    <n v="126938.22"/>
    <n v="97.946157407407412"/>
  </r>
  <r>
    <s v="Jubilant Foodworks Ltd (JFL)"/>
    <s v="Alert"/>
    <s v="Dharmendra Bhadoriya"/>
    <s v="PRO/INC/46800"/>
    <s v="aps went down"/>
    <s v="Meraki Managed Services"/>
    <s v="Software / Configuration"/>
    <x v="3"/>
    <s v="Q5AA-8PQC-7V98"/>
    <s v="Q5AA-8PQC-7V98"/>
    <s v="NA"/>
    <x v="1"/>
    <s v="JFL-Mohali-SCC-AP06"/>
    <s v="CW9162I"/>
    <s v="wireless-31-1-7"/>
    <m/>
    <s v="Non-Core"/>
    <s v="Closed"/>
    <x v="0"/>
    <s v="checking with the local team and on the dashboard"/>
    <s v="After Restore issue has been resolved"/>
    <d v="2026-05-24T14:54:41"/>
    <d v="2026-05-26T11:29:00"/>
    <n v="2674.32"/>
    <d v="2026-05-24T14:54:42"/>
    <n v="0.02"/>
    <n v="30"/>
    <s v="SLA Met"/>
    <d v="2026-05-24T14:58:40"/>
    <d v="2026-05-26T11:23:32"/>
    <n v="2664.87"/>
    <n v="9.4499999999999993"/>
    <n v="120"/>
    <s v="SLA Met"/>
    <m/>
    <n v="129600"/>
    <n v="129590.55"/>
    <n v="99.99270833333334"/>
    <n v="126935.13"/>
    <n v="97.943773148148153"/>
  </r>
  <r>
    <s v="Jubilant Foodworks Ltd (JFL)"/>
    <s v="Alert"/>
    <s v="Dharmendra Bhadoriya"/>
    <s v="PRO/INC/46815"/>
    <s v="new dhcp server detected"/>
    <s v="Meraki Managed Services"/>
    <s v="Software / Configuration"/>
    <x v="2"/>
    <s v="Q5JG-TM9S-PLFP"/>
    <s v="Q5JG-TM9S-PLFP"/>
    <s v="RACK 2"/>
    <x v="0"/>
    <s v="JFL-NAG-SSC-SW02"/>
    <s v="C9300L-24P-4X"/>
    <s v="cs-17-2-2"/>
    <m/>
    <s v="Non-Core"/>
    <s v="Closed"/>
    <x v="2"/>
    <s v="Client Side Activity"/>
    <s v="block"/>
    <d v="2026-05-25T08:54:49"/>
    <d v="2026-06-02T09:27:00"/>
    <n v="11552.18"/>
    <d v="2026-05-25T08:54:49"/>
    <n v="0"/>
    <n v="30"/>
    <s v="SLA Met"/>
    <d v="2026-05-25T09:18:04"/>
    <d v="2026-06-02T09:22:59"/>
    <n v="11524.92"/>
    <n v="27.27"/>
    <n v="120"/>
    <s v="SLA Met"/>
    <m/>
    <n v="129600"/>
    <n v="129572.73"/>
    <n v="99.978958333333338"/>
    <n v="118075.08"/>
    <n v="91.107314814814828"/>
  </r>
  <r>
    <s v="Jubilant Foodworks Ltd (JFL)"/>
    <s v="Alert"/>
    <s v="Jagadisha R"/>
    <s v="PRO/INC/46951"/>
    <s v="aps went down"/>
    <s v="Meraki Managed Services"/>
    <s v="Software / Configuration"/>
    <x v="4"/>
    <s v="Q5AA-JYZN-6KKB"/>
    <s v="Q5AA-JYZN-6KKB"/>
    <s v="NA"/>
    <x v="1"/>
    <s v="JFL-GNSC-AP66"/>
    <s v="CW9162I"/>
    <s v="wireless-31-1-7"/>
    <m/>
    <s v="Non-Core"/>
    <s v="Closed"/>
    <x v="0"/>
    <s v="power issue"/>
    <s v="power issue"/>
    <d v="2026-05-25T12:06:13"/>
    <d v="2026-05-27T09:22:00"/>
    <n v="2715.78"/>
    <d v="2026-05-25T12:06:14"/>
    <n v="0.02"/>
    <n v="30"/>
    <s v="SLA Met"/>
    <d v="2026-05-25T12:08:20"/>
    <d v="2026-05-27T09:19:08"/>
    <n v="2710.8"/>
    <n v="4.9800000000000004"/>
    <n v="120"/>
    <s v="SLA Met"/>
    <m/>
    <n v="129600"/>
    <n v="129595.02"/>
    <n v="99.996157407407409"/>
    <n v="126889.2"/>
    <n v="97.908333333333331"/>
  </r>
  <r>
    <s v="Jubilant Foodworks Ltd (JFL)"/>
    <s v="Alert"/>
    <s v="Jagadisha R"/>
    <s v="PRO/INC/46952"/>
    <s v="aps went down"/>
    <s v="Meraki Managed Services"/>
    <s v="Software / Configuration"/>
    <x v="4"/>
    <s v="Q3KG-J4EF-KZ54"/>
    <s v="Q3KG-J4EF-KZ54"/>
    <s v="NA"/>
    <x v="1"/>
    <s v="JFL-GNSC-AP62"/>
    <s v="MR86"/>
    <s v="wireless-31-1-7"/>
    <m/>
    <s v="Non-Core"/>
    <s v="Closed"/>
    <x v="0"/>
    <s v="power issue"/>
    <s v="power issue .."/>
    <d v="2026-05-25T12:06:16"/>
    <d v="2026-05-27T09:25:00"/>
    <n v="2718.73"/>
    <d v="2026-05-25T12:06:16"/>
    <n v="0"/>
    <n v="30"/>
    <s v="SLA Met"/>
    <d v="2026-05-25T12:09:23"/>
    <d v="2026-05-27T09:21:38"/>
    <n v="2712.25"/>
    <n v="6.48"/>
    <n v="120"/>
    <s v="SLA Met"/>
    <m/>
    <n v="129600"/>
    <n v="129593.52"/>
    <n v="99.995000000000005"/>
    <n v="126887.75"/>
    <n v="97.907214506172835"/>
  </r>
  <r>
    <s v="Jubilant Foodworks Ltd (JFL)"/>
    <s v="Alert"/>
    <s v="Jagadisha R"/>
    <s v="PRO/INC/46953"/>
    <s v="aps went down"/>
    <s v="Meraki Managed Services"/>
    <s v="Software / Configuration"/>
    <x v="4"/>
    <s v="Q5AA-FRBE-94N5"/>
    <s v="Q5AA-FRBE-94N5"/>
    <s v="NA"/>
    <x v="1"/>
    <s v="JFL-GNSC-AP27"/>
    <s v="CW9162I"/>
    <s v="wireless-31-1-7"/>
    <m/>
    <s v="Non-Core"/>
    <s v="Closed"/>
    <x v="0"/>
    <s v="power issue"/>
    <s v="power issue"/>
    <d v="2026-05-25T12:06:23"/>
    <d v="2026-05-27T09:25:00"/>
    <n v="2718.62"/>
    <d v="2026-05-25T12:06:23"/>
    <n v="0"/>
    <n v="30"/>
    <s v="SLA Met"/>
    <d v="2026-05-25T12:10:14"/>
    <d v="2026-05-27T09:22:40"/>
    <n v="2712.43"/>
    <n v="6.18"/>
    <n v="120"/>
    <s v="SLA Met"/>
    <m/>
    <n v="129600"/>
    <n v="129593.82"/>
    <n v="99.995231481481483"/>
    <n v="126887.57"/>
    <n v="97.907075617283951"/>
  </r>
  <r>
    <s v="Jubilant Foodworks Ltd (JFL)"/>
    <s v="Alert"/>
    <s v="Aneesh P S"/>
    <s v="PRO/INC/46986"/>
    <s v="aps went down"/>
    <s v="Meraki Managed Services"/>
    <s v="Software / Configuration"/>
    <x v="4"/>
    <s v="Q5AA-C4TF-5ZA8"/>
    <s v="Q5AA-C4TF-5ZA8"/>
    <s v="NA"/>
    <x v="1"/>
    <s v="JFL-GNSC-AP33"/>
    <s v="CW9162I"/>
    <s v="wireless-31-1-7"/>
    <m/>
    <s v="Non-Core"/>
    <s v="Closed"/>
    <x v="0"/>
    <s v="Device Power issues"/>
    <s v="Device Power issues"/>
    <d v="2026-05-25T17:30:22"/>
    <d v="2026-05-27T08:18:00"/>
    <n v="2327.63"/>
    <d v="2026-05-25T17:30:23"/>
    <n v="0.02"/>
    <n v="30"/>
    <s v="SLA Met"/>
    <d v="2026-05-25T17:34:37"/>
    <d v="2026-05-27T08:10:58"/>
    <n v="2316.35"/>
    <n v="11.28"/>
    <n v="120"/>
    <s v="SLA Met"/>
    <m/>
    <n v="129600"/>
    <n v="129588.72"/>
    <n v="99.991296296296298"/>
    <n v="127283.65"/>
    <n v="98.212692901234561"/>
  </r>
  <r>
    <s v="Jubilant Foodworks Ltd (JFL)"/>
    <s v="Alert"/>
    <s v="Aneesh P S"/>
    <s v="PRO/INC/46988"/>
    <s v="aps went down"/>
    <s v="Meraki Managed Services"/>
    <s v="Software / Configuration"/>
    <x v="4"/>
    <s v="Q5AA-4792-7HZC"/>
    <s v="Q5AA-4792-7HZC"/>
    <s v="NA"/>
    <x v="1"/>
    <s v="JFL-GNSC-AP36"/>
    <s v="CW9162I"/>
    <s v="wireless-31-1-7"/>
    <m/>
    <s v="Non-Core"/>
    <s v="Closed"/>
    <x v="0"/>
    <s v="Device Power issues"/>
    <s v="Device Power issues"/>
    <d v="2026-05-25T17:30:31"/>
    <d v="2026-05-27T08:18:00"/>
    <n v="2327.48"/>
    <d v="2026-05-25T17:30:32"/>
    <n v="0.02"/>
    <n v="30"/>
    <s v="SLA Met"/>
    <d v="2026-05-25T17:33:59"/>
    <d v="2026-05-27T08:12:34"/>
    <n v="2318.58"/>
    <n v="8.9"/>
    <n v="120"/>
    <s v="SLA Met"/>
    <m/>
    <n v="129600"/>
    <n v="129591.1"/>
    <n v="99.993132716049388"/>
    <n v="127281.42"/>
    <n v="98.210972222222225"/>
  </r>
  <r>
    <s v="Jubilant Foodworks Ltd (JFL)"/>
    <s v="Alert"/>
    <s v="Aneesh P S"/>
    <s v="PRO/INC/46989"/>
    <s v="aps went down"/>
    <s v="Meraki Managed Services"/>
    <s v="Software / Configuration"/>
    <x v="4"/>
    <s v="Q5AA-U98X-3FD7"/>
    <s v="Q5AA-U98X-3FD7"/>
    <s v="NA"/>
    <x v="1"/>
    <s v="JFL-GNSC-AP35"/>
    <s v="CW9162I"/>
    <s v="wireless-31-1-7"/>
    <m/>
    <s v="Non-Core"/>
    <s v="Closed"/>
    <x v="0"/>
    <s v="Device Power issues"/>
    <s v="Device Power issues"/>
    <d v="2026-05-25T17:30:31"/>
    <d v="2026-05-27T08:18:00"/>
    <n v="2327.48"/>
    <d v="2026-05-25T17:30:32"/>
    <n v="0.02"/>
    <n v="30"/>
    <s v="SLA Met"/>
    <d v="2026-05-25T17:35:21"/>
    <d v="2026-05-27T08:11:46"/>
    <n v="2316.42"/>
    <n v="11.07"/>
    <n v="120"/>
    <s v="SLA Met"/>
    <m/>
    <n v="129600"/>
    <n v="129588.93"/>
    <n v="99.991458333333327"/>
    <n v="127283.58"/>
    <n v="98.21263888888889"/>
  </r>
  <r>
    <s v="Jubilant Foodworks Ltd (JFL)"/>
    <s v="Alert"/>
    <s v="Aneesh P S"/>
    <s v="PRO/INC/46990"/>
    <s v="aps went down"/>
    <s v="Meraki Managed Services"/>
    <s v="Software / Configuration"/>
    <x v="4"/>
    <s v="Q3KG-BTTL-HVZU"/>
    <s v="Q3KG-BTTL-HVZU"/>
    <s v="NA"/>
    <x v="1"/>
    <s v="JFL-GNSC-AP59"/>
    <s v="MR86"/>
    <s v="wireless-31-1-7"/>
    <m/>
    <s v="Non-Core"/>
    <s v="Closed"/>
    <x v="0"/>
    <s v="Device Power issues"/>
    <s v="Device Power issues"/>
    <d v="2026-05-25T17:30:31"/>
    <d v="2026-05-27T08:18:00"/>
    <n v="2327.48"/>
    <d v="2026-05-25T17:30:32"/>
    <n v="0.02"/>
    <n v="30"/>
    <s v="SLA Met"/>
    <d v="2026-05-25T17:32:54"/>
    <d v="2026-05-27T08:13:36"/>
    <n v="2320.6999999999998"/>
    <n v="6.78"/>
    <n v="120"/>
    <s v="SLA Met"/>
    <m/>
    <n v="129600"/>
    <n v="129593.22"/>
    <n v="99.994768518518512"/>
    <n v="127279.3"/>
    <n v="98.209336419753086"/>
  </r>
  <r>
    <s v="Jubilant Foodworks Ltd (JFL)"/>
    <s v="Alert"/>
    <s v="Abhishek Satish Pawar"/>
    <s v="PRO/INC/47068"/>
    <s v="aps went down"/>
    <s v="Meraki Managed Services"/>
    <s v="Software / Configuration"/>
    <x v="0"/>
    <s v="Q3AC-ZNCZ-HDNM"/>
    <s v="Q3AC-ZNCZ-HDNM"/>
    <s v="NA"/>
    <x v="1"/>
    <s v="1F-AP12-R04-SW02-9P"/>
    <s v="MR46"/>
    <s v="wireless-31-1-8"/>
    <m/>
    <s v="Non-Core"/>
    <s v="Closed"/>
    <x v="0"/>
    <s v="power issue"/>
    <s v="Resolved"/>
    <d v="2026-05-27T02:35:08"/>
    <d v="2026-05-29T02:00:00"/>
    <n v="2844.87"/>
    <d v="2026-05-27T02:35:09"/>
    <n v="0.02"/>
    <n v="30"/>
    <s v="SLA Met"/>
    <d v="2026-05-27T02:36:21"/>
    <d v="2026-05-29T01:58:51"/>
    <n v="2842.5"/>
    <n v="2.37"/>
    <n v="120"/>
    <s v="SLA Met"/>
    <m/>
    <n v="129600"/>
    <n v="129597.63"/>
    <n v="99.998171296296306"/>
    <n v="126757.5"/>
    <n v="97.806712962962962"/>
  </r>
  <r>
    <s v="Jubilant Foodworks Ltd (JFL)"/>
    <s v="Alert"/>
    <s v="Abhishek Satish Pawar"/>
    <s v="PRO/INC/47069"/>
    <s v="aps went down"/>
    <s v="Meraki Managed Services"/>
    <s v="Software / Configuration"/>
    <x v="0"/>
    <s v="Q3AC-86YA-CET5"/>
    <s v="Q3AC-86YA-CET5"/>
    <s v="NA"/>
    <x v="1"/>
    <s v="CK Office "/>
    <s v="MR46"/>
    <s v="wireless-31-1-8"/>
    <m/>
    <s v="Non-Core"/>
    <s v="Closed"/>
    <x v="0"/>
    <s v="power issue"/>
    <s v="Resolved"/>
    <d v="2026-05-27T02:35:11"/>
    <d v="2026-05-29T02:04:00"/>
    <n v="2848.82"/>
    <d v="2026-05-27T02:35:12"/>
    <n v="0.02"/>
    <n v="30"/>
    <s v="SLA Met"/>
    <d v="2026-05-27T02:37:19"/>
    <d v="2026-05-29T02:00:38"/>
    <n v="2843.32"/>
    <n v="5.5"/>
    <n v="120"/>
    <s v="SLA Met"/>
    <m/>
    <n v="129600"/>
    <n v="129594.5"/>
    <n v="99.995756172839506"/>
    <n v="126756.68"/>
    <n v="97.806080246913581"/>
  </r>
  <r>
    <s v="Jubilant Foodworks Ltd (JFL)"/>
    <s v="Alert"/>
    <s v="Abhishek Satish Pawar"/>
    <s v="PRO/INC/47070"/>
    <s v="aps went down"/>
    <s v="Meraki Managed Services"/>
    <s v="Software / Configuration"/>
    <x v="0"/>
    <s v="Q3AC-RQJS-FY3M"/>
    <s v="Q3AC-RQJS-FY3M"/>
    <s v="NA"/>
    <x v="1"/>
    <s v="1F-AP14-R04-SW02-11P"/>
    <s v="MR46"/>
    <s v="wireless-31-1-8"/>
    <m/>
    <s v="Non-Core"/>
    <s v="Closed"/>
    <x v="0"/>
    <s v="power issue"/>
    <s v="Resolved"/>
    <d v="2026-05-27T02:35:16"/>
    <d v="2026-05-29T02:05:00"/>
    <n v="2849.73"/>
    <d v="2026-05-27T02:35:16"/>
    <n v="0"/>
    <n v="30"/>
    <s v="SLA Met"/>
    <d v="2026-05-27T02:38:16"/>
    <d v="2026-05-29T02:03:22"/>
    <n v="2845.1"/>
    <n v="4.63"/>
    <n v="120"/>
    <s v="SLA Met"/>
    <m/>
    <n v="129600"/>
    <n v="129595.37"/>
    <n v="99.996427469135796"/>
    <n v="126754.9"/>
    <n v="97.804706790123447"/>
  </r>
  <r>
    <s v="Jubilant Foodworks Ltd (JFL)"/>
    <s v="Alert"/>
    <s v="Abhishek Satish Pawar"/>
    <s v="PRO/INC/47071"/>
    <s v="switches went down"/>
    <s v="Meraki Managed Services"/>
    <s v="Software / Configuration"/>
    <x v="0"/>
    <s v="Q2QW-CTFM-KEQZ"/>
    <s v="Q2QW-CTFM-KEQZ"/>
    <s v="1F-R4"/>
    <x v="0"/>
    <s v="1F-R4-SW1"/>
    <s v="MS250-48FP"/>
    <s v="switch-17-2-2"/>
    <m/>
    <s v="Core"/>
    <s v="Closed"/>
    <x v="0"/>
    <s v="power issue"/>
    <s v="Resolved"/>
    <d v="2026-05-27T02:37:05"/>
    <d v="2026-05-29T02:07:00"/>
    <n v="2849.92"/>
    <d v="2026-05-27T02:37:06"/>
    <n v="0.02"/>
    <n v="30"/>
    <s v="SLA Met"/>
    <d v="2026-05-27T02:39:16"/>
    <d v="2026-05-29T02:05:20"/>
    <n v="2846.07"/>
    <n v="3.85"/>
    <n v="120"/>
    <s v="SLA Met"/>
    <m/>
    <n v="129600"/>
    <n v="129596.15"/>
    <n v="99.99702932098765"/>
    <n v="126753.93"/>
    <n v="97.803958333333327"/>
  </r>
  <r>
    <s v="Jubilant Foodworks Ltd (JFL)"/>
    <s v="Alert"/>
    <s v="Abhishek Satish Pawar"/>
    <s v="PRO/INC/47072"/>
    <s v="switches went down"/>
    <s v="Meraki Managed Services"/>
    <s v="Software / Configuration"/>
    <x v="0"/>
    <s v="Q2QW-CTFE-E2WF"/>
    <s v="Q2QW-CTFE-E2WF"/>
    <s v="1F-R3"/>
    <x v="0"/>
    <s v="1F-R3-SW1"/>
    <s v="MS250-48FP"/>
    <s v="switch-17-2-2"/>
    <m/>
    <s v="Core"/>
    <s v="Closed"/>
    <x v="0"/>
    <s v="power issue"/>
    <s v="Resolved"/>
    <d v="2026-05-27T02:37:15"/>
    <d v="2026-05-29T02:09:00"/>
    <n v="2851.75"/>
    <d v="2026-05-27T02:37:16"/>
    <n v="0.02"/>
    <n v="30"/>
    <s v="SLA Met"/>
    <d v="2026-05-27T02:40:03"/>
    <d v="2026-05-29T02:06:21"/>
    <n v="2846.3"/>
    <n v="5.45"/>
    <n v="120"/>
    <s v="SLA Met"/>
    <m/>
    <n v="129600"/>
    <n v="129594.55"/>
    <n v="99.995794753086415"/>
    <n v="126753.7"/>
    <n v="97.803780864197535"/>
  </r>
  <r>
    <s v="Jubilant Foodworks Ltd (JFL)"/>
    <s v="Alert"/>
    <s v="Kartik Choudhary"/>
    <s v="PRO/INC/47073"/>
    <s v="switches went down"/>
    <s v="Meraki Managed Services"/>
    <s v="Software / Configuration"/>
    <x v="0"/>
    <s v="Q2QW-CAKK-KNXD"/>
    <s v="Q2QW-CAKK-KNXD"/>
    <s v="1F-R4"/>
    <x v="0"/>
    <s v="1F-R4-SW2"/>
    <s v="MS250-48FP"/>
    <s v="switch-17-1-4"/>
    <m/>
    <s v="Core"/>
    <s v="Closed"/>
    <x v="0"/>
    <s v="power issue"/>
    <s v="power issue"/>
    <d v="2026-05-27T02:37:15"/>
    <d v="2026-05-27T20:37:00"/>
    <n v="1079.75"/>
    <d v="2026-05-27T02:37:16"/>
    <n v="0.02"/>
    <n v="30"/>
    <s v="SLA Met"/>
    <d v="2026-05-27T02:40:32"/>
    <d v="2026-05-27T20:34:09"/>
    <n v="1073.6199999999999"/>
    <n v="6.13"/>
    <n v="120"/>
    <s v="SLA Met"/>
    <m/>
    <n v="129600"/>
    <n v="129593.87"/>
    <n v="99.995270061728391"/>
    <n v="128526.38"/>
    <n v="99.171589506172836"/>
  </r>
  <r>
    <s v="Jubilant Foodworks Ltd (JFL)"/>
    <s v="Alert"/>
    <s v="Kartik Choudhary"/>
    <s v="PRO/INC/47074"/>
    <s v="switches went down"/>
    <s v="Meraki Managed Services"/>
    <s v="Software / Configuration"/>
    <x v="0"/>
    <s v="Q2QW-CTFW-5KJ6"/>
    <s v="Q2QW-CTFW-5KJ6"/>
    <s v="1F-R3"/>
    <x v="0"/>
    <s v="1F-R3-SW2"/>
    <s v="MS250-48FP"/>
    <s v="switch-17-2-2"/>
    <m/>
    <s v="Core"/>
    <s v="Closed"/>
    <x v="0"/>
    <s v="power issue"/>
    <s v="power issue"/>
    <d v="2026-05-27T02:37:26"/>
    <d v="2026-05-27T20:36:00"/>
    <n v="1078.57"/>
    <d v="2026-05-27T02:37:26"/>
    <n v="0"/>
    <n v="30"/>
    <s v="SLA Met"/>
    <d v="2026-05-27T02:39:32"/>
    <d v="2026-05-27T20:34:03"/>
    <n v="1074.52"/>
    <n v="4.05"/>
    <n v="120"/>
    <s v="SLA Met"/>
    <m/>
    <n v="129600"/>
    <n v="129595.95"/>
    <n v="99.996875000000003"/>
    <n v="128525.48"/>
    <n v="99.170895061728388"/>
  </r>
  <r>
    <s v="Jubilant Foodworks Ltd (JFL)"/>
    <s v="Alert"/>
    <s v="Aneesh P S"/>
    <s v="PRO/INC/47076"/>
    <s v="new dhcp server detected"/>
    <s v="Meraki Managed Services"/>
    <s v="Software / Configuration"/>
    <x v="2"/>
    <s v="Q5JJ-68KZ-MXAS"/>
    <s v="Q5JJ-68KZ-MXAS"/>
    <s v="RACK 1"/>
    <x v="0"/>
    <s v="JFL-NAG-SSC-SW01"/>
    <s v="C9300L-48P-4X"/>
    <s v="cs-17-2-2"/>
    <m/>
    <s v="Non-Core"/>
    <s v="Closed"/>
    <x v="2"/>
    <s v="new DHCP server detected (Client side activity)"/>
    <s v="New DHCP server detcted , blocked the server with customer confirmation"/>
    <d v="2026-05-27T09:20:34"/>
    <d v="2026-06-01T11:38:00"/>
    <n v="7337.43"/>
    <d v="2026-05-27T09:20:35"/>
    <n v="0.02"/>
    <n v="30"/>
    <s v="SLA Met"/>
    <d v="2026-05-27T09:22:09"/>
    <d v="2026-06-01T11:11:18"/>
    <n v="7309.15"/>
    <n v="28.28"/>
    <n v="120"/>
    <s v="SLA Met"/>
    <m/>
    <n v="129600"/>
    <n v="129571.72"/>
    <n v="99.978179012345677"/>
    <n v="122290.85"/>
    <n v="94.36022376543211"/>
  </r>
  <r>
    <s v="Jubilant Foodworks Ltd (JFL)"/>
    <s v="Alert"/>
    <s v="Abhishek Satish Pawar"/>
    <s v="PRO/INC/47240"/>
    <s v="new dhcp server detected"/>
    <s v="Meraki Managed Services"/>
    <s v="Software / Configuration"/>
    <x v="2"/>
    <s v="Q5JJ-68KZ-MXAS"/>
    <s v="Q5JJ-68KZ-MXAS"/>
    <s v="RACK 1"/>
    <x v="0"/>
    <s v="JFL-NAG-SSC-SW01"/>
    <s v="C9300L-48P-4X"/>
    <s v="cs-17-2-2"/>
    <m/>
    <s v="Non-Core"/>
    <s v="Closed"/>
    <x v="6"/>
    <s v="Configuration Errors"/>
    <s v="Resolved"/>
    <d v="2026-05-28T06:38:45"/>
    <d v="2026-05-30T07:32:00"/>
    <n v="2933.25"/>
    <d v="2026-05-28T06:38:46"/>
    <n v="0.02"/>
    <n v="30"/>
    <s v="SLA Met"/>
    <d v="2026-05-28T06:41:41"/>
    <d v="2026-05-30T07:18:27"/>
    <n v="2916.77"/>
    <n v="16.48"/>
    <n v="120"/>
    <s v="SLA Met"/>
    <m/>
    <n v="129600"/>
    <n v="129583.52"/>
    <n v="99.987283950617297"/>
    <n v="126683.23"/>
    <n v="97.749405864197527"/>
  </r>
  <r>
    <s v="Jubilant Foodworks Ltd (JFL)"/>
    <s v="Alert"/>
    <s v="Aneesh P S"/>
    <s v="PRO/INC/47335"/>
    <s v="aps went down"/>
    <s v="Meraki Managed Services"/>
    <s v="Software / Configuration"/>
    <x v="4"/>
    <s v="Q5AA-5TRP-EJMF"/>
    <s v="Q5AA-5TRP-EJMF"/>
    <s v="NA"/>
    <x v="1"/>
    <s v="JFL-GNSC-AP04"/>
    <s v="CW9162I"/>
    <s v="wireless-31-1-7"/>
    <m/>
    <s v="Non-Core"/>
    <s v="Closed"/>
    <x v="0"/>
    <s v="Device Power issues"/>
    <s v="Device Power issues"/>
    <d v="2026-05-28T15:32:29"/>
    <d v="2026-05-28T15:49:00"/>
    <n v="16.52"/>
    <d v="2026-05-28T15:32:30"/>
    <n v="0.02"/>
    <n v="30"/>
    <s v="SLA Met"/>
    <d v="2026-05-28T15:41:44"/>
    <d v="2026-05-28T15:46:38"/>
    <n v="4.9000000000000004"/>
    <n v="11.62"/>
    <n v="120"/>
    <s v="SLA Met"/>
    <m/>
    <n v="129600"/>
    <n v="129588.38"/>
    <n v="99.991033950617293"/>
    <n v="129595.1"/>
    <n v="99.996219135802477"/>
  </r>
  <r>
    <s v="Jubilant Foodworks Ltd (JFL)"/>
    <s v="Alert"/>
    <s v="Aneesh P S"/>
    <s v="PRO/INC/47336"/>
    <s v="aps went down"/>
    <s v="Meraki Managed Services"/>
    <s v="Software / Configuration"/>
    <x v="4"/>
    <s v="Q5AA-JYZN-6KKB"/>
    <s v="Q5AA-JYZN-6KKB"/>
    <s v="NA"/>
    <x v="1"/>
    <s v="JFL-GNSC-AP66"/>
    <s v="CW9162I"/>
    <s v="wireless-31-1-7"/>
    <m/>
    <s v="Non-Core"/>
    <s v="Closed"/>
    <x v="0"/>
    <s v="Device Power issues"/>
    <s v="Device Power issues"/>
    <d v="2026-05-28T15:32:29"/>
    <d v="2026-05-28T15:55:00"/>
    <n v="22.52"/>
    <d v="2026-05-28T15:32:30"/>
    <n v="0.02"/>
    <n v="30"/>
    <s v="SLA Met"/>
    <d v="2026-05-28T15:40:35"/>
    <d v="2026-05-28T15:48:34"/>
    <n v="7.98"/>
    <n v="14.53"/>
    <n v="120"/>
    <s v="SLA Met"/>
    <m/>
    <n v="129600"/>
    <n v="129585.47"/>
    <n v="99.988788580246919"/>
    <n v="129592.02"/>
    <n v="99.9938425925926"/>
  </r>
  <r>
    <s v="Jubilant Foodworks Ltd (JFL)"/>
    <s v="Alert"/>
    <s v="Jagadisha R"/>
    <s v="PRO/INC/47338"/>
    <s v="aps went down"/>
    <s v="Meraki Managed Services"/>
    <s v="Software / Configuration"/>
    <x v="4"/>
    <s v="Q5AR-6LBA-42SM"/>
    <s v="Q5AR-6LBA-42SM"/>
    <s v="NA"/>
    <x v="1"/>
    <s v="JFL-GNSC-AP06"/>
    <s v="CW9166I"/>
    <s v="wireless-31-1-7"/>
    <m/>
    <s v="Non-Core"/>
    <s v="Closed"/>
    <x v="0"/>
    <s v="Power issues"/>
    <s v="power issue"/>
    <d v="2026-05-28T15:32:41"/>
    <d v="2026-05-28T15:58:00"/>
    <n v="25.32"/>
    <d v="2026-05-28T15:32:42"/>
    <n v="0.02"/>
    <n v="30"/>
    <s v="SLA Met"/>
    <d v="2026-05-28T15:39:02"/>
    <d v="2026-05-28T15:51:52"/>
    <n v="12.83"/>
    <n v="12.48"/>
    <n v="120"/>
    <s v="SLA Met"/>
    <m/>
    <n v="129600"/>
    <n v="129587.52"/>
    <n v="99.990370370370371"/>
    <n v="129587.17"/>
    <n v="99.990100308641971"/>
  </r>
  <r>
    <s v="Jubilant Foodworks Ltd (JFL)"/>
    <s v="Alert"/>
    <s v="Jagadisha R"/>
    <s v="PRO/INC/47339"/>
    <s v="aps went down"/>
    <s v="Meraki Managed Services"/>
    <s v="Software / Configuration"/>
    <x v="4"/>
    <s v="Q5AA-Z3WW-CY6C"/>
    <s v="Q5AA-Z3WW-CY6C"/>
    <s v="NA"/>
    <x v="1"/>
    <s v="JFL-GNSC-AP05"/>
    <s v="CW9162I"/>
    <s v="wireless-31-1-7"/>
    <m/>
    <s v="Non-Core"/>
    <s v="Closed"/>
    <x v="0"/>
    <s v="Power issues"/>
    <s v="power issue"/>
    <d v="2026-05-28T15:32:42"/>
    <d v="2026-05-28T15:58:00"/>
    <n v="25.3"/>
    <d v="2026-05-28T15:32:42"/>
    <n v="0"/>
    <n v="30"/>
    <s v="SLA Met"/>
    <d v="2026-05-28T15:42:29"/>
    <d v="2026-05-28T15:53:33"/>
    <n v="11.07"/>
    <n v="14.23"/>
    <n v="120"/>
    <s v="SLA Met"/>
    <m/>
    <n v="129600"/>
    <n v="129585.77"/>
    <n v="99.989020061728397"/>
    <n v="129588.93"/>
    <n v="99.991458333333327"/>
  </r>
  <r>
    <s v="Jubilant Foodworks Ltd (JFL)"/>
    <s v="Alert"/>
    <s v="Aneesh P S"/>
    <s v="PRO/INC/47340"/>
    <s v="aps went down"/>
    <s v="Meraki Managed Services"/>
    <s v="Software / Configuration"/>
    <x v="4"/>
    <s v="Q5AA-TSZZ-HUFQ"/>
    <s v="Q5AA-TSZZ-HUFQ"/>
    <s v="NA"/>
    <x v="1"/>
    <s v="JFL-GNSC-AP34"/>
    <s v="CW9162I"/>
    <s v="wireless-31-1-7"/>
    <m/>
    <s v="Non-Core"/>
    <s v="Closed"/>
    <x v="0"/>
    <s v="Device Power issues"/>
    <s v="Device Power issues"/>
    <d v="2026-05-28T15:32:45"/>
    <d v="2026-05-28T15:50:00"/>
    <n v="17.25"/>
    <d v="2026-05-28T15:32:45"/>
    <n v="0"/>
    <n v="30"/>
    <s v="SLA Met"/>
    <d v="2026-05-28T15:38:47"/>
    <d v="2026-05-28T15:44:57"/>
    <n v="6.17"/>
    <n v="11.08"/>
    <n v="120"/>
    <s v="SLA Met"/>
    <m/>
    <n v="129600"/>
    <n v="129588.92"/>
    <n v="99.991450617283945"/>
    <n v="129593.83"/>
    <n v="99.995239197530864"/>
  </r>
  <r>
    <s v="Jubilant Foodworks Ltd (JFL)"/>
    <s v="Alert"/>
    <s v="Jagadisha R"/>
    <s v="PRO/INC/47359"/>
    <s v="aps went down"/>
    <s v="Meraki Managed Services"/>
    <s v="Software / Configuration"/>
    <x v="0"/>
    <s v="Q3AC-NC4G-DUA2"/>
    <s v="Q3AC-NC4G-DUA2"/>
    <s v="NA"/>
    <x v="1"/>
    <s v="GF-AP29-R04-SW02-23P"/>
    <s v="MR46"/>
    <s v="wireless-31-1-8"/>
    <m/>
    <s v="Non-Core"/>
    <s v="Closed"/>
    <x v="0"/>
    <s v="power issue"/>
    <s v="power issue"/>
    <d v="2026-05-28T17:08:21"/>
    <d v="2026-05-29T09:30:00"/>
    <n v="981.65"/>
    <d v="2026-05-28T17:08:22"/>
    <n v="0.02"/>
    <n v="30"/>
    <s v="SLA Met"/>
    <d v="2026-05-28T17:14:12"/>
    <d v="2026-05-29T09:27:26"/>
    <n v="973.23"/>
    <n v="8.42"/>
    <n v="120"/>
    <s v="SLA Met"/>
    <m/>
    <n v="129600"/>
    <n v="129591.58"/>
    <n v="99.99350308641975"/>
    <n v="128626.77"/>
    <n v="99.249050925925928"/>
  </r>
  <r>
    <s v="Jubilant Foodworks Ltd (JFL)"/>
    <s v="Alert"/>
    <s v="Jagadisha R"/>
    <s v="PRO/INC/47360"/>
    <s v="aps went down"/>
    <s v="Meraki Managed Services"/>
    <s v="Software / Configuration"/>
    <x v="0"/>
    <s v="Q3AC-59QF-LNTG"/>
    <s v="Q3AC-59QF-LNTG"/>
    <s v="NA"/>
    <x v="1"/>
    <s v="GF-AP35-R04-SW02-13P"/>
    <s v="MR46"/>
    <s v="wireless-31-1-8"/>
    <m/>
    <s v="Non-Core"/>
    <s v="Closed"/>
    <x v="0"/>
    <s v="power issue"/>
    <s v="power issue"/>
    <d v="2026-05-28T17:08:21"/>
    <d v="2026-05-29T09:29:00"/>
    <n v="980.65"/>
    <d v="2026-05-28T17:08:22"/>
    <n v="0.02"/>
    <n v="30"/>
    <s v="SLA Met"/>
    <d v="2026-05-28T17:15:31"/>
    <d v="2026-05-29T09:25:41"/>
    <n v="970.17"/>
    <n v="10.48"/>
    <n v="120"/>
    <s v="SLA Met"/>
    <m/>
    <n v="129600"/>
    <n v="129589.52"/>
    <n v="99.991913580246916"/>
    <n v="128629.83"/>
    <n v="99.251412037037028"/>
  </r>
  <r>
    <s v="Jubilant Foodworks Ltd (JFL)"/>
    <s v="Alert"/>
    <s v="Jagadisha R"/>
    <s v="PRO/INC/47358"/>
    <s v="aps went down"/>
    <s v="Meraki Managed Services"/>
    <s v="Software / Configuration"/>
    <x v="0"/>
    <s v="Q3AC-W6MK-P7AJ"/>
    <s v="Q3AC-W6MK-P7AJ"/>
    <s v="NA"/>
    <x v="1"/>
    <s v="GF-AP39-R04-SW02-15P"/>
    <s v="MR46"/>
    <s v="wireless-31-1-8"/>
    <m/>
    <s v="Non-Core"/>
    <s v="Closed"/>
    <x v="0"/>
    <s v="power issue"/>
    <s v="power issue"/>
    <d v="2026-05-28T17:08:21"/>
    <d v="2026-05-29T09:33:00"/>
    <n v="984.65"/>
    <d v="2026-05-28T17:08:22"/>
    <n v="0.02"/>
    <n v="30"/>
    <s v="SLA Met"/>
    <d v="2026-05-28T17:12:45"/>
    <d v="2026-05-29T09:30:00"/>
    <n v="977.25"/>
    <n v="7.4"/>
    <n v="120"/>
    <s v="SLA Met"/>
    <m/>
    <n v="129600"/>
    <n v="129592.6"/>
    <n v="99.994290123456793"/>
    <n v="128622.75"/>
    <n v="99.245949074074076"/>
  </r>
  <r>
    <s v="Jubilant Foodworks Ltd (JFL)"/>
    <s v="Alert"/>
    <s v="Jagadisha R"/>
    <s v="PRO/INC/47361"/>
    <s v="switches went down"/>
    <s v="Meraki Managed Services"/>
    <s v="Software / Configuration"/>
    <x v="0"/>
    <s v="Q2QW-DC3Q-MPWQ"/>
    <s v="Q2QW-DC3Q-MPWQ"/>
    <s v="GF-R4"/>
    <x v="0"/>
    <s v="GF-R4-SW2"/>
    <s v="MS250-48FP"/>
    <s v="switch-17-2-2"/>
    <m/>
    <s v="Core"/>
    <s v="Closed"/>
    <x v="0"/>
    <s v="Power issues"/>
    <s v="power issue"/>
    <d v="2026-05-28T17:10:19"/>
    <d v="2026-05-29T09:35:00"/>
    <n v="984.68"/>
    <d v="2026-05-28T17:10:19"/>
    <n v="0"/>
    <n v="30"/>
    <s v="SLA Met"/>
    <d v="2026-05-28T17:13:44"/>
    <d v="2026-05-29T09:31:28"/>
    <n v="977.73"/>
    <n v="6.95"/>
    <n v="120"/>
    <s v="SLA Met"/>
    <m/>
    <n v="129600"/>
    <n v="129593.05"/>
    <n v="99.99463734567901"/>
    <n v="128622.27"/>
    <n v="99.245578703703714"/>
  </r>
  <r>
    <s v="Jubilant Foodworks Ltd (JFL)"/>
    <s v="Alert"/>
    <s v="Jagadisha R"/>
    <s v="PRO/INC/47362"/>
    <s v="switches went down"/>
    <s v="Meraki Managed Services"/>
    <s v="Software / Configuration"/>
    <x v="0"/>
    <s v="Q2QW-CNV8-9Q8Y"/>
    <s v="Q2QW-CNV8-9Q8Y"/>
    <s v="GF-R4"/>
    <x v="0"/>
    <s v="GF-R4-SW1"/>
    <s v="MS250-48FP"/>
    <s v="switch-17-1-4"/>
    <m/>
    <s v="Core"/>
    <s v="Closed"/>
    <x v="0"/>
    <s v="Power issues"/>
    <s v="power issue"/>
    <d v="2026-05-28T17:10:29"/>
    <d v="2026-05-29T09:38:00"/>
    <n v="987.52"/>
    <d v="2026-05-28T17:10:30"/>
    <n v="0.02"/>
    <n v="30"/>
    <s v="SLA Met"/>
    <d v="2026-05-28T17:12:34"/>
    <d v="2026-05-29T09:33:11"/>
    <n v="980.62"/>
    <n v="6.9"/>
    <n v="120"/>
    <s v="SLA Met"/>
    <m/>
    <n v="129600"/>
    <n v="129593.1"/>
    <n v="99.994675925925932"/>
    <n v="128619.38"/>
    <n v="99.243348765432103"/>
  </r>
  <r>
    <s v="Jubilant Foodworks Ltd (JFL)"/>
    <s v="Alert"/>
    <s v="Rohit Mourya"/>
    <s v="PRO/INC/47366"/>
    <s v="aps went down"/>
    <s v="Meraki Managed Services"/>
    <s v="Software / Configuration"/>
    <x v="4"/>
    <s v="Q3KG-JH9T-FL7Z"/>
    <s v="Q3KG-JH9T-FL7Z"/>
    <s v="NA"/>
    <x v="1"/>
    <s v="JFL-GNSC-AP48"/>
    <s v="MR86"/>
    <s v="wireless-31-1-7"/>
    <m/>
    <s v="Non-Core"/>
    <s v="Closed"/>
    <x v="0"/>
    <s v="ISP issue"/>
    <s v="ethernet speed degraded; need to change ethernet cable"/>
    <d v="2026-05-28T19:38:41"/>
    <d v="2026-06-02T08:59:00"/>
    <n v="6560.32"/>
    <d v="2026-05-28T19:38:42"/>
    <n v="0.02"/>
    <n v="30"/>
    <s v="SLA Met"/>
    <d v="2026-05-28T19:44:27"/>
    <d v="2026-06-02T08:57:42"/>
    <n v="6553.25"/>
    <n v="7.07"/>
    <n v="120"/>
    <s v="SLA Met"/>
    <m/>
    <n v="129600"/>
    <n v="129592.93"/>
    <n v="99.994544753086416"/>
    <n v="123046.75"/>
    <n v="94.943479938271608"/>
  </r>
  <r>
    <s v="Jubilant Foodworks Ltd (JFL)"/>
    <s v="Alert"/>
    <s v="Aneesh P S"/>
    <s v="PRO/INC/47426"/>
    <s v="aps went down"/>
    <s v="Meraki Managed Services"/>
    <s v="Software / Configuration"/>
    <x v="1"/>
    <s v="Q5AA-RM28-C2R8"/>
    <s v="Q5AA-RM28-C2R8"/>
    <s v="NA"/>
    <x v="1"/>
    <s v="JFL-Guwahati-SSC-AP-03"/>
    <s v="CW9162I"/>
    <s v="MR 32.1.7"/>
    <m/>
    <s v="Non-Core"/>
    <s v="Closed"/>
    <x v="7"/>
    <m/>
    <s v="Device Firmware Upgrade"/>
    <d v="2026-05-29T15:08:48"/>
    <d v="2026-05-29T15:27:00"/>
    <n v="18.2"/>
    <d v="2026-05-29T15:08:49"/>
    <n v="0.02"/>
    <n v="30"/>
    <s v="SLA Met"/>
    <m/>
    <m/>
    <n v="0"/>
    <n v="18.2"/>
    <n v="120"/>
    <s v="SLA Met"/>
    <m/>
    <n v="129600"/>
    <n v="129581.8"/>
    <n v="99.985956790123453"/>
    <n v="129600"/>
    <n v="100"/>
  </r>
  <r>
    <s v="Jubilant Foodworks Ltd (JFL)"/>
    <s v="Alert"/>
    <s v="Aneesh P S"/>
    <s v="PRO/INC/47431"/>
    <s v="aps went down"/>
    <s v="Meraki Managed Services"/>
    <s v="Software / Configuration"/>
    <x v="1"/>
    <s v="Q3KG-ZJZJ-WWH5"/>
    <s v="Q3KG-ZJZJ-WWH5"/>
    <s v="NA"/>
    <x v="1"/>
    <s v="JFL-Guwahati-SSC-AP-02"/>
    <s v="MR86"/>
    <s v="MR 32.1.7"/>
    <m/>
    <s v="Non-Core"/>
    <s v="Closed"/>
    <x v="7"/>
    <s v="Device Upgradation activity"/>
    <s v="device Firmware Upgrdation"/>
    <d v="2026-05-29T15:40:02"/>
    <d v="2026-05-30T17:00:00"/>
    <n v="1519.97"/>
    <d v="2026-05-29T15:40:05"/>
    <n v="0.05"/>
    <n v="30"/>
    <s v="SLA Met"/>
    <d v="2026-05-29T15:42:40"/>
    <d v="2026-05-30T16:48:37"/>
    <n v="1505.95"/>
    <n v="14.02"/>
    <n v="120"/>
    <s v="SLA Met"/>
    <m/>
    <n v="129600"/>
    <n v="129585.98"/>
    <n v="99.989182098765426"/>
    <n v="128094.05"/>
    <n v="98.83800154320987"/>
  </r>
  <r>
    <s v="Jubilant Foodworks Ltd (JFL)"/>
    <s v="Alert"/>
    <s v="Aneesh P S"/>
    <s v="PRO/INC/47432"/>
    <s v="aps went down"/>
    <s v="Meraki Managed Services"/>
    <s v="Software / Configuration"/>
    <x v="1"/>
    <s v="Q5AA-RM28-C2R8"/>
    <s v="Q5AA-RM28-C2R8"/>
    <s v="NA"/>
    <x v="1"/>
    <s v="JFL-Guwahati-SSC-AP-03"/>
    <s v="CW9162I"/>
    <s v="MR 32.1.7"/>
    <m/>
    <s v="Non-Core"/>
    <s v="Closed"/>
    <x v="7"/>
    <s v="Device Upgradtion activity"/>
    <s v="Device Firmware Upgrade"/>
    <d v="2026-05-29T15:40:08"/>
    <d v="2026-05-30T17:00:00"/>
    <n v="1519.87"/>
    <d v="2026-05-29T15:40:08"/>
    <n v="0"/>
    <n v="30"/>
    <s v="SLA Met"/>
    <d v="2026-05-29T15:43:29"/>
    <d v="2026-05-30T16:52:49"/>
    <n v="1509.33"/>
    <n v="10.53"/>
    <n v="120"/>
    <s v="SLA Met"/>
    <m/>
    <n v="129600"/>
    <n v="129589.47"/>
    <n v="99.991874999999993"/>
    <n v="128090.67"/>
    <n v="98.835393518518515"/>
  </r>
  <r>
    <s v="Jubilant Foodworks Ltd (JFL)"/>
    <s v="Alert"/>
    <s v="Aneesh P S"/>
    <s v="PRO/INC/47434"/>
    <s v="switches went down"/>
    <s v="Meraki Managed Services"/>
    <s v="Software / Configuration"/>
    <x v="1"/>
    <s v="Q5JG-ECTW-5MN7"/>
    <s v="Q5JG-ECTW-5MN7"/>
    <s v="CORE"/>
    <x v="0"/>
    <s v="JFL-Guwahati-CORE-01"/>
    <s v="C9300L-24P-4X"/>
    <s v="IOS XE 17.15.5"/>
    <m/>
    <s v="Core"/>
    <s v="Closed"/>
    <x v="7"/>
    <s v="Firmware upgradation activity in progress"/>
    <s v="Device Firmware Upgradation"/>
    <d v="2026-05-29T15:40:22"/>
    <d v="2026-05-30T17:00:00"/>
    <n v="1519.63"/>
    <d v="2026-05-29T15:40:23"/>
    <n v="0.02"/>
    <n v="30"/>
    <s v="SLA Met"/>
    <d v="2026-05-29T15:41:37"/>
    <d v="2026-05-30T16:54:17"/>
    <n v="1512.67"/>
    <n v="6.97"/>
    <n v="120"/>
    <s v="SLA Met"/>
    <m/>
    <n v="129600"/>
    <n v="129593.03"/>
    <n v="99.994621913580247"/>
    <n v="128087.33"/>
    <n v="98.832816358024687"/>
  </r>
  <r>
    <s v="Jubilant Foodworks Ltd (JFL)"/>
    <s v="Alert"/>
    <s v="Aneesh P S"/>
    <s v="PRO/INC/47474"/>
    <s v="aps went down"/>
    <s v="Meraki Managed Services"/>
    <s v="Software / Configuration"/>
    <x v="4"/>
    <s v="Q3KG-JH9T-FL7Z"/>
    <s v="Q3KG-JH9T-FL7Z"/>
    <s v="NA"/>
    <x v="1"/>
    <s v="JFL-GNSC-AP48"/>
    <s v="MR86"/>
    <s v="wireless-31-1-7"/>
    <m/>
    <s v="Non-Core"/>
    <s v="Closed"/>
    <x v="5"/>
    <s v="Device Boot Issue"/>
    <s v="Device Boot issues"/>
    <d v="2026-05-30T17:20:01"/>
    <d v="2026-05-30T19:26:00"/>
    <n v="125.98"/>
    <d v="2026-05-30T17:20:02"/>
    <n v="0.02"/>
    <n v="30"/>
    <s v="SLA Met"/>
    <d v="2026-05-30T17:24:19"/>
    <d v="2026-05-30T18:58:59"/>
    <n v="94.67"/>
    <n v="31.32"/>
    <n v="120"/>
    <s v="SLA Met"/>
    <m/>
    <n v="129600"/>
    <n v="129568.68"/>
    <n v="99.975833333333327"/>
    <n v="129505.33"/>
    <n v="99.926952160493826"/>
  </r>
  <r>
    <s v="Jubilant Foodworks Ltd (JFL)"/>
    <s v="Alert"/>
    <s v="Dharmendra Bhadoriya"/>
    <s v="PRO/INC/47488"/>
    <s v="aps went down"/>
    <s v="Meraki Managed Services"/>
    <s v="Software / Configuration"/>
    <x v="4"/>
    <s v="Q3KG-JH9T-FL7Z"/>
    <s v="Q3KG-JH9T-FL7Z"/>
    <s v="NA"/>
    <x v="1"/>
    <s v="JFL-GNSC-AP48"/>
    <s v="MR86"/>
    <s v="wireless-31-1-7"/>
    <m/>
    <s v="Non-Core"/>
    <s v="Closed"/>
    <x v="2"/>
    <s v="Client Side Activity"/>
    <s v="Ethernet uplink speed degraded.need to replaced cable"/>
    <d v="2026-05-31T14:33:59"/>
    <d v="2026-06-02T09:07:00"/>
    <n v="2553.02"/>
    <d v="2026-05-31T14:33:59"/>
    <n v="0"/>
    <n v="30"/>
    <s v="SLA Met"/>
    <d v="2026-05-31T14:45:16"/>
    <d v="2026-06-02T09:04:07"/>
    <n v="2538.85"/>
    <n v="14.17"/>
    <n v="120"/>
    <s v="SLA Met"/>
    <m/>
    <n v="129600"/>
    <n v="129585.83"/>
    <n v="99.989066358024687"/>
    <n v="127061.15"/>
    <n v="98.041010802469131"/>
  </r>
  <r>
    <s v="Jubilant Foodworks Ltd (JFL)"/>
    <s v="Alert"/>
    <s v="Dharmendra Bhadoriya"/>
    <s v="PRO/INC/47491"/>
    <s v="aps went down"/>
    <s v="Meraki Managed Services"/>
    <s v="Software / Configuration"/>
    <x v="4"/>
    <s v="Q3KG-JH9T-FL7Z"/>
    <s v="Q3KG-JH9T-FL7Z"/>
    <s v="NA"/>
    <x v="1"/>
    <s v="JFL-GNSC-AP48"/>
    <s v="MR86"/>
    <s v="wireless-31-1-7"/>
    <m/>
    <s v="Non-Core"/>
    <s v="Closed"/>
    <x v="2"/>
    <s v="Client Side Activity"/>
    <s v="Ethernet uplink speed degraded.need to replaced cable"/>
    <d v="2026-05-31T14:55:36"/>
    <d v="2026-06-02T09:23:00"/>
    <n v="2547.4"/>
    <d v="2026-05-31T14:55:37"/>
    <n v="0.02"/>
    <n v="30"/>
    <s v="SLA Met"/>
    <d v="2026-05-31T14:58:25"/>
    <d v="2026-06-02T09:17:24"/>
    <n v="2538.98"/>
    <n v="8.42"/>
    <n v="120"/>
    <s v="SLA Met"/>
    <m/>
    <n v="129600"/>
    <n v="129591.58"/>
    <n v="99.99350308641975"/>
    <n v="127061.02"/>
    <n v="98.040910493827155"/>
  </r>
  <r>
    <s v="Jubilant Foodworks Ltd (JFL)"/>
    <s v="Alert"/>
    <s v="Dharmendra Bhadoriya"/>
    <s v="PRO/INC/47495"/>
    <s v="aps went down"/>
    <s v="Meraki Managed Services"/>
    <s v="Software / Configuration"/>
    <x v="4"/>
    <s v="Q3KG-JH9T-FL7Z"/>
    <s v="Q3KG-JH9T-FL7Z"/>
    <s v="NA"/>
    <x v="1"/>
    <s v="JFL-GNSC-AP48"/>
    <s v="MR86"/>
    <s v="wireless-31-1-7"/>
    <m/>
    <s v="Non-Core"/>
    <s v="Closed"/>
    <x v="2"/>
    <s v="Client Side Activity"/>
    <s v="ethernet uplink speed degraded .need to replace cable"/>
    <d v="2026-05-31T15:07:48"/>
    <d v="2026-06-02T09:03:00"/>
    <n v="2515.1999999999998"/>
    <d v="2026-05-31T15:07:49"/>
    <n v="0.02"/>
    <n v="30"/>
    <s v="SLA Met"/>
    <d v="2026-05-31T15:54:41"/>
    <d v="2026-06-02T09:01:02"/>
    <n v="2466.35"/>
    <n v="48.85"/>
    <n v="120"/>
    <s v="SLA Met"/>
    <m/>
    <n v="129600"/>
    <n v="129551.15"/>
    <n v="99.962307098765422"/>
    <n v="127133.65"/>
    <n v="98.096952160493828"/>
  </r>
  <r>
    <s v="Jubilant Foodworks Ltd (JFL)"/>
    <s v="Alert"/>
    <s v="Aneesh P S"/>
    <s v="PRO/INC/47516"/>
    <s v="aps went down"/>
    <s v="Meraki Managed Services"/>
    <s v="Software / Configuration"/>
    <x v="4"/>
    <s v="Q5AA-J9A9-ZJ2B"/>
    <s v="Q5AA-J9A9-ZJ2B"/>
    <s v="NA"/>
    <x v="1"/>
    <s v="JFL-GNSC-AP30"/>
    <s v="CW9162I"/>
    <s v="wireless-31-1-7"/>
    <m/>
    <s v="Non-Core"/>
    <s v="Closed"/>
    <x v="5"/>
    <m/>
    <s v="Device Boot issues"/>
    <d v="2026-06-01T09:31:36"/>
    <d v="2026-06-01T09:53:00"/>
    <n v="21.4"/>
    <d v="2026-06-01T09:31:37"/>
    <n v="0.02"/>
    <n v="30"/>
    <s v="SLA Met"/>
    <m/>
    <m/>
    <n v="0"/>
    <n v="21.4"/>
    <n v="120"/>
    <s v="SLA Met"/>
    <m/>
    <n v="129600"/>
    <n v="129578.6"/>
    <n v="99.983487654320996"/>
    <n v="129600"/>
    <n v="100"/>
  </r>
  <r>
    <s v="Jubilant Foodworks Ltd (JFL)"/>
    <s v="Alert"/>
    <s v="Aneesh P S"/>
    <s v="PRO/INC/47555"/>
    <s v="aps went down"/>
    <s v="Meraki Managed Services"/>
    <s v="Software / Configuration"/>
    <x v="4"/>
    <s v="Q5AA-NVD9-AZTY"/>
    <s v="Q5AA-NVD9-AZTY"/>
    <s v="NA"/>
    <x v="1"/>
    <s v="JFL-GNSC-AP39"/>
    <s v="CW9162I"/>
    <s v="wireless-31-1-7"/>
    <m/>
    <s v="Non-Core"/>
    <s v="Closed"/>
    <x v="0"/>
    <s v="Devic Boot Issues"/>
    <s v="Device Power issues"/>
    <d v="2026-06-01T15:08:29"/>
    <d v="2026-06-02T18:12:00"/>
    <n v="1623.52"/>
    <d v="2026-06-01T15:08:30"/>
    <n v="0.02"/>
    <n v="30"/>
    <s v="SLA Met"/>
    <d v="2026-06-01T15:10:56"/>
    <d v="2026-06-02T18:02:45"/>
    <n v="1611.82"/>
    <n v="11.7"/>
    <n v="120"/>
    <s v="SLA Met"/>
    <m/>
    <n v="129600"/>
    <n v="129588.3"/>
    <n v="99.990972222222226"/>
    <n v="127988.18"/>
    <n v="98.756311728395048"/>
  </r>
  <r>
    <s v="Jubilant Foodworks Ltd (JFL)"/>
    <s v="Alert"/>
    <s v="Dharmendra Bhadoriya"/>
    <s v="PRO/INC/47575"/>
    <s v="new dhcp server detected"/>
    <s v="Meraki Managed Services"/>
    <s v="Software / Configuration"/>
    <x v="2"/>
    <s v="Q5JJ-68KZ-MXAS"/>
    <s v="Q5JJ-68KZ-MXAS"/>
    <s v="RACK 1"/>
    <x v="0"/>
    <s v="JFL-NAG-SSC-SW01"/>
    <s v="C9300L-48P-4X"/>
    <s v="cs-17-2-2"/>
    <m/>
    <s v="Non-Core"/>
    <s v="Closed"/>
    <x v="2"/>
    <s v="awaiting for customer response. Observation has been shared with customer."/>
    <s v="block"/>
    <d v="2026-06-02T06:50:52"/>
    <d v="2026-06-02T09:25:00"/>
    <n v="154.13"/>
    <d v="2026-06-02T06:50:53"/>
    <n v="0.02"/>
    <n v="30"/>
    <s v="SLA Met"/>
    <d v="2026-06-02T06:53:42"/>
    <d v="2026-06-02T09:20:49"/>
    <n v="147.12"/>
    <n v="7.02"/>
    <n v="120"/>
    <s v="SLA Met"/>
    <m/>
    <n v="129600"/>
    <n v="129592.98"/>
    <n v="99.994583333333338"/>
    <n v="129452.88"/>
    <n v="99.886481481481482"/>
  </r>
  <r>
    <s v="Jubilant Foodworks Ltd (JFL)"/>
    <s v="Alert"/>
    <s v="Aneesh P S"/>
    <s v="PRO/INC/47846"/>
    <s v="new dhcp server detected"/>
    <s v="Meraki Managed Services"/>
    <s v="Software / Configuration"/>
    <x v="2"/>
    <s v="Q5JJ-68KZ-MXAS"/>
    <s v="Q5JJ-68KZ-MXAS"/>
    <s v="RACK 1"/>
    <x v="0"/>
    <s v="JFL-NAG-SSC-SW01"/>
    <s v="C9300L-48P-4X"/>
    <s v="cs-17-2-2"/>
    <m/>
    <s v="Non-Core"/>
    <s v="Closed"/>
    <x v="1"/>
    <s v="new DHCP server detected"/>
    <s v="New DHCP server detected on the network, as per the customer confirmation blocked the device"/>
    <d v="2026-06-03T15:04:06"/>
    <d v="2026-06-03T16:59:00"/>
    <n v="114.9"/>
    <d v="2026-06-03T15:04:07"/>
    <n v="0.02"/>
    <n v="30"/>
    <s v="SLA Met"/>
    <d v="2026-06-03T15:10:09"/>
    <d v="2026-06-03T16:56:37"/>
    <n v="106.47"/>
    <n v="8.43"/>
    <n v="120"/>
    <s v="SLA Met"/>
    <m/>
    <n v="129600"/>
    <n v="129591.57"/>
    <n v="99.993495370370383"/>
    <n v="129493.53"/>
    <n v="99.917847222222221"/>
  </r>
  <r>
    <s v="Jubilant Foodworks Ltd (JFL)"/>
    <s v="Alert"/>
    <s v="Kartik Choudhary"/>
    <s v="PRO/INC/47898"/>
    <s v="new dhcp server detected"/>
    <s v="Meraki Managed Services"/>
    <s v="Software / Configuration"/>
    <x v="2"/>
    <s v="Q5JJ-68KZ-MXAS"/>
    <s v="Q5JJ-68KZ-MXAS"/>
    <s v="RACK 1"/>
    <x v="0"/>
    <s v="JFL-NAG-SSC-SW01"/>
    <s v="C9300L-48P-4X"/>
    <s v="cs-17-2-2"/>
    <m/>
    <s v="Non-Core"/>
    <s v="Closed"/>
    <x v="3"/>
    <s v="Observation is shared with customer. Awaiting for customer response."/>
    <s v="We have blocked the new DHCP server as per customer confirmation."/>
    <d v="2026-06-05T08:02:42"/>
    <d v="2026-06-08T16:52:00"/>
    <n v="4849.3"/>
    <d v="2026-06-05T08:02:42"/>
    <n v="0"/>
    <n v="30"/>
    <s v="SLA Met"/>
    <d v="2026-06-05T08:07:00"/>
    <d v="2026-06-08T16:50:12"/>
    <n v="4843.2"/>
    <n v="6.1"/>
    <n v="120"/>
    <s v="SLA Met"/>
    <m/>
    <n v="129600"/>
    <n v="129593.9"/>
    <n v="99.995293209876536"/>
    <n v="124756.8"/>
    <n v="96.262962962962959"/>
  </r>
  <r>
    <s v="Jubilant Foodworks Ltd (JFL)"/>
    <s v="Alert"/>
    <s v="Jagadisha R"/>
    <s v="PRO/INC/47906"/>
    <s v="new dhcp server detected"/>
    <s v="Meraki Managed Services"/>
    <s v="Software / Configuration"/>
    <x v="2"/>
    <s v="Q5JJ-68KZ-MXAS"/>
    <s v="Q5JJ-68KZ-MXAS"/>
    <s v="RACK 1"/>
    <x v="0"/>
    <s v="JFL-NAG-SSC-SW01"/>
    <s v="C9300L-48P-4X"/>
    <s v="cs-17-2-2"/>
    <m/>
    <s v="Non-Core"/>
    <s v="Closed"/>
    <x v="4"/>
    <s v="Observation is shared with customer. Awaiting for customer response."/>
    <s v="customer is not responding , we are closing the case ."/>
    <d v="2026-06-05T09:27:37"/>
    <d v="2026-06-16T22:44:00"/>
    <n v="16636.38"/>
    <d v="2026-06-05T09:27:39"/>
    <n v="0.03"/>
    <n v="30"/>
    <s v="SLA Met"/>
    <d v="2026-06-05T09:29:59"/>
    <d v="2026-06-16T22:38:32"/>
    <n v="16628.55"/>
    <n v="7.83"/>
    <n v="120"/>
    <s v="SLA Met"/>
    <m/>
    <n v="129600"/>
    <n v="129592.17"/>
    <n v="99.993958333333339"/>
    <n v="112971.45"/>
    <n v="87.169328703703698"/>
  </r>
  <r>
    <s v="Jubilant Foodworks Ltd (JFL)"/>
    <s v="Alert"/>
    <s v="Aneesh P S"/>
    <s v="PRO/INC/47909"/>
    <s v="new dhcp server detected"/>
    <s v="Meraki Managed Services"/>
    <s v="Software / Configuration"/>
    <x v="2"/>
    <s v="Q5JJ-68KZ-MXAS"/>
    <s v="Q5JJ-68KZ-MXAS"/>
    <s v="RACK 1"/>
    <x v="0"/>
    <s v="JFL-NAG-SSC-SW01"/>
    <s v="C9300L-48P-4X"/>
    <s v="cs-17-2-2"/>
    <m/>
    <s v="Non-Core"/>
    <s v="Closed"/>
    <x v="1"/>
    <s v="New DHCP server detected , need customers clarification"/>
    <s v="New DHCP server detected closed and blocked the server as per customer confirmation"/>
    <d v="2026-06-05T10:32:43"/>
    <d v="2026-06-08T14:12:00"/>
    <n v="4539.28"/>
    <d v="2026-06-05T10:32:43"/>
    <n v="0"/>
    <n v="30"/>
    <s v="SLA Met"/>
    <d v="2026-06-05T10:38:06"/>
    <d v="2026-06-08T14:07:05"/>
    <n v="4528.9799999999996"/>
    <n v="10.3"/>
    <n v="120"/>
    <s v="SLA Met"/>
    <m/>
    <n v="129600"/>
    <n v="129589.7"/>
    <n v="99.9920524691358"/>
    <n v="125071.02"/>
    <n v="96.505416666666662"/>
  </r>
  <r>
    <s v="Jubilant Foodworks Ltd (JFL)"/>
    <s v="Alert"/>
    <s v="Aneesh P S"/>
    <s v="PRO/INC/47925"/>
    <s v="switches went down"/>
    <s v="Meraki Managed Services"/>
    <s v="Software / Configuration"/>
    <x v="4"/>
    <s v="Q5TN-NF5F-N32X"/>
    <s v="Q5TN-NF5F-N32X"/>
    <s v="CORE"/>
    <x v="0"/>
    <s v="JFL-GNSC-CORE-SW-ST-01 [1]"/>
    <s v="C9300X-24Y"/>
    <s v="ios-xe-17-15-4"/>
    <m/>
    <s v="Core"/>
    <s v="Closed"/>
    <x v="0"/>
    <s v="device power issue"/>
    <s v="ISP issue"/>
    <d v="2026-06-05T12:29:24"/>
    <d v="2026-06-05T12:46:00"/>
    <n v="16.600000000000001"/>
    <d v="2026-06-05T12:29:25"/>
    <n v="0.02"/>
    <n v="30"/>
    <s v="SLA Met"/>
    <d v="2026-06-05T12:33:43"/>
    <d v="2026-06-05T12:43:55"/>
    <n v="10.199999999999999"/>
    <n v="6.4"/>
    <n v="120"/>
    <s v="SLA Met"/>
    <m/>
    <n v="129600"/>
    <n v="129593.60000000001"/>
    <n v="99.995061728395058"/>
    <n v="129589.8"/>
    <n v="99.99212962962963"/>
  </r>
  <r>
    <s v="Jubilant Foodworks Ltd (JFL)"/>
    <s v="Email"/>
    <s v="Rohit Mourya"/>
    <s v="PRO/INC/47969"/>
    <s v="RE: Scheduled maintenance for 1 network(s) in organization &quot;Jubilant Foodworks Ltd&quot; || GNSC -- Q3KG-6BJV-TZA3"/>
    <s v="Meraki Managed Services"/>
    <s v="IOS Upgradation Activity"/>
    <x v="4"/>
    <s v="Q3KG-6BJV-TZA3"/>
    <s v="Q3KG-6BJV-TZA3"/>
    <s v="NA"/>
    <x v="1"/>
    <s v="JFL-GNSC-AP53"/>
    <s v="MR86"/>
    <s v="wireless-31-1-7"/>
    <m/>
    <s v="P4"/>
    <s v="Closed"/>
    <x v="2"/>
    <s v="The scheduled activity is planned for June 19, 2026"/>
    <m/>
    <d v="2026-06-06T09:34:41"/>
    <d v="2026-06-16T17:44:00"/>
    <n v="14889.32"/>
    <d v="2026-06-06T09:34:40"/>
    <n v="0"/>
    <n v="30"/>
    <s v="SLA Met"/>
    <d v="2026-06-06T10:09:36"/>
    <d v="2026-06-16T17:38:54"/>
    <n v="14849.3"/>
    <n v="40.020000000000003"/>
    <n v="2880"/>
    <s v="SLA Met"/>
    <m/>
    <n v="129600"/>
    <n v="129559.98"/>
    <n v="99.969120370370362"/>
    <n v="114750.7"/>
    <n v="88.542206790123458"/>
  </r>
  <r>
    <s v="Jubilant Foodworks Ltd (JFL)"/>
    <s v="Email"/>
    <s v="Rohit Mourya"/>
    <s v="PRO/INC/47970"/>
    <s v="FW: Scheduled maintenance for 1 network(s) in organization &quot;Jubilant Foodworks Ltd&quot; -- Q3KG-FBVZ-2RBN"/>
    <s v="Meraki Managed Services"/>
    <s v="IOS Upgradation Activity"/>
    <x v="2"/>
    <s v="Q3KG-FBVZ-2RBN"/>
    <s v="Q3KG-FBVZ-2RBN"/>
    <s v="NA"/>
    <x v="1"/>
    <s v="JFL-NAG-SSC-AP05"/>
    <s v="MR86"/>
    <s v="wireless-31-1-8"/>
    <m/>
    <s v="P4"/>
    <s v="Closed"/>
    <x v="2"/>
    <s v="The scheduled activity is planned for June 17, 2026"/>
    <m/>
    <d v="2026-06-06T09:36:54"/>
    <d v="2026-06-16T17:43:00"/>
    <n v="14886.1"/>
    <d v="2026-06-06T09:36:53"/>
    <n v="0"/>
    <n v="30"/>
    <s v="SLA Met"/>
    <d v="2026-06-06T10:08:46"/>
    <d v="2026-06-16T17:38:14"/>
    <n v="14849.47"/>
    <n v="36.630000000000003"/>
    <n v="2880"/>
    <s v="SLA Met"/>
    <m/>
    <n v="129600"/>
    <n v="129563.37"/>
    <n v="99.971736111111113"/>
    <n v="114750.53"/>
    <n v="88.542075617283956"/>
  </r>
  <r>
    <s v="Jubilant Foodworks Ltd (JFL)"/>
    <s v="Alert"/>
    <s v="Dheerendra Maurya"/>
    <s v="PRO/INC/48101"/>
    <s v="aps went down"/>
    <s v="Meraki Managed Services"/>
    <s v="Software / Configuration"/>
    <x v="4"/>
    <s v="Q3KG-XSEX-EG6A"/>
    <s v="Q3KG-XSEX-EG6A"/>
    <s v="NA"/>
    <x v="1"/>
    <s v="JFL-GNSC-AP60"/>
    <s v="MR86"/>
    <s v="wireless-31-1-7"/>
    <m/>
    <s v="Non-Core"/>
    <s v="Closed"/>
    <x v="0"/>
    <s v="power issue"/>
    <s v="AP went down due to power issue"/>
    <d v="2026-06-06T11:31:04"/>
    <d v="2026-06-07T00:02:00"/>
    <n v="750.93"/>
    <d v="2026-06-06T11:31:05"/>
    <n v="0.02"/>
    <n v="30"/>
    <s v="SLA Met"/>
    <d v="2026-06-06T11:34:23"/>
    <d v="2026-06-06T23:59:39"/>
    <n v="745.27"/>
    <n v="5.67"/>
    <n v="120"/>
    <s v="SLA Met"/>
    <m/>
    <n v="129600"/>
    <n v="129594.33"/>
    <n v="99.995625000000004"/>
    <n v="128854.73"/>
    <n v="99.424945987654326"/>
  </r>
  <r>
    <s v="Jubilant Foodworks Ltd (JFL)"/>
    <s v="Alert"/>
    <s v="Dheerendra Maurya"/>
    <s v="PRO/INC/48102"/>
    <s v="aps went down"/>
    <s v="Meraki Managed Services"/>
    <s v="Software / Configuration"/>
    <x v="4"/>
    <s v="Q5AA-AE34-NNBC"/>
    <s v="Q5AA-AE34-NNBC"/>
    <s v="NA"/>
    <x v="1"/>
    <s v="JFL-GNSC-AP21"/>
    <s v="CW9162I"/>
    <s v="wireless-31-1-7"/>
    <m/>
    <s v="Non-Core"/>
    <s v="Closed"/>
    <x v="0"/>
    <s v="power issue"/>
    <s v="AP went down due to power issue"/>
    <d v="2026-06-06T11:31:04"/>
    <d v="2026-06-06T23:59:00"/>
    <n v="747.93"/>
    <d v="2026-06-06T11:31:05"/>
    <n v="0.02"/>
    <n v="30"/>
    <s v="SLA Met"/>
    <d v="2026-06-06T11:35:15"/>
    <d v="2026-06-06T23:57:36"/>
    <n v="742.35"/>
    <n v="5.58"/>
    <n v="120"/>
    <s v="SLA Met"/>
    <m/>
    <n v="129600"/>
    <n v="129594.42"/>
    <n v="99.995694444444439"/>
    <n v="128857.65"/>
    <n v="99.427199074074068"/>
  </r>
  <r>
    <s v="Jubilant Foodworks Ltd (JFL)"/>
    <s v="Alert"/>
    <s v="Dheerendra Maurya"/>
    <s v="PRO/INC/48103"/>
    <s v="aps went down"/>
    <s v="Meraki Managed Services"/>
    <s v="Software / Configuration"/>
    <x v="4"/>
    <s v="Q5AA-XGDL-V7JB"/>
    <s v="Q5AA-XGDL-V7JB"/>
    <s v="NA"/>
    <x v="1"/>
    <s v="JFL-GNSC-AP54"/>
    <s v="CW9162I"/>
    <s v="wireless-31-1-7"/>
    <m/>
    <s v="Non-Core"/>
    <s v="Closed"/>
    <x v="0"/>
    <s v="power issue"/>
    <s v="AP went down due to power issue"/>
    <d v="2026-06-06T11:31:04"/>
    <d v="2026-06-07T00:04:00"/>
    <n v="752.93"/>
    <d v="2026-06-06T11:31:05"/>
    <n v="0.02"/>
    <n v="30"/>
    <s v="SLA Met"/>
    <d v="2026-06-06T11:33:50"/>
    <d v="2026-06-07T00:02:22"/>
    <n v="748.53"/>
    <n v="4.4000000000000004"/>
    <n v="120"/>
    <s v="SLA Met"/>
    <m/>
    <n v="129600"/>
    <n v="129595.6"/>
    <n v="99.996604938271602"/>
    <n v="128851.47"/>
    <n v="99.42243055555555"/>
  </r>
  <r>
    <s v="Jubilant Foodworks Ltd (JFL)"/>
    <s v="Email"/>
    <s v="Chhitij Kumar Rai"/>
    <s v="PRO/INC/48114"/>
    <s v="Remove port security || Port Number-23 -- FCW2110B25A"/>
    <s v="Meraki Managed Services"/>
    <s v="Change Request"/>
    <x v="4"/>
    <s v="FCW2110B25A"/>
    <s v="FCW2110B25A"/>
    <s v="JFL-GNMC-GF-AC-ST-01"/>
    <x v="0"/>
    <s v="JFL-GNMC-GF-AC-ST-01"/>
    <s v="WS-C2960X-24PD-L"/>
    <s v="CISCO IOS 15.2(7)E13"/>
    <m/>
    <s v="Non-Core"/>
    <s v="Closed"/>
    <x v="1"/>
    <s v="Configuration change"/>
    <s v="we disabled the port security on the switch as per required"/>
    <d v="2026-06-06T12:03:32"/>
    <d v="2026-06-11T05:33:00"/>
    <n v="6809.47"/>
    <d v="2026-06-06T12:03:31"/>
    <n v="0"/>
    <n v="30"/>
    <s v="SLA Met"/>
    <d v="2026-06-06T12:12:11"/>
    <d v="2026-06-11T17:18:44"/>
    <n v="7506.55"/>
    <n v="-697.08"/>
    <n v="120"/>
    <s v="SLA Met"/>
    <m/>
    <n v="129600"/>
    <n v="130297.08"/>
    <n v="100.53787037037037"/>
    <n v="122093.45"/>
    <n v="94.207908950617281"/>
  </r>
  <r>
    <s v="Jubilant Foodworks Ltd (JFL)"/>
    <s v="Email"/>
    <s v="Rohit Mourya"/>
    <s v="PRO/INC/48116"/>
    <s v="physical layer connectivity issue --- Q3KG-A9R2-ATYY"/>
    <s v="Meraki Managed Services"/>
    <s v="Software / Configuration"/>
    <x v="4"/>
    <s v="Q3KG-A9R2-ATYY"/>
    <s v="Q3KG-A9R2-ATYY"/>
    <s v="NA"/>
    <x v="1"/>
    <s v="JFL-GNSC-AP50"/>
    <s v="MR86"/>
    <s v="wireless-31-1-7"/>
    <m/>
    <s v="Non-Core"/>
    <s v="Closed"/>
    <x v="2"/>
    <s v="Cable issue"/>
    <s v="Cable issue"/>
    <d v="2026-06-06T13:02:42"/>
    <d v="2026-07-17T13:08:00"/>
    <n v="59045.3"/>
    <d v="2026-06-06T13:02:41"/>
    <n v="0"/>
    <n v="30"/>
    <s v="SLA Met"/>
    <d v="2026-06-06T13:26:26"/>
    <d v="2026-07-17T13:07:31"/>
    <n v="59021.08"/>
    <n v="24.22"/>
    <n v="120"/>
    <s v="SLA Met"/>
    <m/>
    <n v="129600"/>
    <n v="129575.78"/>
    <n v="99.981311728395056"/>
    <n v="70578.92"/>
    <n v="54.459043209876548"/>
  </r>
  <r>
    <s v="Jubilant Foodworks Ltd (JFL)"/>
    <s v="Email"/>
    <s v="Rohit Mourya"/>
    <s v="PRO/INC/48117"/>
    <s v="Why all these AP went down -- Q3KG-XSEX-EG6A"/>
    <s v="Meraki Managed Services"/>
    <s v="Software / Configuration"/>
    <x v="4"/>
    <s v="Q3KG-XSEX-EG6A"/>
    <s v="Q3KG-XSEX-EG6A"/>
    <s v="NA"/>
    <x v="1"/>
    <s v="JFL-GNSC-AP60"/>
    <s v="MR86"/>
    <s v="wireless-31-1-7"/>
    <m/>
    <s v="Non-Core"/>
    <s v="Closed"/>
    <x v="0"/>
    <m/>
    <s v="We reviewed the Meraki Dashboard event logs for the reported Access Point and observed a temporary device reboot event, after which the Ethernet uplink was successfully re-established and the MR came back online. As of now, the device is in an Online state and operating normally. Please find the attached dashboard snapshot for your reference, which confirms that the AP is currently reachable and functioning as expected. We will continue to monitor the device and will keep you informed if any further abnormal behavior is observed."/>
    <d v="2026-06-06T13:16:17"/>
    <d v="2026-06-06T13:51:00"/>
    <n v="34.72"/>
    <d v="2026-06-06T13:16:17"/>
    <n v="0"/>
    <n v="30"/>
    <s v="SLA Met"/>
    <m/>
    <m/>
    <n v="0"/>
    <n v="34.72"/>
    <n v="120"/>
    <s v="SLA Met"/>
    <m/>
    <n v="129600"/>
    <n v="129565.28"/>
    <n v="99.973209876543208"/>
    <n v="129600"/>
    <n v="100"/>
  </r>
  <r>
    <s v="Jubilant Foodworks Ltd (JFL)"/>
    <s v="Alert"/>
    <s v="Dheerendra Maurya"/>
    <s v="PRO/INC/48129"/>
    <s v="aps went down"/>
    <s v="Meraki Managed Services"/>
    <s v="Software / Configuration"/>
    <x v="4"/>
    <s v="Q3KG-Y2PU-4DWW"/>
    <s v="Q3KG-Y2PU-4DWW"/>
    <s v="NA"/>
    <x v="1"/>
    <s v="JFL-GNSC-AP55"/>
    <s v="MR86"/>
    <s v="wireless-31-1-7"/>
    <m/>
    <s v="Non-Core"/>
    <s v="Closed"/>
    <x v="0"/>
    <s v="power issue"/>
    <s v="AP went down due to power issue"/>
    <d v="2026-06-06T20:18:16"/>
    <d v="2026-06-06T23:35:00"/>
    <n v="196.73"/>
    <d v="2026-06-06T20:18:16"/>
    <n v="0"/>
    <n v="30"/>
    <s v="SLA Met"/>
    <d v="2026-06-06T20:20:16"/>
    <d v="2026-06-06T23:32:31"/>
    <n v="192.25"/>
    <n v="4.4800000000000004"/>
    <n v="120"/>
    <s v="SLA Met"/>
    <m/>
    <n v="129600"/>
    <n v="129595.52"/>
    <n v="99.996543209876549"/>
    <n v="129407.75"/>
    <n v="99.851658950617278"/>
  </r>
  <r>
    <s v="Jubilant Foodworks Ltd (JFL)"/>
    <s v="Alert"/>
    <s v="Dheerendra Maurya"/>
    <s v="PRO/INC/48132"/>
    <s v="aps went down"/>
    <s v="Meraki Managed Services"/>
    <s v="Software / Configuration"/>
    <x v="4"/>
    <s v="Q3KG-Y2PU-4DWW"/>
    <s v="Q3KG-Y2PU-4DWW"/>
    <s v="NA"/>
    <x v="1"/>
    <s v="JFL-GNSC-AP55"/>
    <s v="MR86"/>
    <s v="wireless-31-1-7"/>
    <m/>
    <s v="Non-Core"/>
    <s v="Closed"/>
    <x v="0"/>
    <s v="power issue"/>
    <s v="AP went down due to power issue"/>
    <d v="2026-06-06T20:29:36"/>
    <d v="2026-06-06T23:36:00"/>
    <n v="186.4"/>
    <d v="2026-06-06T20:29:37"/>
    <n v="0.02"/>
    <n v="30"/>
    <s v="SLA Met"/>
    <d v="2026-06-06T20:32:17"/>
    <d v="2026-06-06T23:34:44"/>
    <n v="182.45"/>
    <n v="3.95"/>
    <n v="120"/>
    <s v="SLA Met"/>
    <m/>
    <n v="129600"/>
    <n v="129596.05"/>
    <n v="99.996952160493834"/>
    <n v="129417.55"/>
    <n v="99.859220679012353"/>
  </r>
  <r>
    <s v="Jubilant Foodworks Ltd (JFL)"/>
    <s v="Alert"/>
    <s v="Dheerendra Maurya"/>
    <s v="PRO/INC/48136"/>
    <s v="aps went down"/>
    <s v="Meraki Managed Services"/>
    <s v="Software / Configuration"/>
    <x v="4"/>
    <s v="Q3KG-Y2PU-4DWW"/>
    <s v="Q3KG-Y2PU-4DWW"/>
    <s v="NA"/>
    <x v="1"/>
    <s v="JFL-GNSC-AP55"/>
    <s v="MR86"/>
    <s v="wireless-31-1-7"/>
    <m/>
    <s v="Non-Core"/>
    <s v="Closed"/>
    <x v="0"/>
    <s v="power issue"/>
    <s v="AP went down due to power issue"/>
    <d v="2026-06-06T21:46:33"/>
    <d v="2026-06-06T23:27:00"/>
    <n v="100.45"/>
    <d v="2026-06-06T21:46:34"/>
    <n v="0.02"/>
    <n v="30"/>
    <s v="SLA Met"/>
    <d v="2026-06-06T21:50:23"/>
    <d v="2026-06-06T23:25:39"/>
    <n v="95.27"/>
    <n v="5.18"/>
    <n v="120"/>
    <s v="SLA Met"/>
    <m/>
    <n v="129600"/>
    <n v="129594.82"/>
    <n v="99.996003086419762"/>
    <n v="129504.73"/>
    <n v="99.92648919753087"/>
  </r>
  <r>
    <s v="Jubilant Foodworks Ltd (JFL)"/>
    <s v="Alert"/>
    <s v="Dheerendra Maurya"/>
    <s v="PRO/INC/48139"/>
    <s v="aps went down"/>
    <s v="Meraki Managed Services"/>
    <s v="Software / Configuration"/>
    <x v="4"/>
    <s v="Q3KG-Y2PU-4DWW"/>
    <s v="Q3KG-Y2PU-4DWW"/>
    <s v="NA"/>
    <x v="1"/>
    <s v="JFL-GNSC-AP55"/>
    <s v="MR86"/>
    <s v="wireless-31-1-7"/>
    <m/>
    <s v="Non-Core"/>
    <s v="Closed"/>
    <x v="0"/>
    <s v="power issue"/>
    <s v="AP went down due to power issue"/>
    <d v="2026-06-06T22:12:26"/>
    <d v="2026-06-06T23:32:00"/>
    <n v="79.569999999999993"/>
    <d v="2026-06-06T22:12:26"/>
    <n v="0"/>
    <n v="30"/>
    <s v="SLA Met"/>
    <d v="2026-06-06T22:15:25"/>
    <d v="2026-06-06T23:27:41"/>
    <n v="72.27"/>
    <n v="7.3"/>
    <n v="120"/>
    <s v="SLA Met"/>
    <m/>
    <n v="129600"/>
    <n v="129592.7"/>
    <n v="99.994367283950609"/>
    <n v="129527.73"/>
    <n v="99.94423611111111"/>
  </r>
  <r>
    <s v="Jubilant Foodworks Ltd (JFL)"/>
    <s v="Alert"/>
    <s v="Kartik Choudhary"/>
    <s v="PRO/INC/48142"/>
    <s v="aps went down"/>
    <s v="Meraki Managed Services"/>
    <s v="Software / Configuration"/>
    <x v="3"/>
    <s v="Q5AA-V3D8-DKEG"/>
    <s v="Q5AA-V3D8-DKEG"/>
    <s v="NA"/>
    <x v="1"/>
    <s v="JFL-Mohali-SCC-AP05"/>
    <s v="CW9162I"/>
    <s v="wireless-31-1-7"/>
    <m/>
    <s v="Non-Core"/>
    <s v="Closed"/>
    <x v="2"/>
    <s v="power issue"/>
    <s v="the AP went down due to a power issue during the installation of the new generator."/>
    <d v="2026-06-06T22:45:46"/>
    <d v="2026-06-07T11:13:00"/>
    <n v="747.23"/>
    <d v="2026-06-06T22:45:47"/>
    <n v="0.02"/>
    <n v="30"/>
    <s v="SLA Met"/>
    <d v="2026-06-06T22:47:24"/>
    <d v="2026-06-07T11:10:56"/>
    <n v="743.53"/>
    <n v="3.7"/>
    <n v="120"/>
    <s v="SLA Met"/>
    <m/>
    <n v="129600"/>
    <n v="129596.3"/>
    <n v="99.997145061728403"/>
    <n v="128856.47"/>
    <n v="99.426288580246919"/>
  </r>
  <r>
    <s v="Jubilant Foodworks Ltd (JFL)"/>
    <s v="Alert"/>
    <s v="Kartik Choudhary"/>
    <s v="PRO/INC/48143"/>
    <s v="switches went down"/>
    <s v="Meraki Managed Services"/>
    <s v="Software / Configuration"/>
    <x v="3"/>
    <s v="Q5JG-NJW9-ABBQ"/>
    <s v="Q5JG-NJW9-ABBQ"/>
    <s v="CORE"/>
    <x v="0"/>
    <s v="JFL-MOHALI-CORE-02"/>
    <s v="C9300L-24P-4X"/>
    <s v="cs-17-2-1"/>
    <m/>
    <s v="Core"/>
    <s v="Closed"/>
    <x v="2"/>
    <s v="power issue"/>
    <s v="As discussed with Mr. Vijay, the switch went down due to a power issue during the installation of the new generator."/>
    <d v="2026-06-06T22:45:56"/>
    <d v="2026-06-07T11:16:00"/>
    <n v="750.07"/>
    <d v="2026-06-06T22:45:56"/>
    <n v="0"/>
    <n v="30"/>
    <s v="SLA Met"/>
    <d v="2026-06-06T22:48:27"/>
    <d v="2026-06-07T11:14:08"/>
    <n v="745.68"/>
    <n v="4.38"/>
    <n v="120"/>
    <s v="SLA Met"/>
    <m/>
    <n v="129600"/>
    <n v="129595.62"/>
    <n v="99.996620370370366"/>
    <n v="128854.32"/>
    <n v="99.424629629629635"/>
  </r>
  <r>
    <s v="Jubilant Foodworks Ltd (JFL)"/>
    <s v="Alert"/>
    <s v="Kartik Choudhary"/>
    <s v="PRO/INC/48470"/>
    <s v="aps went down"/>
    <s v="Meraki Managed Services"/>
    <s v="Software / Configuration"/>
    <x v="3"/>
    <s v="Q5AA-8PQC-7V98"/>
    <s v="Q5AA-8PQC-7V98"/>
    <s v="NA"/>
    <x v="1"/>
    <s v="JFL-Mohali-SCC-AP06"/>
    <s v="CW9162I"/>
    <s v="wireless-31-1-7"/>
    <m/>
    <s v="Non-Core"/>
    <s v="Closed"/>
    <x v="2"/>
    <s v="As discussed with Mr. Vijay over the call, a new electric generator is being installed at the site. For testing purposes, the power needs to be shut down, due to which the devices are going offline."/>
    <s v="Client side activity as they are installing new Electric generator so for testing they have shut the power and now they have restore the power and device is also up."/>
    <d v="2026-06-07T14:41:00"/>
    <d v="2026-06-07T16:32:00"/>
    <n v="111"/>
    <d v="2026-06-07T14:41:01"/>
    <n v="0.02"/>
    <n v="30"/>
    <s v="SLA Met"/>
    <d v="2026-06-07T14:49:44"/>
    <d v="2026-06-07T16:30:18"/>
    <n v="100.57"/>
    <n v="10.43"/>
    <n v="120"/>
    <s v="SLA Met"/>
    <m/>
    <n v="129600"/>
    <n v="129589.57"/>
    <n v="99.991952160493838"/>
    <n v="129499.43"/>
    <n v="99.922399691358024"/>
  </r>
  <r>
    <s v="Jubilant Foodworks Ltd (JFL)"/>
    <s v="Alert"/>
    <s v="Kartik Choudhary"/>
    <s v="PRO/INC/48471"/>
    <s v="aps went down"/>
    <s v="Meraki Managed Services"/>
    <s v="Software / Configuration"/>
    <x v="3"/>
    <s v="Q3KG-9RDD-U5HG"/>
    <s v="Q3KG-9RDD-U5HG"/>
    <s v="NA"/>
    <x v="1"/>
    <s v="JFL-Mohali-SCC-AP12"/>
    <s v="MR86"/>
    <s v="wireless-31-1-7"/>
    <m/>
    <s v="Non-Core"/>
    <s v="Closed"/>
    <x v="2"/>
    <s v="As discussed with Mr. Vijay over the call, a new electric generator is being installed at the site. For testing purposes, the power needs to be shut down, due to which the devices are going offline."/>
    <s v="Client side activity as they are installing new Electric generator so for testing they have shut the power and now they have restore the power and device is also up."/>
    <d v="2026-06-07T14:41:10"/>
    <d v="2026-06-07T16:32:00"/>
    <n v="110.83"/>
    <d v="2026-06-07T14:41:10"/>
    <n v="0"/>
    <n v="30"/>
    <s v="SLA Met"/>
    <d v="2026-06-07T14:50:10"/>
    <d v="2026-06-07T16:28:40"/>
    <n v="98.5"/>
    <n v="12.33"/>
    <n v="120"/>
    <s v="SLA Met"/>
    <m/>
    <n v="129600"/>
    <n v="129587.67"/>
    <n v="99.99048611111111"/>
    <n v="129501.5"/>
    <n v="99.923996913580254"/>
  </r>
  <r>
    <s v="Jubilant Foodworks Ltd (JFL)"/>
    <s v="Alert"/>
    <s v="Kartik Choudhary"/>
    <s v="PRO/INC/48472"/>
    <s v="aps went down"/>
    <s v="Meraki Managed Services"/>
    <s v="Software / Configuration"/>
    <x v="3"/>
    <s v="Q5AA-S8HG-F6YT"/>
    <s v="Q5AA-S8HG-F6YT"/>
    <s v="NA"/>
    <x v="1"/>
    <s v="JFL-Mohali-SCC-AP04"/>
    <s v="CW9162I"/>
    <s v="wireless-31-1-7"/>
    <m/>
    <s v="Non-Core"/>
    <s v="Closed"/>
    <x v="2"/>
    <s v="As discussed with Mr. Vijay over the call, a new electric generator is being installed at the site. For testing purposes, the power needs to be shut down, due to which the devices are going offline."/>
    <s v="Client side activity as they are installing new Electric generator so for testing they have shut the power and now they have restore the power and device is also up."/>
    <d v="2026-06-07T14:41:10"/>
    <d v="2026-06-07T16:32:00"/>
    <n v="110.83"/>
    <d v="2026-06-07T14:41:10"/>
    <n v="0"/>
    <n v="30"/>
    <s v="SLA Met"/>
    <d v="2026-06-07T14:49:57"/>
    <d v="2026-06-07T16:30:39"/>
    <n v="100.7"/>
    <n v="10.130000000000001"/>
    <n v="120"/>
    <s v="SLA Met"/>
    <m/>
    <n v="129600"/>
    <n v="129589.87"/>
    <n v="99.992183641975302"/>
    <n v="129499.3"/>
    <n v="99.922299382716048"/>
  </r>
  <r>
    <s v="Jubilant Foodworks Ltd (JFL)"/>
    <s v="Alert"/>
    <s v="Kartik Choudhary"/>
    <s v="PRO/INC/49255"/>
    <s v="Need to enable Port 7,8,9 and 10 on HEALTHCARE switch ------ Q2QW-EY63-C2SF"/>
    <s v="Meraki Managed Services"/>
    <s v="Change Request"/>
    <x v="0"/>
    <m/>
    <s v="Q2QW-EY63-C2SF"/>
    <s v="HEALTHCARE"/>
    <x v="0"/>
    <s v="HEALTHCARE"/>
    <s v="MS250-48FP"/>
    <s v="switch-17-2-2"/>
    <m/>
    <s v="P4"/>
    <s v="Closed"/>
    <x v="1"/>
    <m/>
    <s v="We enabled ports 7, 8, 9, and 10 under VLAN 9 on the Healthcare switch. After the changes were made, the customer connected the devices, and they successfully joined the network and are functioning as expected."/>
    <d v="2026-06-08T15:27:49"/>
    <d v="2026-06-08T15:38:00"/>
    <n v="10.18"/>
    <d v="2026-06-08T15:27:50"/>
    <n v="0.02"/>
    <n v="30"/>
    <s v="SLA Met"/>
    <m/>
    <m/>
    <n v="0"/>
    <n v="10.18"/>
    <n v="2880"/>
    <s v="SLA Met"/>
    <m/>
    <n v="129600"/>
    <n v="129589.82"/>
    <n v="99.992145061728394"/>
    <n v="129600"/>
    <n v="100"/>
  </r>
  <r>
    <s v="Jubilant Foodworks Ltd (JFL)"/>
    <s v="Alert"/>
    <s v="Aneesh P S"/>
    <s v="PRO/INC/49258"/>
    <s v="Need to enable vlan 9 on GF-ETP-SW 1 port 37"/>
    <s v="Meraki Managed Services"/>
    <s v="Change Request"/>
    <x v="0"/>
    <s v="Q2QW-CAJU-QVKD"/>
    <s v="Q2QW-CAJU-QVKD"/>
    <s v="GF-ETP"/>
    <x v="0"/>
    <s v="GF-ETP-SW1"/>
    <s v="MS250-48FP"/>
    <s v="switch-17-1-4"/>
    <m/>
    <s v="P4"/>
    <s v="Closed"/>
    <x v="1"/>
    <m/>
    <s v="need to add Vlan 9 on port 37 of switch -- added successfully and working fine"/>
    <d v="2026-06-08T16:27:40"/>
    <d v="2026-06-08T16:50:00"/>
    <n v="22.33"/>
    <d v="2026-06-08T16:27:41"/>
    <n v="0.02"/>
    <n v="30"/>
    <s v="SLA Met"/>
    <d v="2026-06-08T16:38:57"/>
    <d v="2026-06-08T16:39:03"/>
    <n v="0.1"/>
    <n v="22.23"/>
    <n v="2880"/>
    <s v="SLA Met"/>
    <m/>
    <n v="129600"/>
    <n v="129577.77"/>
    <n v="99.982847222222233"/>
    <n v="129599.9"/>
    <n v="99.999922839506169"/>
  </r>
  <r>
    <s v="Jubilant Foodworks Ltd (JFL)"/>
    <s v="Alert"/>
    <s v="Abhishek Satish Pawar"/>
    <s v="PRO/INC/49435"/>
    <s v="aps went down"/>
    <s v="Meraki Managed Services"/>
    <s v="Software / Configuration"/>
    <x v="4"/>
    <s v="Q5AA-LCK3-FDNW"/>
    <s v="Q5AA-LCK3-FDNW"/>
    <s v="NA"/>
    <x v="1"/>
    <s v="JFL-GNSC-AP37"/>
    <s v="CW9162I"/>
    <s v="wireless-31-1-7"/>
    <m/>
    <s v="Non-Core"/>
    <s v="Closed"/>
    <x v="0"/>
    <s v="Device power issue"/>
    <s v="Resolved"/>
    <d v="2026-06-09T14:17:37"/>
    <d v="2026-07-01T12:00:00"/>
    <n v="31542.38"/>
    <d v="2026-06-09T14:17:38"/>
    <n v="0.02"/>
    <n v="30"/>
    <s v="SLA Met"/>
    <d v="2026-06-09T15:00:25"/>
    <d v="2026-07-01T11:58:01"/>
    <n v="31497.599999999999"/>
    <n v="44.78"/>
    <n v="120"/>
    <s v="SLA Met"/>
    <m/>
    <n v="129600"/>
    <n v="129555.22"/>
    <n v="99.965447530864196"/>
    <n v="98102.399999999994"/>
    <n v="75.696296296296296"/>
  </r>
  <r>
    <s v="Jubilant Foodworks Ltd (JFL)"/>
    <s v="Alert"/>
    <s v="Abhishek Satish Pawar"/>
    <s v="PRO/INC/49441"/>
    <s v="aps went down"/>
    <s v="Meraki Managed Services"/>
    <s v="Software / Configuration"/>
    <x v="4"/>
    <s v="Q5AA-GHXM-TRTK"/>
    <s v="Q5AA-GHXM-TRTK"/>
    <s v="NA"/>
    <x v="1"/>
    <s v="JFL-GNSC-AP20"/>
    <s v="CW9162I"/>
    <s v="wireless-31-1-7"/>
    <m/>
    <s v="Non-Core"/>
    <s v="Closed"/>
    <x v="0"/>
    <s v="power issue"/>
    <s v="Resolved"/>
    <d v="2026-06-09T15:26:25"/>
    <d v="2026-06-24T12:00:00"/>
    <n v="21393.58"/>
    <d v="2026-06-09T15:26:26"/>
    <n v="0.02"/>
    <n v="30"/>
    <s v="SLA Met"/>
    <d v="2026-06-09T15:59:04"/>
    <d v="2026-06-24T11:52:44"/>
    <n v="21353.67"/>
    <n v="39.92"/>
    <n v="120"/>
    <s v="SLA Met"/>
    <m/>
    <n v="129600"/>
    <n v="129560.08"/>
    <n v="99.969197530864193"/>
    <n v="108246.33"/>
    <n v="83.523402777777775"/>
  </r>
  <r>
    <s v="Jubilant Foodworks Ltd (JFL)"/>
    <s v="Alert"/>
    <s v="Abhishek Satish Pawar"/>
    <s v="PRO/INC/49443"/>
    <s v="aps went down"/>
    <s v="Meraki Managed Services"/>
    <s v="Software / Configuration"/>
    <x v="4"/>
    <s v="Q3KG-JH9T-FL7Z"/>
    <s v="Q3KG-JH9T-FL7Z"/>
    <s v="NA"/>
    <x v="1"/>
    <s v="JFL-GNSC-AP48"/>
    <s v="MR86"/>
    <s v="wireless-31-1-7"/>
    <m/>
    <s v="Non-Core"/>
    <s v="Closed"/>
    <x v="0"/>
    <s v="power issue"/>
    <s v="Resolved"/>
    <d v="2026-06-09T15:35:57"/>
    <d v="2026-06-19T12:00:00"/>
    <n v="14184.05"/>
    <d v="2026-06-09T15:35:58"/>
    <n v="0.02"/>
    <n v="30"/>
    <s v="SLA Met"/>
    <d v="2026-06-09T16:05:08"/>
    <d v="2026-06-19T11:20:04"/>
    <n v="14114.93"/>
    <n v="69.12"/>
    <n v="120"/>
    <s v="SLA Met"/>
    <m/>
    <n v="129600"/>
    <n v="129530.88"/>
    <n v="99.946666666666673"/>
    <n v="115485.07"/>
    <n v="89.108850308641991"/>
  </r>
  <r>
    <s v="Jubilant Foodworks Ltd (JFL)"/>
    <s v="Alert"/>
    <s v="Abhishek Satish Pawar"/>
    <s v="PRO/INC/49447"/>
    <s v="aps went down"/>
    <s v="Meraki Managed Services"/>
    <s v="Software / Configuration"/>
    <x v="4"/>
    <s v="Q5AA-9N3T-MZGU"/>
    <s v="Q5AA-9N3T-MZGU"/>
    <s v="NA"/>
    <x v="1"/>
    <s v="JFL-GNSC-AP02"/>
    <s v="CW9162I"/>
    <s v="wireless-31-1-7"/>
    <m/>
    <s v="Non-Core"/>
    <s v="Closed"/>
    <x v="0"/>
    <s v="power issue"/>
    <s v="Resolved"/>
    <d v="2026-06-09T15:56:06"/>
    <d v="2026-06-12T12:00:00"/>
    <n v="4083.9"/>
    <d v="2026-06-09T15:56:07"/>
    <n v="0.02"/>
    <n v="30"/>
    <s v="SLA Met"/>
    <d v="2026-06-09T15:59:48"/>
    <d v="2026-06-12T11:00:03"/>
    <n v="4020.25"/>
    <n v="63.65"/>
    <n v="120"/>
    <s v="SLA Met"/>
    <m/>
    <n v="129600"/>
    <n v="129536.35"/>
    <n v="99.950887345679021"/>
    <n v="125579.75"/>
    <n v="96.897955246913583"/>
  </r>
  <r>
    <s v="Jubilant Foodworks Ltd (JFL)"/>
    <s v="Alert"/>
    <s v="Aneesh P S"/>
    <s v="PRO/INC/49450"/>
    <s v="power supply went down"/>
    <s v="Meraki Managed Services"/>
    <s v="Software / Configuration"/>
    <x v="1"/>
    <s v="Q5AA-RM28-C2R8"/>
    <s v="Q5AA-RM28-C2R8"/>
    <s v="NA"/>
    <x v="1"/>
    <s v="JFL-Guwahati-SSC-AP-03"/>
    <s v="CW9162I"/>
    <s v="MR 32.1.7"/>
    <m/>
    <s v="Non-Core"/>
    <s v="Closed"/>
    <x v="0"/>
    <s v="device Power Issue"/>
    <s v="Device Power issues"/>
    <d v="2026-06-09T15:57:16"/>
    <d v="2026-06-09T16:06:00"/>
    <n v="8.73"/>
    <d v="2026-06-09T15:57:16"/>
    <n v="0"/>
    <n v="30"/>
    <s v="SLA Met"/>
    <d v="2026-06-09T15:58:29"/>
    <d v="2026-06-09T16:01:18"/>
    <n v="2.82"/>
    <n v="5.92"/>
    <n v="120"/>
    <s v="SLA Met"/>
    <m/>
    <n v="129600"/>
    <n v="129594.08"/>
    <n v="99.995432098765434"/>
    <n v="129597.18"/>
    <n v="99.997824074074074"/>
  </r>
  <r>
    <s v="Jubilant Foodworks Ltd (JFL)"/>
    <s v="Alert"/>
    <s v="Abhishek Satish Pawar"/>
    <s v="PRO/INC/49451"/>
    <s v="aps went down"/>
    <s v="Meraki Managed Services"/>
    <s v="Software / Configuration"/>
    <x v="4"/>
    <s v="Q5AA-FTAU-94AS"/>
    <s v="Q5AA-FTAU-94AS"/>
    <s v="NO RACK "/>
    <x v="0"/>
    <n v="1"/>
    <e v="#N/A"/>
    <e v="#N/A"/>
    <m/>
    <s v="Non-Core"/>
    <s v="Closed"/>
    <x v="0"/>
    <s v="power issue"/>
    <s v="Resolved"/>
    <d v="2026-06-09T16:01:07"/>
    <d v="2026-06-12T12:00:00"/>
    <n v="4078.88"/>
    <d v="2026-06-09T16:01:08"/>
    <n v="0.02"/>
    <n v="30"/>
    <s v="SLA Met"/>
    <d v="2026-06-09T16:03:27"/>
    <d v="2026-06-12T11:02:06"/>
    <n v="4018.65"/>
    <n v="60.23"/>
    <n v="120"/>
    <s v="SLA Met"/>
    <m/>
    <n v="129600"/>
    <n v="129539.77"/>
    <n v="99.953526234567903"/>
    <n v="125581.35"/>
    <n v="96.899189814814818"/>
  </r>
  <r>
    <s v="Jubilant Foodworks Ltd (JFL)"/>
    <s v="Email"/>
    <s v="Kartik Choudhary"/>
    <s v="PRO/INC/49453"/>
    <s v="Add new AP at Greater Noida SCC"/>
    <s v="Meraki Managed Services"/>
    <s v="Change Request"/>
    <x v="4"/>
    <m/>
    <s v="Q5AA-FTAU-94AS"/>
    <s v="NO RACK "/>
    <x v="0"/>
    <n v="1"/>
    <e v="#N/A"/>
    <e v="#N/A"/>
    <m/>
    <s v="P4"/>
    <s v="Closed"/>
    <x v="1"/>
    <s v="New configuration(Add  new Device in N/w)"/>
    <s v="JFL-GNSC-AP72 was successfully claimed and connected to the Meraki Cloud, operating as expected. As the device is functioning properly, we will proceed with closing the case."/>
    <d v="2026-06-09T16:02:31"/>
    <d v="2026-06-15T15:30:00"/>
    <n v="8607.48"/>
    <d v="2026-06-09T16:02:31"/>
    <n v="0"/>
    <n v="30"/>
    <s v="SLA Met"/>
    <d v="2026-06-09T16:07:36"/>
    <d v="2026-06-15T15:27:05"/>
    <n v="8599.48"/>
    <n v="8"/>
    <n v="2880"/>
    <s v="SLA Met"/>
    <m/>
    <n v="129600"/>
    <n v="129592"/>
    <n v="99.993827160493836"/>
    <n v="121000.52"/>
    <n v="93.364598765432106"/>
  </r>
  <r>
    <s v="Jubilant Foodworks Ltd (JFL)"/>
    <s v="Alert"/>
    <s v="Abhishek Satish Pawar"/>
    <s v="PRO/INC/49456"/>
    <s v="aps went down"/>
    <s v="Meraki Managed Services"/>
    <s v="Software / Configuration"/>
    <x v="4"/>
    <s v="Q3KG-A9R2-ATYY"/>
    <s v="Q3KG-A9R2-ATYY"/>
    <s v="NA"/>
    <x v="1"/>
    <s v="JFL-GNSC-AP50"/>
    <s v="MR86"/>
    <s v="wireless-31-1-7"/>
    <m/>
    <s v="Non-Core"/>
    <s v="Closed"/>
    <x v="0"/>
    <s v="power issue"/>
    <s v="Resolved"/>
    <d v="2026-06-09T16:21:21"/>
    <d v="2026-06-19T12:00:00"/>
    <n v="14138.65"/>
    <d v="2026-06-09T16:21:22"/>
    <n v="0.02"/>
    <n v="30"/>
    <s v="SLA Met"/>
    <d v="2026-06-09T16:41:05"/>
    <d v="2026-06-19T11:17:37"/>
    <n v="14076.53"/>
    <n v="62.12"/>
    <n v="120"/>
    <s v="SLA Met"/>
    <m/>
    <n v="129600"/>
    <n v="129537.88"/>
    <n v="99.952067901234571"/>
    <n v="115523.47"/>
    <n v="89.138479938271615"/>
  </r>
  <r>
    <s v="Jubilant Foodworks Ltd (JFL)"/>
    <s v="Alert"/>
    <s v="Abhishek Satish Pawar"/>
    <s v="PRO/INC/49459"/>
    <s v="aps went down"/>
    <s v="Meraki Managed Services"/>
    <s v="Software / Configuration"/>
    <x v="4"/>
    <s v="Q5AA-LCK3-FDNW"/>
    <s v="Q5AA-LCK3-FDNW"/>
    <s v="NA"/>
    <x v="1"/>
    <s v="JFL-GNSC-AP37"/>
    <s v="CW9162I"/>
    <s v="wireless-31-1-7"/>
    <m/>
    <s v="Non-Core"/>
    <s v="Closed"/>
    <x v="0"/>
    <s v="power issue"/>
    <s v="Resolved"/>
    <d v="2026-06-09T16:43:41"/>
    <d v="2026-07-01T13:00:00"/>
    <n v="31456.32"/>
    <d v="2026-06-09T16:43:42"/>
    <n v="0.02"/>
    <n v="30"/>
    <s v="SLA Met"/>
    <d v="2026-06-09T17:02:21"/>
    <d v="2026-07-01T12:14:30"/>
    <n v="31392.15"/>
    <n v="64.17"/>
    <n v="120"/>
    <s v="SLA Met"/>
    <m/>
    <n v="129600"/>
    <n v="129535.83"/>
    <n v="99.950486111111118"/>
    <n v="98207.85"/>
    <n v="75.777662037037047"/>
  </r>
  <r>
    <s v="Jubilant Foodworks Ltd (JFL)"/>
    <s v="Email"/>
    <s v="Kartik Choudhary"/>
    <s v="PRO/INC/49652"/>
    <s v="Need to Configure the new at JFL GNSC Noida"/>
    <s v="Meraki Managed Services"/>
    <s v="Change Request"/>
    <x v="4"/>
    <m/>
    <s v="FOC2039V1JW"/>
    <s v="JFL-GNMC-LT-AC-SW"/>
    <x v="0"/>
    <s v="JFL-GNMC-LT-AC-SW-01"/>
    <s v="WS-C2960X-24PD-L"/>
    <s v="CISCO IOS 15.2(7)E13"/>
    <m/>
    <s v="P4"/>
    <s v="Closed"/>
    <x v="1"/>
    <s v="Schedule activity"/>
    <s v="We have successfully configured the new switch with serial number FOC2039V1JW, and the hostname has been configured as JFL-GNMC-LT-AC-SW-01. The hostname, management IP address on VLAN 1, and SSH access have been configured successfully. Additionally, all switch ports have been kept open as per your confirmation. As the requested activity has been completed successfully, we will proceed with closing this case."/>
    <d v="2026-06-10T13:06:24"/>
    <d v="2026-06-15T20:15:00"/>
    <n v="7628.6"/>
    <d v="2026-06-10T13:06:24"/>
    <n v="0"/>
    <n v="30"/>
    <s v="SLA Met"/>
    <d v="2026-06-10T17:03:47"/>
    <d v="2026-06-15T20:11:56"/>
    <n v="7388.15"/>
    <n v="240.45"/>
    <n v="2880"/>
    <s v="SLA Met"/>
    <m/>
    <n v="129600"/>
    <n v="129359.55"/>
    <n v="99.814467592592592"/>
    <n v="122211.85"/>
    <n v="94.299266975308655"/>
  </r>
  <r>
    <s v="Jubilant Foodworks Ltd (JFL)"/>
    <s v="Email"/>
    <s v="Dheerendra Maurya"/>
    <s v="PRO/INC/49653"/>
    <s v="Need to Configure the new switch at JFL GNSC NOida"/>
    <s v="Meraki Managed Services"/>
    <s v="Change Request"/>
    <x v="4"/>
    <m/>
    <s v="JIN2117106B"/>
    <s v="JFL-GNMC-EG-AC-SW"/>
    <x v="0"/>
    <s v="JFL-GNMC-EG-AC-SW-01"/>
    <s v="WS-C2960X-24PD-L"/>
    <s v="CISCO IOS 15.2(7)E13"/>
    <m/>
    <s v="P4"/>
    <s v="Closed"/>
    <x v="1"/>
    <s v="Schedule Activity"/>
    <s v="We have successfully configured the new switch with serial number JIN2117106B, and the hostname has been configured as JFL-GNMC-EG-AC-SW-01 The hostname, management IP address on VLAN 1, TACACS authentication and SSH access have been configured successfully. Additionally, all switch ports have been kept open as per your confirmation."/>
    <d v="2026-06-10T13:27:38"/>
    <d v="2026-06-17T12:24:00"/>
    <n v="10016.370000000001"/>
    <d v="2026-06-10T13:27:37"/>
    <n v="0"/>
    <n v="30"/>
    <s v="SLA Met"/>
    <d v="2026-06-10T17:03:38"/>
    <d v="2026-06-17T12:22:14"/>
    <n v="9798.6"/>
    <n v="217.77"/>
    <n v="2880"/>
    <s v="SLA Met"/>
    <m/>
    <n v="129600"/>
    <n v="129382.23"/>
    <n v="99.831967592592591"/>
    <n v="119801.4"/>
    <n v="92.439351851851853"/>
  </r>
  <r>
    <s v="Jubilant Foodworks Ltd (JFL)"/>
    <s v="Alert"/>
    <s v="Abhishek Satish Pawar"/>
    <s v="PRO/INC/49658"/>
    <s v="aps went down"/>
    <s v="Meraki Managed Services"/>
    <s v="Software / Configuration"/>
    <x v="4"/>
    <s v="Q5AA-JKR4-S9MX"/>
    <s v="Q5AA-JKR4-S9MX"/>
    <s v="NA"/>
    <x v="1"/>
    <s v="JFL-GNSC-AP24"/>
    <s v="CW9162I"/>
    <s v="wireless-31-1-7"/>
    <m/>
    <s v="Non-Core"/>
    <s v="Closed"/>
    <x v="0"/>
    <s v="power issue"/>
    <s v="Resolved"/>
    <d v="2026-06-10T17:33:43"/>
    <d v="2026-06-12T12:00:00"/>
    <n v="2546.2800000000002"/>
    <d v="2026-06-10T17:33:44"/>
    <n v="0.02"/>
    <n v="30"/>
    <s v="SLA Met"/>
    <d v="2026-06-10T17:36:58"/>
    <d v="2026-06-12T11:06:02"/>
    <n v="2489.0700000000002"/>
    <n v="57.22"/>
    <n v="120"/>
    <s v="SLA Met"/>
    <m/>
    <n v="129600"/>
    <n v="129542.78"/>
    <n v="99.955848765432094"/>
    <n v="127110.93"/>
    <n v="98.079421296296289"/>
  </r>
  <r>
    <s v="Jubilant Foodworks Ltd (JFL)"/>
    <s v="Alert"/>
    <s v="Abhishek Satish Pawar"/>
    <s v="PRO/INC/49659"/>
    <s v="aps went down"/>
    <s v="Meraki Managed Services"/>
    <s v="Software / Configuration"/>
    <x v="4"/>
    <s v="Q5AA-EZ6A-S56Y"/>
    <s v="Q5AA-EZ6A-S56Y"/>
    <s v="NA"/>
    <x v="1"/>
    <s v="JFL-GNSC-AP42"/>
    <s v="CW9162I"/>
    <s v="wireless-31-1-7"/>
    <m/>
    <s v="Non-Core"/>
    <s v="Closed"/>
    <x v="0"/>
    <s v="power issue"/>
    <s v="Resolved"/>
    <d v="2026-06-10T17:33:46"/>
    <d v="2026-06-12T12:00:00"/>
    <n v="2546.23"/>
    <d v="2026-06-10T17:33:47"/>
    <n v="0.02"/>
    <n v="30"/>
    <s v="SLA Met"/>
    <d v="2026-06-10T17:39:15"/>
    <d v="2026-06-12T11:08:52"/>
    <n v="2489.62"/>
    <n v="56.62"/>
    <n v="120"/>
    <s v="SLA Met"/>
    <m/>
    <n v="129600"/>
    <n v="129543.38"/>
    <n v="99.956311728395065"/>
    <n v="127110.38"/>
    <n v="98.078996913580255"/>
  </r>
  <r>
    <s v="Jubilant Foodworks Ltd (JFL)"/>
    <s v="Alert"/>
    <s v="Abhishek Satish Pawar"/>
    <s v="PRO/INC/49660"/>
    <s v="aps went down"/>
    <s v="Meraki Managed Services"/>
    <s v="Software / Configuration"/>
    <x v="4"/>
    <s v="Q5AA-XGDL-V7JB"/>
    <s v="Q5AA-XGDL-V7JB"/>
    <s v="NA"/>
    <x v="1"/>
    <s v="JFL-GNSC-AP54"/>
    <s v="CW9162I"/>
    <s v="wireless-31-1-7"/>
    <m/>
    <s v="Non-Core"/>
    <s v="Closed"/>
    <x v="0"/>
    <s v="power issue"/>
    <s v="Resolved"/>
    <d v="2026-06-10T17:33:46"/>
    <d v="2026-06-12T12:00:00"/>
    <n v="2546.23"/>
    <d v="2026-06-10T17:33:47"/>
    <n v="0.02"/>
    <n v="30"/>
    <s v="SLA Met"/>
    <d v="2026-06-10T17:38:08"/>
    <d v="2026-06-12T11:07:19"/>
    <n v="2489.1799999999998"/>
    <n v="57.05"/>
    <n v="120"/>
    <s v="SLA Met"/>
    <m/>
    <n v="129600"/>
    <n v="129542.95"/>
    <n v="99.955979938271597"/>
    <n v="127110.82"/>
    <n v="98.079336419753091"/>
  </r>
  <r>
    <s v="Jubilant Foodworks Ltd (JFL)"/>
    <s v="Alert"/>
    <s v="Arvind Kumar Arya"/>
    <s v="PRO/INC/49669"/>
    <s v="aps went down"/>
    <s v="Meraki Managed Services"/>
    <s v="Software / Configuration"/>
    <x v="4"/>
    <s v="Q3KG-JH9T-FL7Z"/>
    <s v="Q3KG-JH9T-FL7Z"/>
    <s v="NA"/>
    <x v="1"/>
    <s v="JFL-GNSC-AP48"/>
    <s v="MR86"/>
    <s v="wireless-31-1-7"/>
    <m/>
    <s v="Non-Core"/>
    <s v="Closed"/>
    <x v="8"/>
    <s v="Power issue on client side"/>
    <s v="after replacing the connectors , AP showing online on the dashboard"/>
    <d v="2026-06-10T23:01:03"/>
    <d v="2026-06-15T11:31:00"/>
    <n v="6509.95"/>
    <d v="2026-06-10T23:01:04"/>
    <n v="0.02"/>
    <n v="30"/>
    <s v="SLA Met"/>
    <d v="2026-06-10T23:09:41"/>
    <d v="2026-06-15T23:29:27"/>
    <n v="7219.77"/>
    <n v="-709.82"/>
    <n v="120"/>
    <s v="SLA Met"/>
    <m/>
    <n v="129600"/>
    <n v="130309.82"/>
    <n v="100.54770061728395"/>
    <n v="122380.23"/>
    <n v="94.429189814814805"/>
  </r>
  <r>
    <s v="Jubilant Foodworks Ltd (JFL)"/>
    <s v="Alert"/>
    <s v="Dheerendra Maurya"/>
    <s v="PRO/INC/49682"/>
    <s v="new dhcp server detected"/>
    <s v="Meraki Managed Services"/>
    <s v="Software / Configuration"/>
    <x v="2"/>
    <s v="Q5JG-TM9S-PLFP"/>
    <s v="Q5JG-TM9S-PLFP"/>
    <s v="RACK 2"/>
    <x v="0"/>
    <s v="JFL-NAG-SSC-SW02"/>
    <s v="C9300L-24P-4X"/>
    <s v="cs-17-2-2"/>
    <m/>
    <s v="Non-Core"/>
    <s v="Closed"/>
    <x v="3"/>
    <s v="Client Side Activity"/>
    <s v="New Dhcp server detected issue has been resolved .Now close the case"/>
    <d v="2026-06-11T09:10:01"/>
    <d v="2026-06-16T16:10:00"/>
    <n v="7619.98"/>
    <d v="2026-06-11T09:10:01"/>
    <n v="0"/>
    <n v="30"/>
    <s v="SLA Met"/>
    <d v="2026-06-11T09:14:05"/>
    <d v="2026-06-16T16:08:28"/>
    <n v="7614.38"/>
    <n v="5.6"/>
    <n v="120"/>
    <s v="SLA Met"/>
    <m/>
    <n v="129600"/>
    <n v="129594.4"/>
    <n v="99.995679012345676"/>
    <n v="121985.62"/>
    <n v="94.124706790123454"/>
  </r>
  <r>
    <s v="Jubilant Foodworks Ltd (JFL)"/>
    <s v="Alert"/>
    <s v="Dheerendra Maurya"/>
    <s v="PRO/INC/49684"/>
    <s v="new dhcp server detected"/>
    <s v="Meraki Managed Services"/>
    <s v="Software / Configuration"/>
    <x v="2"/>
    <s v="Q5JG-TM9S-PLFP"/>
    <s v="Q5JG-TM9S-PLFP"/>
    <s v="RACK 2"/>
    <x v="0"/>
    <s v="JFL-NAG-SSC-SW02"/>
    <s v="C9300L-24P-4X"/>
    <s v="cs-17-2-2"/>
    <m/>
    <s v="Non-Core"/>
    <s v="Closed"/>
    <x v="3"/>
    <s v="Client Side Activity"/>
    <s v="New Dhcp server detected issue has been resolved now close the case"/>
    <d v="2026-06-11T09:19:07"/>
    <d v="2026-06-16T16:08:00"/>
    <n v="7608.88"/>
    <d v="2026-06-11T09:19:08"/>
    <n v="0.02"/>
    <n v="30"/>
    <s v="SLA Met"/>
    <d v="2026-06-11T09:50:59"/>
    <d v="2026-06-16T16:05:24"/>
    <n v="7574.42"/>
    <n v="34.47"/>
    <n v="120"/>
    <s v="SLA Met"/>
    <m/>
    <n v="129600"/>
    <n v="129565.53"/>
    <n v="99.973402777777778"/>
    <n v="122025.58"/>
    <n v="94.155540123456788"/>
  </r>
  <r>
    <s v="Jubilant Foodworks Ltd (JFL)"/>
    <s v="Alert"/>
    <s v="Aneesh P S"/>
    <s v="PRO/INC/49707"/>
    <s v="aps went down"/>
    <s v="Meraki Managed Services"/>
    <s v="Software / Configuration"/>
    <x v="4"/>
    <s v="Q5AA-XGDL-V7JB"/>
    <s v="Q5AA-XGDL-V7JB"/>
    <s v="NA"/>
    <x v="1"/>
    <s v="JFL-GNSC-AP54"/>
    <s v="CW9162I"/>
    <s v="wireless-31-1-7"/>
    <m/>
    <s v="Non-Core"/>
    <s v="Closed"/>
    <x v="0"/>
    <s v="Device Power issues"/>
    <s v="Device Power issues"/>
    <d v="2026-06-11T10:28:48"/>
    <d v="2026-06-11T10:40:00"/>
    <n v="11.2"/>
    <d v="2026-06-11T10:28:49"/>
    <n v="0.02"/>
    <n v="30"/>
    <s v="SLA Met"/>
    <d v="2026-06-11T10:31:32"/>
    <d v="2026-06-11T10:38:35"/>
    <n v="7.05"/>
    <n v="4.1500000000000004"/>
    <n v="120"/>
    <s v="SLA Met"/>
    <m/>
    <n v="129600"/>
    <n v="129595.85"/>
    <n v="99.996797839506186"/>
    <n v="129592.95"/>
    <n v="99.994560185185193"/>
  </r>
  <r>
    <s v="Jubilant Foodworks Ltd (JFL)"/>
    <s v="Alert"/>
    <s v="Aneesh P S"/>
    <s v="PRO/INC/49709"/>
    <s v="aps went down"/>
    <s v="Meraki Managed Services"/>
    <s v="Software / Configuration"/>
    <x v="4"/>
    <s v="Q5AA-ASYH-AKEA"/>
    <s v="Q5AA-ASYH-AKEA"/>
    <s v="NA"/>
    <x v="1"/>
    <s v="JFL-GNSC-AP22"/>
    <s v="CW9162I"/>
    <s v="wireless-31-1-7"/>
    <m/>
    <s v="Non-Core"/>
    <s v="Closed"/>
    <x v="0"/>
    <s v="Device Power issues"/>
    <s v="Device Power issues"/>
    <d v="2026-06-11T10:28:53"/>
    <d v="2026-06-11T10:40:00"/>
    <n v="11.12"/>
    <d v="2026-06-11T10:28:54"/>
    <n v="0.02"/>
    <n v="30"/>
    <s v="SLA Met"/>
    <d v="2026-06-11T10:33:14"/>
    <d v="2026-06-11T10:35:34"/>
    <n v="2.33"/>
    <n v="8.7799999999999994"/>
    <n v="120"/>
    <s v="SLA Met"/>
    <m/>
    <n v="129600"/>
    <n v="129591.22"/>
    <n v="99.993225308641982"/>
    <n v="129597.67"/>
    <n v="99.998202160493818"/>
  </r>
  <r>
    <s v="Jubilant Foodworks Ltd (JFL)"/>
    <s v="Alert"/>
    <s v="Aneesh P S"/>
    <s v="PRO/INC/49733"/>
    <s v="aps went down"/>
    <s v="Meraki Managed Services"/>
    <s v="Software / Configuration"/>
    <x v="4"/>
    <s v="Q5AA-ASYH-AKEA"/>
    <s v="Q5AA-ASYH-AKEA"/>
    <s v="NA"/>
    <x v="1"/>
    <s v="JFL-GNSC-AP22"/>
    <s v="CW9162I"/>
    <s v="wireless-31-1-7"/>
    <m/>
    <s v="Non-Core"/>
    <s v="Closed"/>
    <x v="0"/>
    <s v="Device Power issues"/>
    <s v="Device Power issues"/>
    <d v="2026-06-11T10:43:07"/>
    <d v="2026-06-11T18:10:00"/>
    <n v="446.88"/>
    <d v="2026-06-11T10:43:08"/>
    <n v="0.02"/>
    <n v="30"/>
    <s v="SLA Met"/>
    <d v="2026-06-11T10:44:53"/>
    <d v="2026-06-11T18:08:05"/>
    <n v="443.2"/>
    <n v="3.68"/>
    <n v="120"/>
    <s v="SLA Met"/>
    <m/>
    <n v="129600"/>
    <n v="129596.32"/>
    <n v="99.997160493827167"/>
    <n v="129156.8"/>
    <n v="99.658024691358023"/>
  </r>
  <r>
    <s v="Jubilant Foodworks Ltd (JFL)"/>
    <s v="Alert"/>
    <s v="Abhishek Satish Pawar"/>
    <s v="PRO/INC/49775"/>
    <s v="aps went down"/>
    <s v="Meraki Managed Services"/>
    <s v="Software / Configuration"/>
    <x v="4"/>
    <s v="Q5AA-XGDL-V7JB"/>
    <s v="Q5AA-XGDL-V7JB"/>
    <s v="NA"/>
    <x v="1"/>
    <s v="JFL-GNSC-AP54"/>
    <s v="CW9162I"/>
    <s v="wireless-31-1-7"/>
    <m/>
    <s v="Non-Core"/>
    <s v="Closed"/>
    <x v="0"/>
    <s v="power issue"/>
    <s v="Resolved"/>
    <d v="2026-06-11T11:10:09"/>
    <d v="2026-06-12T12:00:00"/>
    <n v="1489.85"/>
    <d v="2026-06-11T11:10:11"/>
    <n v="0.03"/>
    <n v="30"/>
    <s v="SLA Met"/>
    <d v="2026-06-11T11:11:37"/>
    <d v="2026-06-12T11:09:59"/>
    <n v="1438.37"/>
    <n v="51.48"/>
    <n v="120"/>
    <s v="SLA Met"/>
    <m/>
    <n v="129600"/>
    <n v="129548.52"/>
    <n v="99.96027777777779"/>
    <n v="128161.63"/>
    <n v="98.89014660493828"/>
  </r>
  <r>
    <s v="Jubilant Foodworks Ltd (JFL)"/>
    <s v="Alert"/>
    <s v="Abhishek Satish Pawar"/>
    <s v="PRO/INC/49776"/>
    <s v="aps went down"/>
    <s v="Meraki Managed Services"/>
    <s v="Software / Configuration"/>
    <x v="4"/>
    <s v="Q5AA-ASYH-AKEA"/>
    <s v="Q5AA-ASYH-AKEA"/>
    <s v="NA"/>
    <x v="1"/>
    <s v="JFL-GNSC-AP22"/>
    <s v="CW9162I"/>
    <s v="wireless-31-1-7"/>
    <m/>
    <s v="Non-Core"/>
    <s v="Closed"/>
    <x v="0"/>
    <s v="power issue"/>
    <s v="Resolved"/>
    <d v="2026-06-11T11:10:09"/>
    <d v="2026-06-12T12:00:00"/>
    <n v="1489.85"/>
    <d v="2026-06-11T11:10:11"/>
    <n v="0.03"/>
    <n v="30"/>
    <s v="SLA Met"/>
    <d v="2026-06-11T11:13:06"/>
    <d v="2026-06-12T11:11:06"/>
    <n v="1438"/>
    <n v="51.85"/>
    <n v="120"/>
    <s v="SLA Met"/>
    <m/>
    <n v="129600"/>
    <n v="129548.15"/>
    <n v="99.959992283950612"/>
    <n v="128162"/>
    <n v="98.89043209876543"/>
  </r>
  <r>
    <s v="Jubilant Foodworks Ltd (JFL)"/>
    <s v="Email"/>
    <s v="Kartik Choudhary"/>
    <s v="PRO/INC/49834"/>
    <s v="Make one trunk port for AP72.- ----  FOC2218T3Z8"/>
    <s v="Meraki Managed Services"/>
    <s v="Change Request"/>
    <x v="4"/>
    <s v="FOC2218T3Z8"/>
    <s v="FOC2218T3Z8"/>
    <s v="JFL-GNMC-EG-AC-ST-01"/>
    <x v="0"/>
    <s v="JFL-GNMC-EG-AC-ST-01"/>
    <s v="C1-C2960X-24PD-L"/>
    <s v="CISCO IOS 15.2(7)E13"/>
    <m/>
    <s v="P4"/>
    <s v="Closed"/>
    <x v="1"/>
    <s v="Customer ask to schedule the meeting at 3:00 pm"/>
    <s v="Required changes has been done and AP is connected and working fine."/>
    <d v="2026-06-11T13:04:55"/>
    <d v="2026-06-12T18:38:00"/>
    <n v="1773.08"/>
    <d v="2026-06-11T13:04:54"/>
    <n v="0"/>
    <n v="30"/>
    <s v="SLA Met"/>
    <d v="2026-06-11T13:21:17"/>
    <d v="2026-06-12T18:33:56"/>
    <n v="1752.65"/>
    <n v="20.43"/>
    <n v="2880"/>
    <s v="SLA Met"/>
    <m/>
    <n v="129600"/>
    <n v="129579.57"/>
    <n v="99.984236111111116"/>
    <n v="127847.35"/>
    <n v="98.647646604938274"/>
  </r>
  <r>
    <s v="Jubilant Foodworks Ltd (JFL)"/>
    <s v="Alert"/>
    <s v="Abhishek Satish Pawar"/>
    <s v="PRO/INC/49835"/>
    <s v="aps went down"/>
    <s v="Meraki Managed Services"/>
    <s v="Software / Configuration"/>
    <x v="4"/>
    <s v="Q5AA-EZ6A-S56Y"/>
    <s v="Q5AA-EZ6A-S56Y"/>
    <s v="NA"/>
    <x v="1"/>
    <s v="JFL-GNSC-AP42"/>
    <s v="CW9162I"/>
    <s v="wireless-31-1-7"/>
    <m/>
    <s v="Non-Core"/>
    <s v="Closed"/>
    <x v="0"/>
    <s v="power issue"/>
    <s v="Resolved"/>
    <d v="2026-06-11T14:05:16"/>
    <d v="2026-06-12T12:00:00"/>
    <n v="1314.73"/>
    <d v="2026-06-11T14:05:17"/>
    <n v="0.02"/>
    <n v="30"/>
    <s v="SLA Met"/>
    <d v="2026-06-11T14:19:11"/>
    <d v="2026-06-12T11:12:33"/>
    <n v="1253.3699999999999"/>
    <n v="61.37"/>
    <n v="120"/>
    <s v="SLA Met"/>
    <m/>
    <n v="129600"/>
    <n v="129538.63"/>
    <n v="99.95264660493828"/>
    <n v="128346.63"/>
    <n v="99.03289351851852"/>
  </r>
  <r>
    <s v="Jubilant Foodworks Ltd (JFL)"/>
    <s v="Alert"/>
    <s v="Abhishek Satish Pawar"/>
    <s v="PRO/INC/49836"/>
    <s v="aps went down"/>
    <s v="Meraki Managed Services"/>
    <s v="Software / Configuration"/>
    <x v="4"/>
    <s v="Q5AA-XGDL-V7JB"/>
    <s v="Q5AA-XGDL-V7JB"/>
    <s v="NA"/>
    <x v="1"/>
    <s v="JFL-GNSC-AP54"/>
    <s v="CW9162I"/>
    <s v="wireless-31-1-7"/>
    <m/>
    <s v="Non-Core"/>
    <s v="Closed"/>
    <x v="0"/>
    <s v="power issue"/>
    <s v="Resolved"/>
    <d v="2026-06-11T14:05:26"/>
    <d v="2026-06-12T12:00:00"/>
    <n v="1314.57"/>
    <d v="2026-06-11T14:05:27"/>
    <n v="0.02"/>
    <n v="30"/>
    <s v="SLA Met"/>
    <d v="2026-06-11T14:20:23"/>
    <d v="2026-06-12T11:13:46"/>
    <n v="1253.3800000000001"/>
    <n v="61.18"/>
    <n v="120"/>
    <s v="SLA Met"/>
    <m/>
    <n v="129600"/>
    <n v="129538.82"/>
    <n v="99.952793209876546"/>
    <n v="128346.62"/>
    <n v="99.032885802469124"/>
  </r>
  <r>
    <s v="Jubilant Foodworks Ltd (JFL)"/>
    <s v="Email"/>
    <s v="Dheerendra Maurya"/>
    <s v="PRO/INC/49873"/>
    <s v="Remove port security below the switch  - FJC290222SV"/>
    <s v="Meraki Managed Services"/>
    <s v="Change Request"/>
    <x v="4"/>
    <m/>
    <s v="FJC290222SV"/>
    <s v="JFL-GNSC-TP-AC-SW-01"/>
    <x v="0"/>
    <s v="JFL-GNSC-TP-AC-SW-01"/>
    <s v="C9200CX-8P-2X2G"/>
    <s v="ios-xe 17.12.05"/>
    <m/>
    <s v="P4"/>
    <s v="Closed"/>
    <x v="1"/>
    <s v="changing request"/>
    <s v="I have removed the port security configuration on switch GNMC-TP-AC-SW-01, port number 4.Now i have close the case"/>
    <d v="2026-06-12T13:51:24"/>
    <d v="2026-06-15T15:55:00"/>
    <n v="4443.6000000000004"/>
    <d v="2026-06-12T13:51:24"/>
    <n v="0"/>
    <n v="30"/>
    <s v="SLA Met"/>
    <d v="2026-06-12T14:00:04"/>
    <d v="2026-06-15T15:45:38"/>
    <n v="4425.57"/>
    <n v="18.03"/>
    <n v="2880"/>
    <s v="SLA Met"/>
    <m/>
    <n v="129600"/>
    <n v="129581.97"/>
    <n v="99.986087962962969"/>
    <n v="125174.43"/>
    <n v="96.585208333333327"/>
  </r>
  <r>
    <s v="Jubilant Foodworks Ltd (JFL)"/>
    <s v="Alert"/>
    <s v="Arvind Kumar Arya"/>
    <s v="PRO/INC/49889"/>
    <s v="aps went down"/>
    <s v="Meraki Managed Services"/>
    <s v="Software / Configuration"/>
    <x v="4"/>
    <s v="Q3KG-JH9T-FL7Z"/>
    <s v="Q3KG-JH9T-FL7Z"/>
    <s v="NA"/>
    <x v="1"/>
    <s v="JFL-GNSC-AP48"/>
    <s v="MR86"/>
    <s v="wireless-31-1-7"/>
    <m/>
    <s v="Non-Core"/>
    <s v="Closed"/>
    <x v="8"/>
    <s v="Power issue on client side"/>
    <s v="after replacing the connectors , AP showing online on the dashboard"/>
    <d v="2026-06-13T00:37:15"/>
    <d v="2026-06-15T11:34:00"/>
    <n v="3536.75"/>
    <d v="2026-06-13T00:37:16"/>
    <n v="0.02"/>
    <n v="30"/>
    <s v="SLA Met"/>
    <d v="2026-06-13T00:58:09"/>
    <d v="2026-06-15T23:31:45"/>
    <n v="4233.6000000000004"/>
    <n v="-696.85"/>
    <n v="120"/>
    <s v="SLA Met"/>
    <m/>
    <n v="129600"/>
    <n v="130296.85"/>
    <n v="100.53769290123458"/>
    <n v="125366.39999999999"/>
    <n v="96.73333333333332"/>
  </r>
  <r>
    <s v="Jubilant Foodworks Ltd (JFL)"/>
    <s v="Alert"/>
    <s v="Arvind Kumar Arya"/>
    <s v="PRO/INC/49894"/>
    <s v="aps went down"/>
    <s v="Meraki Managed Services"/>
    <s v="Software / Configuration"/>
    <x v="4"/>
    <s v="Q3KG-JH9T-FL7Z"/>
    <s v="Q3KG-JH9T-FL7Z"/>
    <s v="NA"/>
    <x v="1"/>
    <s v="JFL-GNSC-AP48"/>
    <s v="MR86"/>
    <s v="wireless-31-1-7"/>
    <m/>
    <s v="Non-Core"/>
    <s v="Closed"/>
    <x v="0"/>
    <s v="Power issue on client side."/>
    <s v="power issue"/>
    <d v="2026-06-13T01:09:11"/>
    <d v="2026-06-15T11:35:00"/>
    <n v="3505.82"/>
    <d v="2026-06-13T01:09:12"/>
    <n v="0.02"/>
    <n v="30"/>
    <s v="SLA Met"/>
    <d v="2026-06-13T01:19:24"/>
    <d v="2026-06-15T23:33:43"/>
    <n v="4214.32"/>
    <n v="-708.5"/>
    <n v="120"/>
    <s v="SLA Met"/>
    <m/>
    <n v="129600"/>
    <n v="130308.5"/>
    <n v="100.54668209876543"/>
    <n v="125385.68"/>
    <n v="96.7482098765432"/>
  </r>
  <r>
    <s v="Jubilant Foodworks Ltd (JFL)"/>
    <s v="Alert"/>
    <s v="Arvind Kumar Arya"/>
    <s v="PRO/INC/49898"/>
    <s v="new dhcp server detected"/>
    <s v="Meraki Managed Services"/>
    <s v="Software / Configuration"/>
    <x v="2"/>
    <s v="Q5JJ-68KZ-MXAS"/>
    <s v="Q5JJ-68KZ-MXAS"/>
    <s v="RACK 1"/>
    <x v="0"/>
    <s v="JFL-NAG-SSC-SW01"/>
    <s v="C9300L-48P-4X"/>
    <s v="cs-17-2-2"/>
    <m/>
    <s v="Non-Core"/>
    <s v="Closed"/>
    <x v="2"/>
    <s v="client-side activity"/>
    <s v="client side activity"/>
    <d v="2026-06-13T04:55:12"/>
    <d v="2026-06-19T04:47:00"/>
    <n v="8631.7999999999993"/>
    <d v="2026-06-13T04:55:13"/>
    <n v="0.02"/>
    <n v="30"/>
    <s v="SLA Met"/>
    <d v="2026-06-13T04:57:48"/>
    <d v="2026-06-19T04:46:33"/>
    <n v="8628.75"/>
    <n v="3.05"/>
    <n v="120"/>
    <s v="SLA Met"/>
    <m/>
    <n v="129600"/>
    <n v="129596.95"/>
    <n v="99.997646604938268"/>
    <n v="120971.25"/>
    <n v="93.342013888888886"/>
  </r>
  <r>
    <s v="Jubilant Foodworks Ltd (JFL)"/>
    <s v="Alert"/>
    <s v="Jagadisha R"/>
    <s v="PRO/INC/49903"/>
    <s v="aps went down"/>
    <s v="Meraki Managed Services"/>
    <s v="Software / Configuration"/>
    <x v="4"/>
    <s v="Q5AA-63MW-78XL"/>
    <s v="Q5AA-63MW-78XL"/>
    <s v="NA"/>
    <x v="1"/>
    <s v="JFL-GNSC-AP08"/>
    <s v="CW9162I"/>
    <s v="wireless-31-1-7"/>
    <m/>
    <s v="Non-Core"/>
    <s v="Closed"/>
    <x v="2"/>
    <s v="IOS upgrade activity .."/>
    <s v="IOS graduation activity at customer site , now the device is online .."/>
    <d v="2026-06-13T06:06:54"/>
    <d v="2026-06-13T08:25:00"/>
    <n v="138.1"/>
    <d v="2026-06-13T06:06:55"/>
    <n v="0.02"/>
    <n v="30"/>
    <s v="SLA Met"/>
    <d v="2026-06-13T06:57:26"/>
    <d v="2026-06-13T08:18:26"/>
    <n v="81"/>
    <n v="57.1"/>
    <n v="120"/>
    <s v="SLA Met"/>
    <m/>
    <n v="129600"/>
    <n v="129542.9"/>
    <n v="99.955941358024688"/>
    <n v="129519"/>
    <n v="99.9375"/>
  </r>
  <r>
    <s v="Jubilant Foodworks Ltd (JFL)"/>
    <s v="Alert"/>
    <s v="Jagadisha R"/>
    <s v="PRO/INC/49905"/>
    <s v="aps went down"/>
    <s v="Meraki Managed Services"/>
    <s v="Software / Configuration"/>
    <x v="4"/>
    <s v="Q5AA-MRTL-AP9K"/>
    <s v="Q5AA-MRTL-AP9K"/>
    <s v="NA"/>
    <x v="1"/>
    <s v="JFL-GNSC-AP03"/>
    <s v="CW9162I"/>
    <s v="wireless-31-1-7"/>
    <m/>
    <s v="Non-Core"/>
    <s v="Closed"/>
    <x v="2"/>
    <s v="IOS upgrade activity .."/>
    <s v="IOS graduation activity at customer site , now the device is online .."/>
    <d v="2026-06-13T06:07:23"/>
    <d v="2026-06-13T08:25:00"/>
    <n v="137.62"/>
    <d v="2026-06-13T06:07:24"/>
    <n v="0.02"/>
    <n v="30"/>
    <s v="SLA Met"/>
    <d v="2026-06-13T06:59:49"/>
    <d v="2026-06-13T08:20:45"/>
    <n v="80.930000000000007"/>
    <n v="56.68"/>
    <n v="120"/>
    <s v="SLA Met"/>
    <m/>
    <n v="129600"/>
    <n v="129543.32"/>
    <n v="99.956265432098775"/>
    <n v="129519.07"/>
    <n v="99.937554012345686"/>
  </r>
  <r>
    <s v="Jubilant Foodworks Ltd (JFL)"/>
    <s v="Alert"/>
    <s v="Jagadisha R"/>
    <s v="PRO/INC/49907"/>
    <s v="aps went down"/>
    <s v="Meraki Managed Services"/>
    <s v="Software / Configuration"/>
    <x v="4"/>
    <s v="Q5AA-HV4L-P853"/>
    <s v="Q5AA-HV4L-P853"/>
    <s v="NA"/>
    <x v="1"/>
    <s v="JFL-GNSC-AP69"/>
    <s v="CW9162I"/>
    <s v="wireless-31-1-7"/>
    <m/>
    <s v="Non-Core"/>
    <s v="Closed"/>
    <x v="2"/>
    <m/>
    <s v="IOS graduation activity at customer site , now the device is online .."/>
    <d v="2026-06-13T06:07:43"/>
    <d v="2026-06-13T08:25:00"/>
    <n v="137.28"/>
    <d v="2026-06-13T06:07:43"/>
    <n v="0"/>
    <n v="30"/>
    <s v="SLA Met"/>
    <m/>
    <m/>
    <n v="0"/>
    <n v="137.28"/>
    <n v="120"/>
    <s v="SLA Breached"/>
    <m/>
    <n v="129600"/>
    <n v="129462.72"/>
    <n v="99.894074074074084"/>
    <n v="129600"/>
    <n v="100"/>
  </r>
  <r>
    <s v="Jubilant Foodworks Ltd (JFL)"/>
    <s v="Alert"/>
    <s v="Jagadisha R"/>
    <s v="PRO/INC/49909"/>
    <s v="aps went down"/>
    <s v="Meraki Managed Services"/>
    <s v="Software / Configuration"/>
    <x v="4"/>
    <s v="Q5AA-JPYJ-YC9M"/>
    <s v="Q5AA-JPYJ-YC9M"/>
    <s v="NA"/>
    <x v="1"/>
    <s v="JFL-GNSC-AP43"/>
    <s v="CW9162I"/>
    <s v="wireless-31-1-7"/>
    <m/>
    <s v="Non-Core"/>
    <s v="Closed"/>
    <x v="2"/>
    <m/>
    <s v="IOS graduation activity at customer site , now the device is online .."/>
    <d v="2026-06-13T06:08:02"/>
    <d v="2026-06-13T08:26:00"/>
    <n v="137.97"/>
    <d v="2026-06-13T06:08:03"/>
    <n v="0.02"/>
    <n v="30"/>
    <s v="SLA Met"/>
    <m/>
    <m/>
    <n v="0"/>
    <n v="137.97"/>
    <n v="120"/>
    <s v="SLA Breached"/>
    <m/>
    <n v="129600"/>
    <n v="129462.03"/>
    <n v="99.893541666666664"/>
    <n v="129600"/>
    <n v="100"/>
  </r>
  <r>
    <s v="Jubilant Foodworks Ltd (JFL)"/>
    <s v="Alert"/>
    <s v="Jagadisha R"/>
    <s v="PRO/INC/49910"/>
    <s v="aps went down"/>
    <s v="Meraki Managed Services"/>
    <s v="Software / Configuration"/>
    <x v="4"/>
    <s v="Q5AA-XDV9-FKTX"/>
    <s v="Q5AA-XDV9-FKTX"/>
    <s v="NA"/>
    <x v="1"/>
    <s v="JFL-GNSC-AP71"/>
    <s v="CW9162I"/>
    <s v="wireless-31-1-7"/>
    <m/>
    <s v="Non-Core"/>
    <s v="Closed"/>
    <x v="2"/>
    <m/>
    <s v="IOS graduation activity at customer site , now the device is online .."/>
    <d v="2026-06-13T06:08:13"/>
    <d v="2026-06-13T08:29:39"/>
    <n v="141.43"/>
    <d v="2026-06-13T06:08:14"/>
    <n v="0.02"/>
    <n v="30"/>
    <s v="SLA Met"/>
    <m/>
    <m/>
    <n v="0"/>
    <n v="141.43"/>
    <n v="120"/>
    <s v="SLA Breached"/>
    <m/>
    <n v="129600"/>
    <n v="129458.57"/>
    <n v="99.890871913580241"/>
    <n v="129600"/>
    <n v="100"/>
  </r>
  <r>
    <s v="Jubilant Foodworks Ltd (JFL)"/>
    <s v="Alert"/>
    <s v="Jagadisha R"/>
    <s v="PRO/INC/49911"/>
    <s v="aps went down"/>
    <s v="Meraki Managed Services"/>
    <s v="Software / Configuration"/>
    <x v="4"/>
    <s v="Q5AA-3BVV-VQUU"/>
    <s v="Q5AA-3BVV-VQUU"/>
    <s v="NA"/>
    <x v="1"/>
    <s v="JFL-GNSC-AP18"/>
    <s v="CW9162I"/>
    <s v="wireless-31-1-7"/>
    <m/>
    <s v="Non-Core"/>
    <s v="Closed"/>
    <x v="2"/>
    <m/>
    <s v="IOS graduation activity at customer site , now the device is online .."/>
    <d v="2026-06-13T06:08:13"/>
    <d v="2026-06-13T08:31:18"/>
    <n v="143.08000000000001"/>
    <d v="2026-06-13T06:08:14"/>
    <n v="0.02"/>
    <n v="30"/>
    <s v="SLA Met"/>
    <m/>
    <m/>
    <n v="0"/>
    <n v="143.08000000000001"/>
    <n v="120"/>
    <s v="SLA Breached"/>
    <m/>
    <n v="129600"/>
    <n v="129456.92"/>
    <n v="99.889598765432098"/>
    <n v="129600"/>
    <n v="100"/>
  </r>
  <r>
    <s v="Jubilant Foodworks Ltd (JFL)"/>
    <s v="Alert"/>
    <s v="Jagadisha R"/>
    <s v="PRO/INC/49913"/>
    <s v="aps went down"/>
    <s v="Meraki Managed Services"/>
    <s v="Software / Configuration"/>
    <x v="4"/>
    <s v="Q5AA-GHXM-TRTK"/>
    <s v="Q5AA-GHXM-TRTK"/>
    <s v="NA"/>
    <x v="1"/>
    <s v="JFL-GNSC-AP20"/>
    <s v="CW9162I"/>
    <s v="wireless-31-1-7"/>
    <m/>
    <s v="Non-Core"/>
    <s v="Closed"/>
    <x v="2"/>
    <m/>
    <s v="IOS graduation activity at customer site , now the device is online .."/>
    <d v="2026-06-13T06:08:23"/>
    <d v="2026-06-13T08:37:16"/>
    <n v="148.88"/>
    <d v="2026-06-13T06:08:24"/>
    <n v="0.02"/>
    <n v="30"/>
    <s v="SLA Met"/>
    <m/>
    <m/>
    <n v="0"/>
    <n v="148.88"/>
    <n v="120"/>
    <s v="SLA Breached"/>
    <m/>
    <n v="129600"/>
    <n v="129451.12"/>
    <n v="99.885123456790112"/>
    <n v="129600"/>
    <n v="100"/>
  </r>
  <r>
    <s v="Jubilant Foodworks Ltd (JFL)"/>
    <s v="Alert"/>
    <s v="Jagadisha R"/>
    <s v="PRO/INC/49916"/>
    <s v="aps went down"/>
    <s v="Meraki Managed Services"/>
    <s v="Software / Configuration"/>
    <x v="4"/>
    <s v="Q3MV-6XWK-TVUP"/>
    <s v="Q3MV-6XWK-TVUP"/>
    <s v="NO RACK "/>
    <x v="0"/>
    <n v="1"/>
    <e v="#N/A"/>
    <e v="#N/A"/>
    <m/>
    <s v="Non-Core"/>
    <s v="Closed"/>
    <x v="2"/>
    <m/>
    <s v="IOS graduation activity at customer site , now the device is online .."/>
    <d v="2026-06-13T06:08:33"/>
    <d v="2026-06-13T08:36:00"/>
    <n v="147.44999999999999"/>
    <d v="2026-06-13T06:08:35"/>
    <n v="0.03"/>
    <n v="30"/>
    <s v="SLA Met"/>
    <m/>
    <m/>
    <n v="0"/>
    <n v="147.44999999999999"/>
    <n v="120"/>
    <s v="SLA Breached"/>
    <m/>
    <n v="129600"/>
    <n v="129452.55"/>
    <n v="99.886226851851859"/>
    <n v="129600"/>
    <n v="100"/>
  </r>
  <r>
    <s v="Jubilant Foodworks Ltd (JFL)"/>
    <s v="Alert"/>
    <s v="Jagadisha R"/>
    <s v="PRO/INC/49917"/>
    <s v="aps went down"/>
    <s v="Meraki Managed Services"/>
    <s v="Software / Configuration"/>
    <x v="4"/>
    <s v="Q5AA-FRBE-94N5"/>
    <s v="Q5AA-FRBE-94N5"/>
    <s v="NA"/>
    <x v="1"/>
    <s v="JFL-GNSC-AP27"/>
    <s v="CW9162I"/>
    <s v="wireless-31-1-7"/>
    <m/>
    <s v="Non-Core"/>
    <s v="Closed"/>
    <x v="2"/>
    <m/>
    <s v="IOS graduation activity at customer site , now the device is online .."/>
    <d v="2026-06-13T06:08:43"/>
    <d v="2026-06-13T08:36:00"/>
    <n v="147.28"/>
    <d v="2026-06-13T06:08:44"/>
    <n v="0.02"/>
    <n v="30"/>
    <s v="SLA Met"/>
    <m/>
    <m/>
    <n v="0"/>
    <n v="147.28"/>
    <n v="120"/>
    <s v="SLA Breached"/>
    <m/>
    <n v="129600"/>
    <n v="129452.72"/>
    <n v="99.886358024691361"/>
    <n v="129600"/>
    <n v="100"/>
  </r>
  <r>
    <s v="Jubilant Foodworks Ltd (JFL)"/>
    <s v="Alert"/>
    <s v="Jagadisha R"/>
    <s v="PRO/INC/49922"/>
    <s v="aps went down"/>
    <s v="Meraki Managed Services"/>
    <s v="Software / Configuration"/>
    <x v="4"/>
    <s v="Q5AA-GJ47-DK5X"/>
    <s v="Q5AA-GJ47-DK5X"/>
    <s v="NA"/>
    <x v="1"/>
    <s v="JFL-GNSC-AP28"/>
    <s v="CW9162I"/>
    <s v="wireless-31-1-7"/>
    <m/>
    <s v="Non-Core"/>
    <s v="Closed"/>
    <x v="2"/>
    <m/>
    <s v="IOS graduation activity at customer site , now the device is online .."/>
    <d v="2026-06-13T06:09:03"/>
    <d v="2026-06-13T08:37:23"/>
    <n v="148.33000000000001"/>
    <d v="2026-06-13T06:09:04"/>
    <n v="0.02"/>
    <n v="30"/>
    <s v="SLA Met"/>
    <m/>
    <m/>
    <n v="0"/>
    <n v="148.33000000000001"/>
    <n v="120"/>
    <s v="SLA Breached"/>
    <m/>
    <n v="129600"/>
    <n v="129451.67"/>
    <n v="99.885547839506174"/>
    <n v="129600"/>
    <n v="100"/>
  </r>
  <r>
    <s v="Jubilant Foodworks Ltd (JFL)"/>
    <s v="Alert"/>
    <s v="Jagadisha R"/>
    <s v="PRO/INC/49926"/>
    <s v="aps went down"/>
    <s v="Meraki Managed Services"/>
    <s v="Software / Configuration"/>
    <x v="4"/>
    <s v="Q5AA-94E5-2UFU"/>
    <s v="Q5AA-94E5-2UFU"/>
    <s v="NA"/>
    <x v="1"/>
    <s v="JFL-GNSC-AP44"/>
    <s v="CW9162I"/>
    <s v="wireless-31-1-7"/>
    <m/>
    <s v="Non-Core"/>
    <s v="Closed"/>
    <x v="2"/>
    <m/>
    <s v="IOS graduation activity at customer site , now the device is online .."/>
    <d v="2026-06-13T06:09:23"/>
    <d v="2026-06-13T08:39:47"/>
    <n v="150.4"/>
    <d v="2026-06-13T06:09:25"/>
    <n v="0.03"/>
    <n v="30"/>
    <s v="SLA Met"/>
    <m/>
    <m/>
    <n v="0"/>
    <n v="150.4"/>
    <n v="120"/>
    <s v="SLA Breached"/>
    <m/>
    <n v="129600"/>
    <n v="129449.60000000001"/>
    <n v="99.883950617283958"/>
    <n v="129600"/>
    <n v="100"/>
  </r>
  <r>
    <s v="Jubilant Foodworks Ltd (JFL)"/>
    <s v="Alert"/>
    <s v="Jagadisha R"/>
    <s v="PRO/INC/49928"/>
    <s v="aps went down"/>
    <s v="Meraki Managed Services"/>
    <s v="Software / Configuration"/>
    <x v="4"/>
    <s v="Q5AA-Y9EX-GL7E"/>
    <s v="Q5AA-Y9EX-GL7E"/>
    <s v="NA"/>
    <x v="1"/>
    <s v="JFL-GNSC-AP14"/>
    <s v="CW9162I"/>
    <s v="wireless-31-1-7"/>
    <m/>
    <s v="Non-Core"/>
    <s v="Closed"/>
    <x v="2"/>
    <m/>
    <s v="IOS graduation activity at customer site , now the device is online .."/>
    <d v="2026-06-13T06:09:34"/>
    <d v="2026-06-13T08:40:00"/>
    <n v="150.43"/>
    <d v="2026-06-13T06:09:35"/>
    <n v="0.02"/>
    <n v="30"/>
    <s v="SLA Met"/>
    <m/>
    <m/>
    <n v="0"/>
    <n v="150.43"/>
    <n v="120"/>
    <s v="SLA Breached"/>
    <m/>
    <n v="129600"/>
    <n v="129449.57"/>
    <n v="99.883927469135799"/>
    <n v="129600"/>
    <n v="100"/>
  </r>
  <r>
    <s v="Jubilant Foodworks Ltd (JFL)"/>
    <s v="Alert"/>
    <s v="Jagadisha R"/>
    <s v="PRO/INC/49931"/>
    <s v="aps went down"/>
    <s v="Meraki Managed Services"/>
    <s v="Software / Configuration"/>
    <x v="4"/>
    <s v="Q5AA-V3B6-RSQX"/>
    <s v="Q5AA-V3B6-RSQX"/>
    <s v="NA"/>
    <x v="1"/>
    <s v="JFL-GNSC-AP31"/>
    <s v="CW9162I"/>
    <s v="wireless-31-1-7"/>
    <m/>
    <s v="Non-Core"/>
    <s v="Closed"/>
    <x v="2"/>
    <m/>
    <s v="IOS graduation activity at customer site , now the device is online .."/>
    <d v="2026-06-13T06:09:43"/>
    <d v="2026-06-13T08:42:58"/>
    <n v="153.25"/>
    <d v="2026-06-13T06:09:44"/>
    <n v="0.02"/>
    <n v="30"/>
    <s v="SLA Met"/>
    <m/>
    <m/>
    <n v="0"/>
    <n v="153.25"/>
    <n v="120"/>
    <s v="SLA Breached"/>
    <m/>
    <n v="129600"/>
    <n v="129446.75"/>
    <n v="99.881751543209873"/>
    <n v="129600"/>
    <n v="100"/>
  </r>
  <r>
    <s v="Jubilant Foodworks Ltd (JFL)"/>
    <s v="Alert"/>
    <s v="Jagadisha R"/>
    <s v="PRO/INC/49932"/>
    <s v="aps went down"/>
    <s v="Meraki Managed Services"/>
    <s v="Software / Configuration"/>
    <x v="4"/>
    <s v="Q5AA-LCK3-FDNW"/>
    <s v="Q5AA-LCK3-FDNW"/>
    <s v="NA"/>
    <x v="1"/>
    <s v="JFL-GNSC-AP37"/>
    <s v="CW9162I"/>
    <s v="wireless-31-1-7"/>
    <m/>
    <s v="Non-Core"/>
    <s v="Closed"/>
    <x v="2"/>
    <m/>
    <s v="IOS graduation activity at customer site , now the device is online .."/>
    <d v="2026-06-13T06:09:44"/>
    <d v="2026-06-13T08:45:10"/>
    <n v="155.43"/>
    <d v="2026-06-13T06:09:45"/>
    <n v="0.02"/>
    <n v="30"/>
    <s v="SLA Met"/>
    <m/>
    <m/>
    <n v="0"/>
    <n v="155.43"/>
    <n v="120"/>
    <s v="SLA Breached"/>
    <m/>
    <n v="129600"/>
    <n v="129444.57"/>
    <n v="99.880069444444459"/>
    <n v="129600"/>
    <n v="100"/>
  </r>
  <r>
    <s v="Jubilant Foodworks Ltd (JFL)"/>
    <s v="Alert"/>
    <s v="Jagadisha R"/>
    <s v="PRO/INC/49935"/>
    <s v="aps went down"/>
    <s v="Meraki Managed Services"/>
    <s v="Software / Configuration"/>
    <x v="4"/>
    <s v="Q5AA-ASYH-AKEA"/>
    <s v="Q5AA-ASYH-AKEA"/>
    <s v="NA"/>
    <x v="1"/>
    <s v="JFL-GNSC-AP22"/>
    <s v="CW9162I"/>
    <s v="wireless-31-1-7"/>
    <m/>
    <s v="Non-Core"/>
    <s v="Closed"/>
    <x v="2"/>
    <m/>
    <s v="IOS graduation activity at customer site , now the device is online .."/>
    <d v="2026-06-13T06:09:54"/>
    <d v="2026-06-13T08:48:20"/>
    <n v="158.43"/>
    <d v="2026-06-13T06:09:54"/>
    <n v="0"/>
    <n v="30"/>
    <s v="SLA Met"/>
    <m/>
    <m/>
    <n v="0"/>
    <n v="158.43"/>
    <n v="120"/>
    <s v="SLA Breached"/>
    <m/>
    <n v="129600"/>
    <n v="129441.57"/>
    <n v="99.877754629629635"/>
    <n v="129600"/>
    <n v="100"/>
  </r>
  <r>
    <s v="Jubilant Foodworks Ltd (JFL)"/>
    <s v="Alert"/>
    <s v="Jagadisha R"/>
    <s v="PRO/INC/49934"/>
    <s v="aps went down"/>
    <s v="Meraki Managed Services"/>
    <s v="Software / Configuration"/>
    <x v="4"/>
    <s v="Q5AA-XGDL-V7JB"/>
    <s v="Q5AA-XGDL-V7JB"/>
    <s v="NA"/>
    <x v="1"/>
    <s v="JFL-GNSC-AP54"/>
    <s v="CW9162I"/>
    <s v="wireless-31-1-7"/>
    <m/>
    <s v="Non-Core"/>
    <s v="Closed"/>
    <x v="2"/>
    <m/>
    <s v="IOS graduation activity at customer site , now the device is online .."/>
    <d v="2026-06-13T06:09:54"/>
    <d v="2026-06-13T08:50:16"/>
    <n v="160.37"/>
    <d v="2026-06-13T06:09:55"/>
    <n v="0.02"/>
    <n v="30"/>
    <s v="SLA Met"/>
    <m/>
    <m/>
    <n v="0"/>
    <n v="160.37"/>
    <n v="120"/>
    <s v="SLA Breached"/>
    <m/>
    <n v="129600"/>
    <n v="129439.63"/>
    <n v="99.876257716049395"/>
    <n v="129600"/>
    <n v="100"/>
  </r>
  <r>
    <s v="Jubilant Foodworks Ltd (JFL)"/>
    <s v="Alert"/>
    <s v="Jagadisha R"/>
    <s v="PRO/INC/49938"/>
    <s v="aps went down"/>
    <s v="Meraki Managed Services"/>
    <s v="Software / Configuration"/>
    <x v="4"/>
    <s v="Q5AA-DEJD-R4N5"/>
    <s v="Q5AA-DEJD-R4N5"/>
    <s v="NA"/>
    <x v="1"/>
    <s v="JFL-GNSC-AP67"/>
    <s v="CW9162I"/>
    <s v="wireless-31-1-7"/>
    <m/>
    <s v="Non-Core"/>
    <s v="Closed"/>
    <x v="2"/>
    <m/>
    <s v="IOS graduation activity at customer site , now the device is online .."/>
    <d v="2026-06-13T06:10:04"/>
    <d v="2026-06-13T08:55:34"/>
    <n v="165.5"/>
    <d v="2026-06-13T06:10:06"/>
    <n v="0.03"/>
    <n v="30"/>
    <s v="SLA Met"/>
    <m/>
    <m/>
    <n v="0"/>
    <n v="165.5"/>
    <n v="120"/>
    <s v="SLA Breached"/>
    <m/>
    <n v="129600"/>
    <n v="129434.5"/>
    <n v="99.872299382716051"/>
    <n v="129600"/>
    <n v="100"/>
  </r>
  <r>
    <s v="Jubilant Foodworks Ltd (JFL)"/>
    <s v="Alert"/>
    <s v="Jagadisha R"/>
    <s v="PRO/INC/49937"/>
    <s v="aps went down"/>
    <s v="Meraki Managed Services"/>
    <s v="Software / Configuration"/>
    <x v="4"/>
    <s v="Q5AA-SKZM-8VYM"/>
    <s v="Q5AA-SKZM-8VYM"/>
    <s v="NA"/>
    <x v="1"/>
    <s v="JFL-GNSC-AP38"/>
    <s v="CW9162I"/>
    <s v="wireless-31-1-7"/>
    <m/>
    <s v="Non-Core"/>
    <s v="Closed"/>
    <x v="2"/>
    <m/>
    <s v="IOS graduation activity at customer site , now the device is online .."/>
    <d v="2026-06-13T06:10:04"/>
    <d v="2026-06-13T08:52:11"/>
    <n v="162.12"/>
    <d v="2026-06-13T06:10:06"/>
    <n v="0.03"/>
    <n v="30"/>
    <s v="SLA Met"/>
    <m/>
    <m/>
    <n v="0"/>
    <n v="162.12"/>
    <n v="120"/>
    <s v="SLA Breached"/>
    <m/>
    <n v="129600"/>
    <n v="129437.88"/>
    <n v="99.874907407407406"/>
    <n v="129600"/>
    <n v="100"/>
  </r>
  <r>
    <s v="Jubilant Foodworks Ltd (JFL)"/>
    <s v="Alert"/>
    <s v="Jagadisha R"/>
    <s v="PRO/INC/49942"/>
    <s v="aps went down"/>
    <s v="Meraki Managed Services"/>
    <s v="Software / Configuration"/>
    <x v="4"/>
    <s v="Q5AA-JKR4-S9MX"/>
    <s v="Q5AA-JKR4-S9MX"/>
    <s v="NA"/>
    <x v="1"/>
    <s v="JFL-GNSC-AP24"/>
    <s v="CW9162I"/>
    <s v="wireless-31-1-7"/>
    <m/>
    <s v="Non-Core"/>
    <s v="Closed"/>
    <x v="2"/>
    <m/>
    <s v="IOS graduation activity at customer site , now the device is online .."/>
    <d v="2026-06-13T06:10:15"/>
    <d v="2026-06-13T08:57:00"/>
    <n v="166.75"/>
    <d v="2026-06-13T06:10:15"/>
    <n v="0"/>
    <n v="30"/>
    <s v="SLA Met"/>
    <m/>
    <m/>
    <n v="0"/>
    <n v="166.75"/>
    <n v="120"/>
    <s v="SLA Breached"/>
    <m/>
    <n v="129600"/>
    <n v="129433.25"/>
    <n v="99.871334876543202"/>
    <n v="129600"/>
    <n v="100"/>
  </r>
  <r>
    <s v="Jubilant Foodworks Ltd (JFL)"/>
    <s v="Alert"/>
    <s v="Jagadisha R"/>
    <s v="PRO/INC/49941"/>
    <s v="aps went down"/>
    <s v="Meraki Managed Services"/>
    <s v="Software / Configuration"/>
    <x v="4"/>
    <s v="Q5AA-JYZN-6KKB"/>
    <s v="Q5AA-JYZN-6KKB"/>
    <s v="NA"/>
    <x v="1"/>
    <s v="JFL-GNSC-AP66"/>
    <s v="CW9162I"/>
    <s v="wireless-31-1-7"/>
    <m/>
    <s v="Non-Core"/>
    <s v="Closed"/>
    <x v="2"/>
    <m/>
    <s v="IOS graduation activity at customer site , now the device is online .."/>
    <d v="2026-06-13T06:10:15"/>
    <d v="2026-06-13T09:00:04"/>
    <n v="169.82"/>
    <d v="2026-06-13T06:10:15"/>
    <n v="0"/>
    <n v="30"/>
    <s v="SLA Met"/>
    <m/>
    <m/>
    <n v="0"/>
    <n v="169.82"/>
    <n v="120"/>
    <s v="SLA Breached"/>
    <m/>
    <n v="129600"/>
    <n v="129430.18"/>
    <n v="99.868966049382706"/>
    <n v="129600"/>
    <n v="100"/>
  </r>
  <r>
    <s v="Jubilant Foodworks Ltd (JFL)"/>
    <s v="Alert"/>
    <s v="Jagadisha R"/>
    <s v="PRO/INC/49943"/>
    <s v="aps went down"/>
    <s v="Meraki Managed Services"/>
    <s v="Software / Configuration"/>
    <x v="4"/>
    <s v="Q5AA-TSZZ-HUFQ"/>
    <s v="Q5AA-TSZZ-HUFQ"/>
    <s v="NA"/>
    <x v="1"/>
    <s v="JFL-GNSC-AP34"/>
    <s v="CW9162I"/>
    <s v="wireless-31-1-7"/>
    <m/>
    <s v="Non-Core"/>
    <s v="Closed"/>
    <x v="2"/>
    <m/>
    <s v="IOS graduation activity at customer site , now the device is online .."/>
    <d v="2026-06-13T06:10:15"/>
    <d v="2026-06-13T09:00:57"/>
    <n v="170.7"/>
    <d v="2026-06-13T06:10:16"/>
    <n v="0.02"/>
    <n v="30"/>
    <s v="SLA Met"/>
    <m/>
    <m/>
    <n v="0"/>
    <n v="170.7"/>
    <n v="120"/>
    <s v="SLA Breached"/>
    <m/>
    <n v="129600"/>
    <n v="129429.3"/>
    <n v="99.868287037037035"/>
    <n v="129600"/>
    <n v="100"/>
  </r>
  <r>
    <s v="Jubilant Foodworks Ltd (JFL)"/>
    <s v="Alert"/>
    <s v="Jagadisha R"/>
    <s v="PRO/INC/49946"/>
    <s v="aps went down"/>
    <s v="Meraki Managed Services"/>
    <s v="Software / Configuration"/>
    <x v="4"/>
    <s v="Q5AA-YF4N-2L5P"/>
    <s v="Q5AA-YF4N-2L5P"/>
    <s v="NA"/>
    <x v="1"/>
    <s v="JFL-GNSC-AP40"/>
    <s v="CW9162I"/>
    <s v="wireless-31-1-7"/>
    <m/>
    <s v="Non-Core"/>
    <s v="Closed"/>
    <x v="2"/>
    <m/>
    <s v="IOS graduation activity at customer site , now the device is online .."/>
    <d v="2026-06-13T06:10:25"/>
    <d v="2026-06-13T09:01:33"/>
    <n v="171.13"/>
    <d v="2026-06-13T06:10:26"/>
    <n v="0.02"/>
    <n v="30"/>
    <s v="SLA Met"/>
    <m/>
    <m/>
    <n v="0"/>
    <n v="171.13"/>
    <n v="120"/>
    <s v="SLA Breached"/>
    <m/>
    <n v="129600"/>
    <n v="129428.87"/>
    <n v="99.867955246913581"/>
    <n v="129600"/>
    <n v="100"/>
  </r>
  <r>
    <s v="Jubilant Foodworks Ltd (JFL)"/>
    <s v="Alert"/>
    <s v="Chhitij Kumar Rai"/>
    <s v="PRO/INC/49947"/>
    <s v="aps went down"/>
    <s v="Meraki Managed Services"/>
    <s v="Software / Configuration"/>
    <x v="4"/>
    <s v="Q5AA-8AST-YPV4"/>
    <s v="Q5AA-8AST-YPV4"/>
    <s v="NA"/>
    <x v="1"/>
    <s v="JFL-GNSC-AP41"/>
    <s v="CW9162I"/>
    <s v="wireless-31-1-7"/>
    <m/>
    <s v="Non-Core"/>
    <s v="Closed"/>
    <x v="2"/>
    <m/>
    <s v="ios upgrade on core switch"/>
    <d v="2026-06-13T06:10:35"/>
    <d v="2026-06-13T09:02:00"/>
    <n v="171.42"/>
    <d v="2026-06-13T06:10:36"/>
    <n v="0.02"/>
    <n v="30"/>
    <s v="SLA Met"/>
    <m/>
    <m/>
    <n v="0"/>
    <n v="171.42"/>
    <n v="120"/>
    <s v="SLA Breached"/>
    <m/>
    <n v="129600"/>
    <n v="129428.58"/>
    <n v="99.867731481481485"/>
    <n v="129600"/>
    <n v="100"/>
  </r>
  <r>
    <s v="Jubilant Foodworks Ltd (JFL)"/>
    <s v="Alert"/>
    <s v="Chhitij Kumar Rai"/>
    <s v="PRO/INC/49949"/>
    <s v="aps went down"/>
    <s v="Meraki Managed Services"/>
    <s v="Software / Configuration"/>
    <x v="4"/>
    <s v="Q5AA-EZ6A-S56Y"/>
    <s v="Q5AA-EZ6A-S56Y"/>
    <s v="NA"/>
    <x v="1"/>
    <s v="JFL-GNSC-AP42"/>
    <s v="CW9162I"/>
    <s v="wireless-31-1-7"/>
    <m/>
    <s v="Non-Core"/>
    <s v="Closed"/>
    <x v="2"/>
    <m/>
    <s v="ios upgradation core switch"/>
    <d v="2026-06-13T06:10:35"/>
    <d v="2026-06-13T08:59:00"/>
    <n v="168.42"/>
    <d v="2026-06-13T06:10:37"/>
    <n v="0.03"/>
    <n v="30"/>
    <s v="SLA Met"/>
    <m/>
    <m/>
    <n v="0"/>
    <n v="168.42"/>
    <n v="120"/>
    <s v="SLA Breached"/>
    <m/>
    <n v="129600"/>
    <n v="129431.58"/>
    <n v="99.870046296296294"/>
    <n v="129600"/>
    <n v="100"/>
  </r>
  <r>
    <s v="Jubilant Foodworks Ltd (JFL)"/>
    <s v="Alert"/>
    <s v="Chhitij Kumar Rai"/>
    <s v="PRO/INC/49948"/>
    <s v="aps went down"/>
    <s v="Meraki Managed Services"/>
    <s v="Software / Configuration"/>
    <x v="4"/>
    <s v="Q5AA-5L7V-QSYU"/>
    <s v="Q5AA-5L7V-QSYU"/>
    <s v="NA"/>
    <x v="1"/>
    <s v="JFL-GNSC-AP46"/>
    <s v="CW9162I"/>
    <s v="wireless-31-1-7"/>
    <m/>
    <s v="Non-Core"/>
    <s v="Closed"/>
    <x v="2"/>
    <m/>
    <s v="ios upgradation core switch"/>
    <d v="2026-06-13T06:10:35"/>
    <d v="2026-06-13T08:57:00"/>
    <n v="166.42"/>
    <d v="2026-06-13T06:10:36"/>
    <n v="0.02"/>
    <n v="30"/>
    <s v="SLA Met"/>
    <m/>
    <m/>
    <n v="0"/>
    <n v="166.42"/>
    <n v="120"/>
    <s v="SLA Breached"/>
    <m/>
    <n v="129600"/>
    <n v="129433.58"/>
    <n v="99.871589506172839"/>
    <n v="129600"/>
    <n v="100"/>
  </r>
  <r>
    <s v="Jubilant Foodworks Ltd (JFL)"/>
    <s v="Alert"/>
    <s v="Chhitij Kumar Rai"/>
    <s v="PRO/INC/49950"/>
    <s v="aps went down"/>
    <s v="Meraki Managed Services"/>
    <s v="Software / Configuration"/>
    <x v="4"/>
    <s v="Q5AA-U98X-3FD7"/>
    <s v="Q5AA-U98X-3FD7"/>
    <s v="NA"/>
    <x v="1"/>
    <s v="JFL-GNSC-AP35"/>
    <s v="CW9162I"/>
    <s v="wireless-31-1-7"/>
    <m/>
    <s v="Non-Core"/>
    <s v="Closed"/>
    <x v="2"/>
    <m/>
    <s v="core ios upgradation"/>
    <d v="2026-06-13T06:10:36"/>
    <d v="2026-06-13T08:53:00"/>
    <n v="162.4"/>
    <d v="2026-06-13T06:10:37"/>
    <n v="0.02"/>
    <n v="30"/>
    <s v="SLA Met"/>
    <m/>
    <m/>
    <n v="0"/>
    <n v="162.4"/>
    <n v="120"/>
    <s v="SLA Breached"/>
    <m/>
    <n v="129600"/>
    <n v="129437.6"/>
    <n v="99.874691358024691"/>
    <n v="129600"/>
    <n v="100"/>
  </r>
  <r>
    <s v="Jubilant Foodworks Ltd (JFL)"/>
    <s v="Alert"/>
    <s v="Chhitij Kumar Rai"/>
    <s v="PRO/INC/49951"/>
    <s v="aps went down"/>
    <s v="Meraki Managed Services"/>
    <s v="Software / Configuration"/>
    <x v="4"/>
    <s v="Q5AA-SK3L-NVFH"/>
    <s v="Q5AA-SK3L-NVFH"/>
    <s v="NA"/>
    <x v="1"/>
    <s v="JFL-GNSC-AP10"/>
    <s v="CW9162I"/>
    <s v="wireless-31-1-7"/>
    <m/>
    <s v="Non-Core"/>
    <s v="Closed"/>
    <x v="2"/>
    <m/>
    <s v="ios upgradation activity on core switch"/>
    <d v="2026-06-13T06:10:45"/>
    <d v="2026-06-13T08:51:00"/>
    <n v="160.25"/>
    <d v="2026-06-13T06:10:46"/>
    <n v="0.02"/>
    <n v="30"/>
    <s v="SLA Met"/>
    <m/>
    <m/>
    <n v="0"/>
    <n v="160.25"/>
    <n v="120"/>
    <s v="SLA Breached"/>
    <m/>
    <n v="129600"/>
    <n v="129439.75"/>
    <n v="99.876350308641975"/>
    <n v="129600"/>
    <n v="100"/>
  </r>
  <r>
    <s v="Jubilant Foodworks Ltd (JFL)"/>
    <s v="Alert"/>
    <s v="Chhitij Kumar Rai"/>
    <s v="PRO/INC/49953"/>
    <s v="aps went down"/>
    <s v="Meraki Managed Services"/>
    <s v="Software / Configuration"/>
    <x v="4"/>
    <s v="Q5AA-7VMH-YF9G"/>
    <s v="Q5AA-7VMH-YF9G"/>
    <s v="NA"/>
    <x v="1"/>
    <s v="JFL-GNSC-AP64"/>
    <s v="CW9162I"/>
    <s v="wireless-31-1-7"/>
    <m/>
    <s v="Non-Core"/>
    <s v="Closed"/>
    <x v="2"/>
    <m/>
    <s v="ios upgradation at core switch"/>
    <d v="2026-06-13T06:10:49"/>
    <d v="2026-06-13T08:42:00"/>
    <n v="151.18"/>
    <d v="2026-06-13T06:10:50"/>
    <n v="0.02"/>
    <n v="30"/>
    <s v="SLA Met"/>
    <m/>
    <m/>
    <n v="0"/>
    <n v="151.18"/>
    <n v="120"/>
    <s v="SLA Breached"/>
    <m/>
    <n v="129600"/>
    <n v="129448.82"/>
    <n v="99.883348765432103"/>
    <n v="129600"/>
    <n v="100"/>
  </r>
  <r>
    <s v="Jubilant Foodworks Ltd (JFL)"/>
    <s v="Alert"/>
    <s v="Chhitij Kumar Rai"/>
    <s v="PRO/INC/49952"/>
    <s v="aps went down"/>
    <s v="Meraki Managed Services"/>
    <s v="Software / Configuration"/>
    <x v="4"/>
    <s v="Q5AA-QK4J-4K9J"/>
    <s v="Q5AA-QK4J-4K9J"/>
    <s v="NA"/>
    <x v="1"/>
    <s v="JFL-GNSC-AP19"/>
    <s v="CW9162I"/>
    <s v="wireless-31-1-7"/>
    <m/>
    <s v="Non-Core"/>
    <s v="Closed"/>
    <x v="2"/>
    <m/>
    <s v="core switch upgradation"/>
    <d v="2026-06-13T06:10:49"/>
    <d v="2026-06-13T08:45:00"/>
    <n v="154.18"/>
    <d v="2026-06-13T06:10:50"/>
    <n v="0.02"/>
    <n v="30"/>
    <s v="SLA Met"/>
    <m/>
    <m/>
    <n v="0"/>
    <n v="154.18"/>
    <n v="120"/>
    <s v="SLA Breached"/>
    <m/>
    <n v="129600"/>
    <n v="129445.82"/>
    <n v="99.881033950617294"/>
    <n v="129600"/>
    <n v="100"/>
  </r>
  <r>
    <s v="Jubilant Foodworks Ltd (JFL)"/>
    <s v="Alert"/>
    <s v="Chhitij Kumar Rai"/>
    <s v="PRO/INC/49956"/>
    <s v="aps went down"/>
    <s v="Meraki Managed Services"/>
    <s v="Software / Configuration"/>
    <x v="4"/>
    <s v="Q5AA-J9A9-ZJ2B"/>
    <s v="Q5AA-J9A9-ZJ2B"/>
    <s v="NA"/>
    <x v="1"/>
    <s v="JFL-GNSC-AP30"/>
    <s v="CW9162I"/>
    <s v="wireless-31-1-7"/>
    <m/>
    <s v="Non-Core"/>
    <s v="Closed"/>
    <x v="2"/>
    <m/>
    <s v="ios upgradation activity at client end"/>
    <d v="2026-06-13T06:10:56"/>
    <d v="2026-06-13T08:36:00"/>
    <n v="145.07"/>
    <d v="2026-06-13T06:10:57"/>
    <n v="0.02"/>
    <n v="30"/>
    <s v="SLA Met"/>
    <m/>
    <m/>
    <n v="0"/>
    <n v="145.07"/>
    <n v="120"/>
    <s v="SLA Breached"/>
    <m/>
    <n v="129600"/>
    <n v="129454.93"/>
    <n v="99.888063271604935"/>
    <n v="129600"/>
    <n v="100"/>
  </r>
  <r>
    <s v="Jubilant Foodworks Ltd (JFL)"/>
    <s v="Alert"/>
    <s v="Chhitij Kumar Rai"/>
    <s v="PRO/INC/49957"/>
    <s v="aps went down"/>
    <s v="Meraki Managed Services"/>
    <s v="Software / Configuration"/>
    <x v="4"/>
    <s v="Q5AA-H6R3-LUMM"/>
    <s v="Q5AA-H6R3-LUMM"/>
    <s v="NA"/>
    <x v="1"/>
    <s v="JFL-GNSC-AP26"/>
    <s v="CW9162I"/>
    <s v="wireless-31-1-7"/>
    <m/>
    <s v="Non-Core"/>
    <s v="Closed"/>
    <x v="2"/>
    <m/>
    <s v="ios upgradation at customer end"/>
    <d v="2026-06-13T06:10:56"/>
    <d v="2026-06-13T08:39:00"/>
    <n v="148.07"/>
    <d v="2026-06-13T06:10:58"/>
    <n v="0.03"/>
    <n v="30"/>
    <s v="SLA Met"/>
    <m/>
    <m/>
    <n v="0"/>
    <n v="148.07"/>
    <n v="120"/>
    <s v="SLA Breached"/>
    <m/>
    <n v="129600"/>
    <n v="129451.93"/>
    <n v="99.885748456790111"/>
    <n v="129600"/>
    <n v="100"/>
  </r>
  <r>
    <s v="Jubilant Foodworks Ltd (JFL)"/>
    <s v="Alert"/>
    <s v="Jagadisha R"/>
    <s v="PRO/INC/49970"/>
    <s v="new dhcp server detected"/>
    <s v="Meraki Managed Services"/>
    <s v="Software / Configuration"/>
    <x v="2"/>
    <s v="Q5JJ-68KZ-MXAS"/>
    <s v="Q5JJ-68KZ-MXAS"/>
    <s v="RACK 1"/>
    <x v="0"/>
    <s v="JFL-NAG-SSC-SW01"/>
    <s v="C9300L-48P-4X"/>
    <s v="cs-17-2-2"/>
    <m/>
    <s v="Non-Core"/>
    <s v="Closed"/>
    <x v="4"/>
    <s v="dropped mail with customer"/>
    <s v="customer is not responding , we are closing the case .."/>
    <d v="2026-06-13T06:46:27"/>
    <d v="2026-06-16T22:40:00"/>
    <n v="5273.55"/>
    <d v="2026-06-13T06:46:28"/>
    <n v="0.02"/>
    <n v="30"/>
    <s v="SLA Met"/>
    <d v="2026-06-13T07:52:28"/>
    <d v="2026-06-16T22:37:10"/>
    <n v="5204.7"/>
    <n v="68.849999999999994"/>
    <n v="120"/>
    <s v="SLA Met"/>
    <m/>
    <n v="129600"/>
    <n v="129531.15"/>
    <n v="99.946874999999991"/>
    <n v="124395.3"/>
    <n v="95.984027777777783"/>
  </r>
  <r>
    <s v="Jubilant Foodworks Ltd (JFL)"/>
    <s v="Alert"/>
    <s v="Chhitij Kumar Rai"/>
    <s v="PRO/INC/49975"/>
    <s v="aps went down"/>
    <s v="Meraki Managed Services"/>
    <s v="Software / Configuration"/>
    <x v="4"/>
    <s v="Q3KG-GWW5-CHJC"/>
    <s v="Q3KG-GWW5-CHJC"/>
    <s v="NA"/>
    <x v="1"/>
    <s v="JFL-GNSC-AP52"/>
    <s v="MR86"/>
    <s v="wireless-31-1-7"/>
    <m/>
    <s v="Non-Core"/>
    <s v="Closed"/>
    <x v="2"/>
    <m/>
    <s v="ios upgradation activity art customer side"/>
    <d v="2026-06-13T07:57:40"/>
    <d v="2026-06-13T08:30:00"/>
    <n v="32.33"/>
    <d v="2026-06-13T07:57:40"/>
    <n v="0"/>
    <n v="30"/>
    <s v="SLA Met"/>
    <m/>
    <m/>
    <n v="0"/>
    <n v="32.33"/>
    <n v="120"/>
    <s v="SLA Met"/>
    <m/>
    <n v="129600"/>
    <n v="129567.67"/>
    <n v="99.97505401234568"/>
    <n v="129600"/>
    <n v="100"/>
  </r>
  <r>
    <s v="Jubilant Foodworks Ltd (JFL)"/>
    <s v="Alert"/>
    <s v="Chhitij Kumar Rai"/>
    <s v="PRO/INC/49976"/>
    <s v="aps went down"/>
    <s v="Meraki Managed Services"/>
    <s v="Software / Configuration"/>
    <x v="4"/>
    <s v="Q5AA-SFG2-7EPQ"/>
    <s v="Q5AA-SFG2-7EPQ"/>
    <s v="NA"/>
    <x v="1"/>
    <s v="JFL-GNSC-AP45"/>
    <s v="CW9162I"/>
    <s v="wireless-31-1-7"/>
    <m/>
    <s v="Non-Core"/>
    <s v="Closed"/>
    <x v="2"/>
    <m/>
    <s v="ios upgradation at client ite"/>
    <d v="2026-06-13T07:57:42"/>
    <d v="2026-06-13T08:21:00"/>
    <n v="23.3"/>
    <d v="2026-06-13T07:57:43"/>
    <n v="0.02"/>
    <n v="30"/>
    <s v="SLA Met"/>
    <m/>
    <m/>
    <n v="0"/>
    <n v="23.3"/>
    <n v="120"/>
    <s v="SLA Met"/>
    <m/>
    <n v="129600"/>
    <n v="129576.7"/>
    <n v="99.982021604938268"/>
    <n v="129600"/>
    <n v="100"/>
  </r>
  <r>
    <s v="Jubilant Foodworks Ltd (JFL)"/>
    <s v="Alert"/>
    <s v="Chhitij Kumar Rai"/>
    <s v="PRO/INC/49980"/>
    <s v="aps went down"/>
    <s v="Meraki Managed Services"/>
    <s v="Software / Configuration"/>
    <x v="4"/>
    <s v="Q5AA-A6S6-XG3H"/>
    <s v="Q5AA-A6S6-XG3H"/>
    <s v="NA"/>
    <x v="1"/>
    <s v="JFL-GNSC-AP16"/>
    <s v="CW9162I"/>
    <s v="wireless-31-1-7"/>
    <m/>
    <s v="Non-Core"/>
    <s v="Closed"/>
    <x v="2"/>
    <m/>
    <s v="ios upgradation of core switch at customer end"/>
    <d v="2026-06-13T07:57:53"/>
    <d v="2026-06-13T08:27:00"/>
    <n v="29.12"/>
    <d v="2026-06-13T07:57:54"/>
    <n v="0.02"/>
    <n v="30"/>
    <s v="SLA Met"/>
    <m/>
    <m/>
    <n v="0"/>
    <n v="29.12"/>
    <n v="120"/>
    <s v="SLA Met"/>
    <m/>
    <n v="129600"/>
    <n v="129570.88"/>
    <n v="99.977530864197533"/>
    <n v="129600"/>
    <n v="100"/>
  </r>
  <r>
    <s v="Jubilant Foodworks Ltd (JFL)"/>
    <s v="Alert"/>
    <s v="Aneesh P S"/>
    <s v="PRO/INC/50002"/>
    <s v="aps went down"/>
    <s v="Meraki Managed Services"/>
    <s v="Software / Configuration"/>
    <x v="4"/>
    <s v="Q5AA-LCK3-FDNW"/>
    <s v="Q5AA-LCK3-FDNW"/>
    <s v="NA"/>
    <x v="1"/>
    <s v="JFL-GNSC-AP37"/>
    <s v="CW9162I"/>
    <s v="wireless-31-1-7"/>
    <m/>
    <s v="Non-Core"/>
    <s v="Closed"/>
    <x v="2"/>
    <s v="checking on dashboard"/>
    <s v="client side activity"/>
    <d v="2026-06-13T17:24:47"/>
    <d v="2026-06-14T09:00:00"/>
    <n v="935.22"/>
    <d v="2026-06-13T17:24:48"/>
    <n v="0.02"/>
    <n v="30"/>
    <s v="SLA Met"/>
    <d v="2026-06-13T17:29:28"/>
    <d v="2026-06-14T08:00:16"/>
    <n v="870.8"/>
    <n v="64.42"/>
    <n v="120"/>
    <s v="SLA Met"/>
    <m/>
    <n v="129600"/>
    <n v="129535.58"/>
    <n v="99.950293209876534"/>
    <n v="128729.2"/>
    <n v="99.328086419753078"/>
  </r>
  <r>
    <s v="Jubilant Foodworks Ltd (JFL)"/>
    <s v="Alert"/>
    <s v="Aneesh P S"/>
    <s v="PRO/INC/50005"/>
    <s v="aps went down"/>
    <s v="Meraki Managed Services"/>
    <s v="Software / Configuration"/>
    <x v="4"/>
    <s v="Q5AA-FTAU-94AS"/>
    <s v="Q5AA-FTAU-94AS"/>
    <s v="NO RACK "/>
    <x v="0"/>
    <n v="1"/>
    <e v="#N/A"/>
    <e v="#N/A"/>
    <m/>
    <s v="Non-Core"/>
    <s v="Closed"/>
    <x v="2"/>
    <s v="checking on dashboard"/>
    <s v="client side activity"/>
    <d v="2026-06-13T17:43:20"/>
    <d v="2026-06-14T08:00:00"/>
    <n v="856.67"/>
    <d v="2026-06-13T17:43:21"/>
    <n v="0.02"/>
    <n v="30"/>
    <s v="SLA Met"/>
    <d v="2026-06-13T17:48:00"/>
    <d v="2026-06-14T07:59:29"/>
    <n v="851.48"/>
    <n v="5.18"/>
    <n v="120"/>
    <s v="SLA Met"/>
    <m/>
    <n v="129600"/>
    <n v="129594.82"/>
    <n v="99.996003086419762"/>
    <n v="128748.52"/>
    <n v="99.342993827160498"/>
  </r>
  <r>
    <s v="Jubilant Foodworks Ltd (JFL)"/>
    <s v="Alert"/>
    <s v="Aneesh P S"/>
    <s v="PRO/INC/50007"/>
    <s v="aps went down"/>
    <s v="Meraki Managed Services"/>
    <s v="Software / Configuration"/>
    <x v="4"/>
    <s v="Q5AA-GHXM-TRTK"/>
    <s v="Q5AA-GHXM-TRTK"/>
    <s v="NA"/>
    <x v="1"/>
    <s v="JFL-GNSC-AP20"/>
    <s v="CW9162I"/>
    <s v="wireless-31-1-7"/>
    <m/>
    <s v="Non-Core"/>
    <s v="Closed"/>
    <x v="2"/>
    <s v="checking on dashboard"/>
    <s v="client side activity"/>
    <d v="2026-06-13T17:45:40"/>
    <d v="2026-06-14T08:00:00"/>
    <n v="854.33"/>
    <d v="2026-06-13T17:45:41"/>
    <n v="0.02"/>
    <n v="30"/>
    <s v="SLA Met"/>
    <d v="2026-06-13T17:49:38"/>
    <d v="2026-06-14T07:58:52"/>
    <n v="849.23"/>
    <n v="5.0999999999999996"/>
    <n v="120"/>
    <s v="SLA Met"/>
    <m/>
    <n v="129600"/>
    <n v="129594.9"/>
    <n v="99.996064814814815"/>
    <n v="128750.77"/>
    <n v="99.344729938271598"/>
  </r>
  <r>
    <s v="Jubilant Foodworks Ltd (JFL)"/>
    <s v="Alert"/>
    <s v="Aneesh P S"/>
    <s v="PRO/INC/50011"/>
    <s v="aps went down"/>
    <s v="Meraki Managed Services"/>
    <s v="Software / Configuration"/>
    <x v="4"/>
    <s v="Q5AA-GHXM-TRTK"/>
    <s v="Q5AA-GHXM-TRTK"/>
    <s v="NA"/>
    <x v="1"/>
    <s v="JFL-GNSC-AP20"/>
    <s v="CW9162I"/>
    <s v="wireless-31-1-7"/>
    <m/>
    <s v="Non-Core"/>
    <s v="Closed"/>
    <x v="2"/>
    <s v="checking on dashboard"/>
    <s v="client side activity"/>
    <d v="2026-06-13T18:06:31"/>
    <d v="2026-06-14T08:00:00"/>
    <n v="833.48"/>
    <d v="2026-06-13T18:06:31"/>
    <n v="0"/>
    <n v="30"/>
    <s v="SLA Met"/>
    <d v="2026-06-13T18:29:52"/>
    <d v="2026-06-14T07:58:14"/>
    <n v="808.37"/>
    <n v="25.12"/>
    <n v="120"/>
    <s v="SLA Met"/>
    <m/>
    <n v="129600"/>
    <n v="129574.88"/>
    <n v="99.980617283950622"/>
    <n v="128791.63"/>
    <n v="99.376257716049395"/>
  </r>
  <r>
    <s v="Jubilant Foodworks Ltd (JFL)"/>
    <s v="Alert"/>
    <s v="Aneesh P S"/>
    <s v="PRO/INC/50014"/>
    <s v="aps went down"/>
    <s v="Meraki Managed Services"/>
    <s v="Software / Configuration"/>
    <x v="4"/>
    <s v="Q3KG-JH9T-FL7Z"/>
    <s v="Q3KG-JH9T-FL7Z"/>
    <s v="NA"/>
    <x v="1"/>
    <s v="JFL-GNSC-AP48"/>
    <s v="MR86"/>
    <s v="wireless-31-1-7"/>
    <m/>
    <s v="Non-Core"/>
    <s v="Closed"/>
    <x v="2"/>
    <s v="checking on the dashboard"/>
    <s v="client side activity"/>
    <d v="2026-06-13T18:22:43"/>
    <d v="2026-06-14T08:00:00"/>
    <n v="817.28"/>
    <d v="2026-06-13T18:22:44"/>
    <n v="0.02"/>
    <n v="30"/>
    <s v="SLA Met"/>
    <d v="2026-06-13T18:32:05"/>
    <d v="2026-06-14T07:57:18"/>
    <n v="805.22"/>
    <n v="12.07"/>
    <n v="120"/>
    <s v="SLA Met"/>
    <m/>
    <n v="129600"/>
    <n v="129587.93"/>
    <n v="99.990686728395062"/>
    <n v="128794.78"/>
    <n v="99.378688271604943"/>
  </r>
  <r>
    <s v="Jubilant Foodworks Ltd (JFL)"/>
    <s v="Alert"/>
    <s v="Aneesh P S"/>
    <s v="PRO/INC/50017"/>
    <s v="aps went down"/>
    <s v="Meraki Managed Services"/>
    <s v="Software / Configuration"/>
    <x v="4"/>
    <s v="Q3KG-A9R2-ATYY"/>
    <s v="Q3KG-A9R2-ATYY"/>
    <s v="NA"/>
    <x v="1"/>
    <s v="JFL-GNSC-AP50"/>
    <s v="MR86"/>
    <s v="wireless-31-1-7"/>
    <m/>
    <s v="Non-Core"/>
    <s v="Closed"/>
    <x v="2"/>
    <s v="checking on dashboard"/>
    <s v="client side activity"/>
    <d v="2026-06-13T18:51:55"/>
    <d v="2026-06-14T08:00:00"/>
    <n v="788.08"/>
    <d v="2026-06-13T18:51:55"/>
    <n v="0"/>
    <n v="30"/>
    <s v="SLA Met"/>
    <d v="2026-06-13T18:54:33"/>
    <d v="2026-06-14T07:56:21"/>
    <n v="781.8"/>
    <n v="6.28"/>
    <n v="120"/>
    <s v="SLA Met"/>
    <m/>
    <n v="129600"/>
    <n v="129593.72"/>
    <n v="99.995154320987652"/>
    <n v="128818.2"/>
    <n v="99.396759259259255"/>
  </r>
  <r>
    <s v="Jubilant Foodworks Ltd (JFL)"/>
    <s v="Alert"/>
    <s v="Aneesh P S"/>
    <s v="PRO/INC/50541"/>
    <s v="aps went down"/>
    <s v="Meraki Managed Services"/>
    <s v="Software / Configuration"/>
    <x v="0"/>
    <s v="Q3AC-PV6N-6QRC"/>
    <s v="Q3AC-PV6N-6QRC"/>
    <s v="NA"/>
    <x v="1"/>
    <s v="GF-AP12-R02-SW01-18P"/>
    <s v="MR46"/>
    <s v="wireless-31-1-8"/>
    <m/>
    <s v="Non-Core"/>
    <s v="Closed"/>
    <x v="0"/>
    <s v="Device Power issues"/>
    <s v="Device Power issues"/>
    <d v="2026-06-14T17:17:14"/>
    <d v="2026-06-14T17:32:00"/>
    <n v="14.77"/>
    <d v="2026-06-14T17:17:15"/>
    <n v="0.02"/>
    <n v="30"/>
    <s v="SLA Met"/>
    <d v="2026-06-14T17:24:32"/>
    <d v="2026-06-14T17:29:57"/>
    <n v="5.42"/>
    <n v="9.35"/>
    <n v="120"/>
    <s v="SLA Met"/>
    <m/>
    <n v="129600"/>
    <n v="129590.65"/>
    <n v="99.992785493827157"/>
    <n v="129594.58"/>
    <n v="99.995817901234574"/>
  </r>
  <r>
    <s v="Jubilant Foodworks Ltd (JFL)"/>
    <s v="Alert"/>
    <s v="Aneesh P S"/>
    <s v="PRO/INC/50542"/>
    <s v="aps went down"/>
    <s v="Meraki Managed Services"/>
    <s v="Software / Configuration"/>
    <x v="0"/>
    <s v="Q3AC-DK8K-8UBR"/>
    <s v="Q3AC-DK8K-8UBR"/>
    <s v="NA"/>
    <x v="1"/>
    <s v="GF-AP09-R02-SW01-22P"/>
    <s v="MR46"/>
    <s v="wireless-31-1-8"/>
    <m/>
    <s v="Non-Core"/>
    <s v="Closed"/>
    <x v="0"/>
    <s v="Device Power issues"/>
    <s v="Device Power issues"/>
    <d v="2026-06-14T17:17:23"/>
    <d v="2026-06-14T17:32:00"/>
    <n v="14.62"/>
    <d v="2026-06-14T17:17:24"/>
    <n v="0.02"/>
    <n v="30"/>
    <s v="SLA Met"/>
    <d v="2026-06-14T17:23:27"/>
    <d v="2026-06-14T17:29:02"/>
    <n v="5.58"/>
    <n v="9.0299999999999994"/>
    <n v="120"/>
    <s v="SLA Met"/>
    <m/>
    <n v="129600"/>
    <n v="129590.97"/>
    <n v="99.993032407407412"/>
    <n v="129594.42"/>
    <n v="99.995694444444439"/>
  </r>
  <r>
    <s v="Jubilant Foodworks Ltd (JFL)"/>
    <s v="Alert"/>
    <s v="Aneesh P S"/>
    <s v="PRO/INC/50543"/>
    <s v="aps went down"/>
    <s v="Meraki Managed Services"/>
    <s v="Software / Configuration"/>
    <x v="0"/>
    <s v="Q3AC-MPDZ-UTHS"/>
    <s v="Q3AC-MPDZ-UTHS"/>
    <s v="NA"/>
    <x v="1"/>
    <s v="GF-AP46-R02-SW01-26P"/>
    <s v="MR46"/>
    <s v="wireless-31-1-8"/>
    <m/>
    <s v="Non-Core"/>
    <s v="Closed"/>
    <x v="0"/>
    <s v="Device Power issues"/>
    <s v="Device Power issues"/>
    <d v="2026-06-14T17:17:26"/>
    <d v="2026-06-14T17:30:00"/>
    <n v="12.57"/>
    <d v="2026-06-14T17:17:27"/>
    <n v="0.02"/>
    <n v="30"/>
    <s v="SLA Met"/>
    <d v="2026-06-14T17:22:16"/>
    <d v="2026-06-14T17:28:14"/>
    <n v="5.97"/>
    <n v="6.6"/>
    <n v="120"/>
    <s v="SLA Met"/>
    <m/>
    <n v="129600"/>
    <n v="129593.4"/>
    <n v="99.99490740740741"/>
    <n v="129594.03"/>
    <n v="99.995393518518512"/>
  </r>
  <r>
    <s v="Jubilant Foodworks Ltd (JFL)"/>
    <s v="Email"/>
    <s v="Aneesh P S"/>
    <s v="PRO/INC/50985"/>
    <s v="1 AP Down at GNSC"/>
    <s v="Meraki Managed Services"/>
    <s v="Software / Configuration"/>
    <x v="4"/>
    <s v="Q3KG-A9R2-ATYY"/>
    <s v="Q3KG-A9R2-ATYY"/>
    <s v="NA"/>
    <x v="1"/>
    <s v="JFL-GNSC-AP50"/>
    <s v="MR86"/>
    <s v="wireless-31-1-7"/>
    <m/>
    <s v="P3"/>
    <s v="Closed"/>
    <x v="0"/>
    <s v="Device power issue"/>
    <s v="Device Power issues"/>
    <d v="2026-06-15T11:47:42"/>
    <d v="2026-06-15T14:50:00"/>
    <n v="182.3"/>
    <d v="2026-06-15T11:47:41"/>
    <n v="0"/>
    <n v="30"/>
    <s v="SLA Met"/>
    <d v="2026-06-15T11:53:07"/>
    <d v="2026-06-15T14:47:19"/>
    <n v="174.2"/>
    <n v="8.1"/>
    <n v="1440"/>
    <s v="SLA Met"/>
    <m/>
    <n v="129600"/>
    <n v="129591.9"/>
    <n v="99.993749999999991"/>
    <n v="129425.8"/>
    <n v="99.8655864197531"/>
  </r>
  <r>
    <s v="Jubilant Foodworks Ltd (JFL)"/>
    <s v="Alert"/>
    <s v="Arvind Kumar Arya"/>
    <s v="PRO/INC/51176"/>
    <s v="switches went down"/>
    <s v="Meraki Managed Services"/>
    <s v="Software / Configuration"/>
    <x v="2"/>
    <s v="Q5JG-SL55-CZ9Z"/>
    <s v="Q5JG-SL55-CZ9Z"/>
    <s v="RACK 2"/>
    <x v="0"/>
    <s v="JFL-NAG-SSC-SW04"/>
    <s v="C9300L-24P-4X"/>
    <s v="cs-17-2-2"/>
    <m/>
    <s v="Core"/>
    <s v="Closed"/>
    <x v="2"/>
    <s v="Power issue on client side."/>
    <s v="IOS upgrade activity at customer site , now the device came up"/>
    <d v="2026-06-17T02:55:33"/>
    <d v="2026-06-17T03:32:00"/>
    <n v="36.450000000000003"/>
    <d v="2026-06-17T02:55:34"/>
    <n v="0.02"/>
    <n v="30"/>
    <s v="SLA Met"/>
    <d v="2026-06-17T02:58:38"/>
    <d v="2026-06-17T03:23:03"/>
    <n v="24.42"/>
    <n v="12.03"/>
    <n v="120"/>
    <s v="SLA Met"/>
    <m/>
    <n v="129600"/>
    <n v="129587.97"/>
    <n v="99.990717592592588"/>
    <n v="129575.58"/>
    <n v="99.981157407407409"/>
  </r>
  <r>
    <s v="Jubilant Foodworks Ltd (JFL)"/>
    <s v="Alert"/>
    <s v="Arvind Kumar Arya"/>
    <s v="PRO/INC/51178"/>
    <s v="aps went down"/>
    <s v="Meraki Managed Services"/>
    <s v="Software / Configuration"/>
    <x v="2"/>
    <s v="Q3KG-P7GS-UMEQ"/>
    <s v="Q3KG-P7GS-UMEQ"/>
    <s v="NA"/>
    <x v="1"/>
    <s v="JFL-NAG-SSC-AP04"/>
    <s v="MR86"/>
    <s v="wireless-31-1-8"/>
    <m/>
    <s v="Non-Core"/>
    <s v="Closed"/>
    <x v="2"/>
    <s v="Power issue on client side."/>
    <s v="Switch IOS upgrade activity at customer site , now the device came up"/>
    <d v="2026-06-17T02:56:32"/>
    <d v="2026-06-17T03:32:00"/>
    <n v="35.47"/>
    <d v="2026-06-17T02:56:33"/>
    <n v="0.02"/>
    <n v="30"/>
    <s v="SLA Met"/>
    <d v="2026-06-17T03:00:20"/>
    <d v="2026-06-17T03:31:04"/>
    <n v="30.73"/>
    <n v="4.7300000000000004"/>
    <n v="120"/>
    <s v="SLA Met"/>
    <m/>
    <n v="129600"/>
    <n v="129595.27"/>
    <n v="99.996350308641979"/>
    <n v="129569.27"/>
    <n v="99.976288580246916"/>
  </r>
  <r>
    <s v="Jubilant Foodworks Ltd (JFL)"/>
    <s v="Alert"/>
    <s v="Dharmendra Bhadoriya"/>
    <s v="PRO/INC/51179"/>
    <s v="aps went down"/>
    <s v="Meraki Managed Services"/>
    <s v="Software / Configuration"/>
    <x v="2"/>
    <s v="Q3KG-FBVZ-2RBN"/>
    <s v="Q3KG-FBVZ-2RBN"/>
    <s v="NA"/>
    <x v="1"/>
    <s v="JFL-NAG-SSC-AP05"/>
    <s v="MR86"/>
    <s v="wireless-31-1-8"/>
    <m/>
    <s v="Non-Core"/>
    <s v="Closed"/>
    <x v="5"/>
    <s v="Power issue on client side."/>
    <s v="After Upgradation Issue has been resolved ."/>
    <d v="2026-06-17T02:56:32"/>
    <d v="2026-06-17T09:40:00"/>
    <n v="403.47"/>
    <d v="2026-06-17T02:56:33"/>
    <n v="0.02"/>
    <n v="30"/>
    <s v="SLA Met"/>
    <d v="2026-06-17T03:01:25"/>
    <d v="2026-06-17T09:36:15"/>
    <n v="394.83"/>
    <n v="8.6300000000000008"/>
    <n v="120"/>
    <s v="SLA Met"/>
    <m/>
    <n v="129600"/>
    <n v="129591.37"/>
    <n v="99.993341049382707"/>
    <n v="129205.17"/>
    <n v="99.695347222222225"/>
  </r>
  <r>
    <s v="Jubilant Foodworks Ltd (JFL)"/>
    <s v="Alert"/>
    <s v="Arvind Kumar Arya"/>
    <s v="PRO/INC/51181"/>
    <s v="aps went down"/>
    <s v="Meraki Managed Services"/>
    <s v="Software / Configuration"/>
    <x v="2"/>
    <s v="Q3KG-MBCN-DSBC"/>
    <s v="Q3KG-MBCN-DSBC"/>
    <s v="NA"/>
    <x v="1"/>
    <s v="JFL-NAG-SSC-AP06"/>
    <s v="MR86"/>
    <s v="wireless-31-1-8"/>
    <m/>
    <s v="Non-Core"/>
    <s v="Closed"/>
    <x v="2"/>
    <s v="Power issue on client side."/>
    <s v="iOS upgradation activity at customer site The device came up ,closing the case"/>
    <d v="2026-06-17T02:56:42"/>
    <d v="2026-06-17T03:34:00"/>
    <n v="37.299999999999997"/>
    <d v="2026-06-17T02:56:43"/>
    <n v="0.02"/>
    <n v="30"/>
    <s v="SLA Met"/>
    <d v="2026-06-17T03:03:05"/>
    <d v="2026-06-17T03:32:48"/>
    <n v="29.72"/>
    <n v="7.58"/>
    <n v="120"/>
    <s v="SLA Met"/>
    <m/>
    <n v="129600"/>
    <n v="129592.42"/>
    <n v="99.994151234567894"/>
    <n v="129570.28"/>
    <n v="99.977067901234562"/>
  </r>
  <r>
    <s v="Jubilant Foodworks Ltd (JFL)"/>
    <s v="Alert"/>
    <s v="Arvind Kumar Arya"/>
    <s v="PRO/INC/51183"/>
    <s v="switches went down"/>
    <s v="Meraki Managed Services"/>
    <s v="Software / Configuration"/>
    <x v="2"/>
    <s v="Q5JG-STQ9-EUPF"/>
    <s v="Q5JG-STQ9-EUPF"/>
    <s v="RACK 3"/>
    <x v="0"/>
    <s v="JFL-NAG-SSC-SW03"/>
    <s v="C9300L-24P-4X"/>
    <s v="cs-17-2-2"/>
    <m/>
    <s v="Core"/>
    <s v="Closed"/>
    <x v="2"/>
    <s v="Power issue on client side."/>
    <s v="IOS upgrade activity at customer site , now the device came up"/>
    <d v="2026-06-17T02:56:52"/>
    <d v="2026-06-17T03:31:00"/>
    <n v="34.130000000000003"/>
    <d v="2026-06-17T02:56:52"/>
    <n v="0"/>
    <n v="30"/>
    <s v="SLA Met"/>
    <d v="2026-06-17T03:04:49"/>
    <d v="2026-06-17T03:29:20"/>
    <n v="24.52"/>
    <n v="9.6199999999999992"/>
    <n v="120"/>
    <s v="SLA Met"/>
    <m/>
    <n v="129600"/>
    <n v="129590.38"/>
    <n v="99.992577160493838"/>
    <n v="129575.48"/>
    <n v="99.981080246913578"/>
  </r>
  <r>
    <s v="Jubilant Foodworks Ltd (JFL)"/>
    <s v="Alert"/>
    <s v="Arvind Kumar Arya"/>
    <s v="PRO/INC/51184"/>
    <s v="switches went down"/>
    <s v="Meraki Managed Services"/>
    <s v="Software / Configuration"/>
    <x v="2"/>
    <s v="Q5JJ-68KZ-MXAS"/>
    <s v="Q5JJ-68KZ-MXAS"/>
    <s v="RACK 1"/>
    <x v="0"/>
    <s v="JFL-NAG-SSC-SW01"/>
    <s v="C9300L-48P-4X"/>
    <s v="cs-17-2-2"/>
    <m/>
    <s v="Core"/>
    <s v="Closed"/>
    <x v="2"/>
    <s v="Power issue on client side."/>
    <s v="IOS upgrade activity at customer site , now the device came up"/>
    <d v="2026-06-17T02:57:12"/>
    <d v="2026-06-17T03:32:00"/>
    <n v="34.799999999999997"/>
    <d v="2026-06-17T02:57:13"/>
    <n v="0.02"/>
    <n v="30"/>
    <s v="SLA Met"/>
    <d v="2026-06-17T03:07:26"/>
    <d v="2026-06-17T03:30:10"/>
    <n v="22.73"/>
    <n v="12.07"/>
    <n v="120"/>
    <s v="SLA Met"/>
    <m/>
    <n v="129600"/>
    <n v="129587.93"/>
    <n v="99.990686728395062"/>
    <n v="129577.27"/>
    <n v="99.982461419753093"/>
  </r>
  <r>
    <s v="Jubilant Foodworks Ltd (JFL)"/>
    <s v="Alert"/>
    <s v="Arvind Kumar Arya"/>
    <s v="PRO/INC/51185"/>
    <s v="aps went down"/>
    <s v="Meraki Managed Services"/>
    <s v="Software / Configuration"/>
    <x v="2"/>
    <s v="Q5AR-4FGW-G4PW"/>
    <s v="Q5AR-4FGW-G4PW"/>
    <s v="NA"/>
    <x v="1"/>
    <s v="JFL-NAG-SSC-AP02"/>
    <s v="CW9166I"/>
    <s v="wireless-31-1-8"/>
    <m/>
    <s v="Non-Core"/>
    <s v="Closed"/>
    <x v="2"/>
    <s v="Power issue on client side."/>
    <s v="iOS upgradation activity at customer site The device came up ,closing the case"/>
    <d v="2026-06-17T02:57:12"/>
    <d v="2026-06-17T03:35:00"/>
    <n v="37.799999999999997"/>
    <d v="2026-06-17T02:57:13"/>
    <n v="0.02"/>
    <n v="30"/>
    <s v="SLA Met"/>
    <d v="2026-06-17T03:05:54"/>
    <d v="2026-06-17T03:33:47"/>
    <n v="27.88"/>
    <n v="9.92"/>
    <n v="120"/>
    <s v="SLA Met"/>
    <m/>
    <n v="129600"/>
    <n v="129590.08"/>
    <n v="99.992345679012345"/>
    <n v="129572.12"/>
    <n v="99.978487654320986"/>
  </r>
  <r>
    <s v="Jubilant Foodworks Ltd (JFL)"/>
    <s v="Alert"/>
    <s v="Arvind Kumar Arya"/>
    <s v="PRO/INC/51191"/>
    <s v="power supply came up"/>
    <s v="Meraki Managed Services"/>
    <s v="Software / Configuration"/>
    <x v="2"/>
    <s v="Q5JJ-68KZ-MXAS"/>
    <s v="Q5JJ-68KZ-MXAS"/>
    <s v="RACK 1"/>
    <x v="0"/>
    <s v="JFL-NAG-SSC-SW01"/>
    <s v="C9300L-48P-4X"/>
    <s v="cs-17-2-2"/>
    <m/>
    <s v="P3"/>
    <s v="Closed"/>
    <x v="0"/>
    <m/>
    <s v="The node automatically rebooted after the OS upgrade."/>
    <d v="2026-06-17T03:00:38"/>
    <d v="2026-06-17T03:23:00"/>
    <n v="22.37"/>
    <d v="2026-06-17T03:00:39"/>
    <n v="0.02"/>
    <n v="30"/>
    <s v="SLA Met"/>
    <m/>
    <m/>
    <n v="0"/>
    <n v="22.37"/>
    <n v="1440"/>
    <s v="SLA Met"/>
    <m/>
    <n v="129600"/>
    <n v="129577.63"/>
    <n v="99.982739197530861"/>
    <n v="129600"/>
    <n v="100"/>
  </r>
  <r>
    <s v="Jubilant Foodworks Ltd (JFL)"/>
    <s v="Alert"/>
    <s v="Jagadisha R"/>
    <s v="PRO/INC/51194"/>
    <s v="power supply came up"/>
    <s v="Meraki Managed Services"/>
    <s v="Software / Configuration"/>
    <x v="2"/>
    <s v="Q5JG-TM9S-PLFP"/>
    <s v="Q5JG-TM9S-PLFP"/>
    <s v="RACK 2"/>
    <x v="0"/>
    <s v="JFL-NAG-SSC-SW02"/>
    <s v="C9300L-24P-4X"/>
    <s v="cs-17-2-2"/>
    <m/>
    <s v="P3"/>
    <s v="Closed"/>
    <x v="2"/>
    <m/>
    <s v="IOS upgradation activity at customer site As the device came up , closing the case ."/>
    <d v="2026-06-17T03:01:43"/>
    <d v="2026-06-17T03:25:36"/>
    <n v="23.88"/>
    <d v="2026-06-17T03:01:44"/>
    <n v="0.02"/>
    <n v="30"/>
    <s v="SLA Met"/>
    <m/>
    <m/>
    <n v="0"/>
    <n v="23.88"/>
    <n v="1440"/>
    <s v="SLA Met"/>
    <m/>
    <n v="129600"/>
    <n v="129576.12"/>
    <n v="99.981574074074075"/>
    <n v="129600"/>
    <n v="100"/>
  </r>
  <r>
    <s v="Jubilant Foodworks Ltd (JFL)"/>
    <s v="Alert"/>
    <s v="Jagadisha R"/>
    <s v="PRO/INC/51196"/>
    <s v="power supply came up"/>
    <s v="Meraki Managed Services"/>
    <s v="Software / Configuration"/>
    <x v="2"/>
    <s v="Q5JG-SL55-CZ9Z"/>
    <s v="Q5JG-SL55-CZ9Z"/>
    <s v="RACK 2"/>
    <x v="0"/>
    <s v="JFL-NAG-SSC-SW04"/>
    <s v="C9300L-24P-4X"/>
    <s v="cs-17-2-2"/>
    <m/>
    <s v="P3"/>
    <s v="Closed"/>
    <x v="2"/>
    <m/>
    <s v="IOS upgradation activity at customer site As the device came up , closing the case ."/>
    <d v="2026-06-17T03:01:53"/>
    <d v="2026-06-17T03:25:21"/>
    <n v="23.47"/>
    <d v="2026-06-17T03:01:54"/>
    <n v="0.02"/>
    <n v="30"/>
    <s v="SLA Met"/>
    <m/>
    <m/>
    <n v="0"/>
    <n v="23.47"/>
    <n v="1440"/>
    <s v="SLA Met"/>
    <m/>
    <n v="129600"/>
    <n v="129576.53"/>
    <n v="99.981890432098766"/>
    <n v="129600"/>
    <n v="100"/>
  </r>
  <r>
    <s v="Jubilant Foodworks Ltd (JFL)"/>
    <s v="Alert"/>
    <s v="Jagadisha R"/>
    <s v="PRO/INC/51198"/>
    <s v="power supply came up"/>
    <s v="Meraki Managed Services"/>
    <s v="Software / Configuration"/>
    <x v="2"/>
    <s v="Q5JG-STQ9-EUPF"/>
    <s v="Q5JG-STQ9-EUPF"/>
    <s v="RACK 3"/>
    <x v="0"/>
    <s v="JFL-NAG-SSC-SW03"/>
    <s v="C9300L-24P-4X"/>
    <s v="cs-17-2-2"/>
    <m/>
    <s v="P3"/>
    <s v="Closed"/>
    <x v="2"/>
    <m/>
    <s v="IOS upgradation activity at customer site As the device came up , closing the case ."/>
    <d v="2026-06-17T03:02:59"/>
    <d v="2026-06-17T03:22:15"/>
    <n v="19.27"/>
    <d v="2026-06-17T03:02:59"/>
    <n v="0"/>
    <n v="30"/>
    <s v="SLA Met"/>
    <m/>
    <m/>
    <n v="0"/>
    <n v="19.27"/>
    <n v="1440"/>
    <s v="SLA Met"/>
    <m/>
    <n v="129600"/>
    <n v="129580.73"/>
    <n v="99.985131172839502"/>
    <n v="129600"/>
    <n v="100"/>
  </r>
  <r>
    <s v="Jubilant Foodworks Ltd (JFL)"/>
    <s v="Email"/>
    <s v="Dheerendra Maurya"/>
    <s v="PRO/INC/51585"/>
    <s v="RE: Request to Whitelist MAC Address"/>
    <s v="Meraki Managed Services"/>
    <s v="Change Request"/>
    <x v="3"/>
    <m/>
    <s v="Q5AA-GMN6-UE62"/>
    <s v="NA"/>
    <x v="1"/>
    <s v="JFL-Mohali-SCC-AP02"/>
    <s v="CW9162I"/>
    <s v="wireless-31-1-7"/>
    <m/>
    <s v="P4"/>
    <s v="Closed"/>
    <x v="1"/>
    <s v="IP WHITLISTING"/>
    <s v="The device with IP address 10.168.94.226 has been successfully whitelisted. Post implementation, the device has successfully connected to the internet and is now working fine"/>
    <d v="2026-06-18T15:06:55"/>
    <d v="2026-06-18T15:42:00"/>
    <n v="35.08"/>
    <d v="2026-06-18T15:06:54"/>
    <n v="0"/>
    <n v="30"/>
    <s v="SLA Met"/>
    <d v="2026-06-18T15:15:57"/>
    <d v="2026-06-18T15:37:59"/>
    <n v="22.03"/>
    <n v="13.05"/>
    <n v="2880"/>
    <s v="SLA Met"/>
    <m/>
    <n v="129600"/>
    <n v="129586.95"/>
    <n v="99.989930555555546"/>
    <n v="129577.97"/>
    <n v="99.98300154320988"/>
  </r>
  <r>
    <s v="Jubilant Foodworks Ltd (JFL)"/>
    <s v="Alert"/>
    <s v="Aneesh P S"/>
    <s v="PRO/INC/51593"/>
    <s v="new dhcp server detected"/>
    <s v="Meraki Managed Services"/>
    <s v="Software / Configuration"/>
    <x v="2"/>
    <s v="Q5JJ-68KZ-MXAS"/>
    <s v="Q5JJ-68KZ-MXAS"/>
    <s v="RACK 1"/>
    <x v="0"/>
    <s v="JFL-NAG-SSC-SW01"/>
    <s v="C9300L-48P-4X"/>
    <s v="cs-17-2-2"/>
    <m/>
    <s v="Non-Core"/>
    <s v="Closed"/>
    <x v="9"/>
    <s v="new device detected on network need customer confirmation to block"/>
    <s v="no response from customer"/>
    <d v="2026-06-18T15:19:26"/>
    <d v="2026-07-01T15:50:00"/>
    <n v="18750.57"/>
    <d v="2026-06-18T15:19:27"/>
    <n v="0.02"/>
    <n v="30"/>
    <s v="SLA Met"/>
    <d v="2026-06-18T15:20:58"/>
    <d v="2026-07-01T15:42:55"/>
    <n v="18741.95"/>
    <n v="8.6199999999999992"/>
    <n v="120"/>
    <s v="SLA Met"/>
    <m/>
    <n v="129600"/>
    <n v="129591.38"/>
    <n v="99.993348765432103"/>
    <n v="110858.05"/>
    <n v="85.538618827160491"/>
  </r>
  <r>
    <s v="Jubilant Foodworks Ltd (JFL)"/>
    <s v="Alert"/>
    <s v="Aneesh P S"/>
    <s v="PRO/INC/51658"/>
    <s v="new dhcp server detected"/>
    <s v="Meraki Managed Services"/>
    <s v="Software / Configuration"/>
    <x v="2"/>
    <s v="Q5JG-TM9S-PLFP"/>
    <s v="Q5JG-TM9S-PLFP"/>
    <s v="RACK 2"/>
    <x v="0"/>
    <s v="JFL-NAG-SSC-SW02"/>
    <s v="C9300L-24P-4X"/>
    <s v="cs-17-2-2"/>
    <m/>
    <s v="Non-Core"/>
    <s v="Closed"/>
    <x v="1"/>
    <s v="client-side activity"/>
    <s v="new server detected blocked as per customer confirmation"/>
    <d v="2026-06-19T02:30:31"/>
    <d v="2026-06-19T11:00:00"/>
    <n v="509.48"/>
    <d v="2026-06-19T02:30:33"/>
    <n v="0.03"/>
    <n v="30"/>
    <s v="SLA Met"/>
    <d v="2026-06-19T02:32:11"/>
    <d v="2026-06-19T10:52:06"/>
    <n v="499.92"/>
    <n v="9.57"/>
    <n v="120"/>
    <s v="SLA Met"/>
    <m/>
    <n v="129600"/>
    <n v="129590.43"/>
    <n v="99.992615740740732"/>
    <n v="129100.08"/>
    <n v="99.614259259259256"/>
  </r>
  <r>
    <s v="Jubilant Foodworks Ltd (JFL)"/>
    <s v="Alert"/>
    <s v="Aneesh P S"/>
    <s v="PRO/INC/51680"/>
    <s v="new dhcp server detected"/>
    <s v="Meraki Managed Services"/>
    <s v="Software / Configuration"/>
    <x v="2"/>
    <s v="Q5JJ-68KZ-MXAS"/>
    <s v="Q5JJ-68KZ-MXAS"/>
    <s v="RACK 1"/>
    <x v="0"/>
    <s v="JFL-NAG-SSC-SW01"/>
    <s v="C9300L-48P-4X"/>
    <s v="cs-17-2-2"/>
    <m/>
    <s v="Non-Core"/>
    <s v="Closed"/>
    <x v="1"/>
    <s v="need Customer confirmation to proceed"/>
    <s v="New DHCP server detected on the netwrok, blocked those as per customer confirmation"/>
    <d v="2026-06-19T10:46:17"/>
    <d v="2026-06-19T12:12:00"/>
    <n v="85.72"/>
    <d v="2026-06-19T10:46:18"/>
    <n v="0.02"/>
    <n v="30"/>
    <s v="SLA Met"/>
    <d v="2026-06-19T10:50:11"/>
    <d v="2026-06-19T12:09:20"/>
    <n v="79.150000000000006"/>
    <n v="6.57"/>
    <n v="120"/>
    <s v="SLA Met"/>
    <m/>
    <n v="129600"/>
    <n v="129593.43"/>
    <n v="99.994930555555555"/>
    <n v="129520.85"/>
    <n v="99.938927469135805"/>
  </r>
  <r>
    <s v="Jubilant Foodworks Ltd (JFL)"/>
    <s v="Alert"/>
    <s v="Aneesh P S"/>
    <s v="PRO/INC/51689"/>
    <s v="new dhcp server detected"/>
    <s v="Meraki Managed Services"/>
    <s v="Software / Configuration"/>
    <x v="2"/>
    <s v="Q5JJ-68KZ-MXAS"/>
    <s v="Q5JJ-68KZ-MXAS"/>
    <s v="RACK 1"/>
    <x v="0"/>
    <s v="JFL-NAG-SSC-SW01"/>
    <s v="C9300L-48P-4X"/>
    <s v="cs-17-2-2"/>
    <m/>
    <s v="Non-Core"/>
    <s v="Closed"/>
    <x v="1"/>
    <s v="need customer confirmation to proceed further"/>
    <s v="new DHCP server detected blocked those as per customer confirmation"/>
    <d v="2026-06-19T10:55:28"/>
    <d v="2026-06-19T12:10:00"/>
    <n v="74.53"/>
    <d v="2026-06-19T10:55:29"/>
    <n v="0.02"/>
    <n v="30"/>
    <s v="SLA Met"/>
    <d v="2026-06-19T10:58:18"/>
    <d v="2026-06-19T12:08:26"/>
    <n v="70.13"/>
    <n v="4.4000000000000004"/>
    <n v="120"/>
    <s v="SLA Met"/>
    <m/>
    <n v="129600"/>
    <n v="129595.6"/>
    <n v="99.996604938271602"/>
    <n v="129529.87"/>
    <n v="99.945887345679012"/>
  </r>
  <r>
    <s v="Jubilant Foodworks Ltd (JFL)"/>
    <s v="Alert"/>
    <s v="Aneesh P S"/>
    <s v="PRO/INC/51780"/>
    <s v="new dhcp server detected"/>
    <s v="Meraki Managed Services"/>
    <s v="Software / Configuration"/>
    <x v="0"/>
    <s v="Q2QW-BWS8-7ULR"/>
    <s v="Q2QW-BWS8-7ULR"/>
    <s v="GF-R5"/>
    <x v="0"/>
    <s v="GF-R5-SW3"/>
    <s v="MS250-48FP"/>
    <s v="switch-17-1-4"/>
    <m/>
    <s v="Non-Core"/>
    <s v="Closed"/>
    <x v="1"/>
    <s v="Need customer confirmation to close the case"/>
    <s v="blocked as per customer confirmation"/>
    <d v="2026-06-19T17:56:05"/>
    <d v="2026-06-29T10:00:00"/>
    <n v="13923.92"/>
    <d v="2026-06-19T17:56:06"/>
    <n v="0.02"/>
    <n v="30"/>
    <s v="SLA Met"/>
    <d v="2026-06-19T18:03:08"/>
    <d v="2026-06-29T09:50:41"/>
    <n v="13907.55"/>
    <n v="16.37"/>
    <n v="120"/>
    <s v="SLA Met"/>
    <m/>
    <n v="129600"/>
    <n v="129583.63"/>
    <n v="99.987368827160495"/>
    <n v="115692.45"/>
    <n v="89.26886574074075"/>
  </r>
  <r>
    <s v="Jubilant Foodworks Ltd (JFL)"/>
    <s v="Email"/>
    <s v="Dheerendra Maurya"/>
    <s v="PRO/INC/51782"/>
    <s v="IP Assign Issue | Nagpur-- Q5JG-TM9S-PLFP"/>
    <s v="Meraki Managed Services"/>
    <s v="Software / Configuration"/>
    <x v="2"/>
    <s v="Q5JG-TM9S-PLFP"/>
    <s v="Q5JG-TM9S-PLFP"/>
    <s v="RACK 2"/>
    <x v="0"/>
    <s v="JFL-NAG-SSC-SW02"/>
    <s v="C9300L-24P-4X"/>
    <s v="cs-17-2-2"/>
    <m/>
    <s v="Non-Core"/>
    <s v="Closed"/>
    <x v="6"/>
    <s v="checking on meraki dashboard"/>
    <s v="we observed that the DHCP server MAC address was blocked. After unblocking the DHCP MAC address, the client was able to obtain an IP address successfully and is now functioning normally"/>
    <d v="2026-06-19T18:23:14"/>
    <d v="2026-06-20T19:27:00"/>
    <n v="1503.77"/>
    <d v="2026-06-19T18:23:13"/>
    <n v="0"/>
    <n v="30"/>
    <s v="SLA Met"/>
    <d v="2026-06-19T18:49:55"/>
    <d v="2026-06-20T19:25:28"/>
    <n v="1475.55"/>
    <n v="28.22"/>
    <n v="120"/>
    <s v="SLA Met"/>
    <m/>
    <n v="129600"/>
    <n v="129571.78"/>
    <n v="99.978225308641981"/>
    <n v="128124.45"/>
    <n v="98.861458333333331"/>
  </r>
  <r>
    <s v="Jubilant Foodworks Ltd (JFL)"/>
    <s v="Alert"/>
    <s v="Jagadisha R"/>
    <s v="PRO/INC/51790"/>
    <s v="new dhcp server detected"/>
    <s v="Meraki Managed Services"/>
    <s v="Software / Configuration"/>
    <x v="0"/>
    <s v="Q2DW-FPMF-3AL6"/>
    <s v="Q2DW-FPMF-3AL6"/>
    <s v="CORE"/>
    <x v="0"/>
    <s v="CORE-2"/>
    <s v="MS425-32"/>
    <s v="switch-17-1-4"/>
    <m/>
    <s v="Non-Core"/>
    <s v="Closed"/>
    <x v="4"/>
    <s v="Will inform customer, will wait for his confirmation"/>
    <s v="we are closing the case internally as of now, if same mac appears in the future , will take action"/>
    <d v="2026-06-19T21:52:08"/>
    <d v="2026-06-25T12:25:00"/>
    <n v="8072.87"/>
    <d v="2026-06-19T21:52:08"/>
    <n v="0"/>
    <n v="30"/>
    <s v="SLA Met"/>
    <d v="2026-06-19T21:58:34"/>
    <d v="2026-06-25T12:21:33"/>
    <n v="8062.98"/>
    <n v="9.8800000000000008"/>
    <n v="120"/>
    <s v="SLA Met"/>
    <m/>
    <n v="129600"/>
    <n v="129590.12"/>
    <n v="99.992376543209872"/>
    <n v="121537.02"/>
    <n v="93.778564814814814"/>
  </r>
  <r>
    <s v="Jubilant Foodworks Ltd (JFL)"/>
    <s v="Alert"/>
    <s v="Jagadisha R"/>
    <s v="PRO/INC/51792"/>
    <s v="switches went down"/>
    <s v="Meraki Managed Services"/>
    <s v="Software / Configuration"/>
    <x v="0"/>
    <s v="Q2ZP-D487-83QR"/>
    <s v="Q2ZP-D487-83QR"/>
    <s v="GF-R1"/>
    <x v="0"/>
    <s v="GF-R1-SW1"/>
    <s v="MS350-48FP"/>
    <s v="switch-17-2-2"/>
    <m/>
    <s v="Core"/>
    <s v="Closed"/>
    <x v="0"/>
    <s v="Power issues"/>
    <s v="power issue"/>
    <d v="2026-06-19T21:55:59"/>
    <d v="2026-06-20T11:35:01"/>
    <n v="819.03"/>
    <d v="2026-06-19T21:56:00"/>
    <n v="0.02"/>
    <n v="30"/>
    <s v="SLA Met"/>
    <d v="2026-06-19T21:59:33"/>
    <d v="2026-06-20T11:31:41"/>
    <n v="812.13"/>
    <n v="6.9"/>
    <n v="120"/>
    <s v="SLA Met"/>
    <m/>
    <n v="129600"/>
    <n v="129593.1"/>
    <n v="99.994675925925932"/>
    <n v="128787.87"/>
    <n v="99.37335648148148"/>
  </r>
  <r>
    <s v="Jubilant Foodworks Ltd (JFL)"/>
    <s v="Alert"/>
    <s v="Jagadisha R"/>
    <s v="PRO/INC/51791"/>
    <s v="switches went down"/>
    <s v="Meraki Managed Services"/>
    <s v="Software / Configuration"/>
    <x v="0"/>
    <s v="Q2ZP-AZ5F-V97Y"/>
    <s v="Q2ZP-AZ5F-V97Y"/>
    <s v="GF-R1"/>
    <x v="0"/>
    <s v="GF-R1-SW2"/>
    <s v="MS350-48FP"/>
    <s v="switch-17-2-2"/>
    <m/>
    <s v="Core"/>
    <s v="Closed"/>
    <x v="0"/>
    <s v="Power issues"/>
    <s v="Power issues"/>
    <d v="2026-06-19T21:55:59"/>
    <d v="2026-06-20T11:36:14"/>
    <n v="820.25"/>
    <d v="2026-06-19T21:55:59"/>
    <n v="0"/>
    <n v="30"/>
    <s v="SLA Met"/>
    <d v="2026-06-19T22:00:16"/>
    <d v="2026-06-20T11:32:45"/>
    <n v="812.48"/>
    <n v="7.77"/>
    <n v="120"/>
    <s v="SLA Met"/>
    <m/>
    <n v="129600"/>
    <n v="129592.23"/>
    <n v="99.994004629629629"/>
    <n v="128787.52"/>
    <n v="99.373086419753093"/>
  </r>
  <r>
    <s v="Jubilant Foodworks Ltd (JFL)"/>
    <s v="Alert"/>
    <s v="Jagadisha R"/>
    <s v="PRO/INC/51793"/>
    <s v="aps went down"/>
    <s v="Meraki Managed Services"/>
    <s v="Software / Configuration"/>
    <x v="0"/>
    <s v="Q5AE-C77W-8YW3"/>
    <s v="Q5AE-C77W-8YW3"/>
    <s v="NA"/>
    <x v="1"/>
    <s v="GF-AP03-R01-SW02-39P"/>
    <s v="CW9166I"/>
    <s v="wireless-31-1-8"/>
    <m/>
    <s v="Non-Core"/>
    <s v="Closed"/>
    <x v="0"/>
    <s v="Power issues"/>
    <s v="Power issues"/>
    <d v="2026-06-19T21:57:49"/>
    <d v="2026-06-20T11:37:14"/>
    <n v="819.42"/>
    <d v="2026-06-19T21:57:50"/>
    <n v="0.02"/>
    <n v="30"/>
    <s v="SLA Met"/>
    <d v="2026-06-19T22:01:07"/>
    <d v="2026-06-20T11:34:00"/>
    <n v="812.88"/>
    <n v="6.53"/>
    <n v="120"/>
    <s v="SLA Met"/>
    <m/>
    <n v="129600"/>
    <n v="129593.47"/>
    <n v="99.994961419753096"/>
    <n v="128787.12"/>
    <n v="99.37277777777777"/>
  </r>
  <r>
    <s v="Jubilant Foodworks Ltd (JFL)"/>
    <s v="Alert"/>
    <s v="Abhishek Satish Pawar"/>
    <s v="PRO/INC/51925"/>
    <s v="new dhcp server detected"/>
    <s v="Meraki Managed Services"/>
    <s v="Software / Configuration"/>
    <x v="2"/>
    <s v="Q5JJ-68KZ-MXAS"/>
    <s v="Q5JJ-68KZ-MXAS"/>
    <s v="RACK 1"/>
    <x v="0"/>
    <s v="JFL-NAG-SSC-SW01"/>
    <s v="C9300L-48P-4X"/>
    <s v="cs-17-2-2"/>
    <m/>
    <s v="Non-Core"/>
    <s v="Closed"/>
    <x v="3"/>
    <s v="New server detected"/>
    <s v="Resolved"/>
    <d v="2026-06-21T07:06:28"/>
    <d v="2026-06-24T12:07:00"/>
    <n v="4620.53"/>
    <d v="2026-06-21T07:06:29"/>
    <n v="0.02"/>
    <n v="30"/>
    <s v="SLA Met"/>
    <d v="2026-06-21T07:25:53"/>
    <d v="2026-06-24T12:02:08"/>
    <n v="4596.25"/>
    <n v="24.28"/>
    <n v="120"/>
    <s v="SLA Met"/>
    <m/>
    <n v="129600"/>
    <n v="129575.72"/>
    <n v="99.981265432098766"/>
    <n v="125003.75"/>
    <n v="96.45351080246914"/>
  </r>
  <r>
    <s v="Jubilant Foodworks Ltd (JFL)"/>
    <s v="Alert"/>
    <s v="Abhishek Satish Pawar"/>
    <s v="PRO/INC/51927"/>
    <s v="new dhcp server detected"/>
    <s v="Meraki Managed Services"/>
    <s v="Software / Configuration"/>
    <x v="2"/>
    <s v="Q5JJ-68KZ-MXAS"/>
    <s v="Q5JJ-68KZ-MXAS"/>
    <s v="RACK 1"/>
    <x v="0"/>
    <s v="JFL-NAG-SSC-SW01"/>
    <s v="C9300L-48P-4X"/>
    <s v="cs-17-2-2"/>
    <m/>
    <s v="Non-Core"/>
    <s v="Closed"/>
    <x v="3"/>
    <s v="new server detected"/>
    <s v="Resolved"/>
    <d v="2026-06-21T07:15:59"/>
    <d v="2026-06-24T12:10:00"/>
    <n v="4614.0200000000004"/>
    <d v="2026-06-21T07:16:00"/>
    <n v="0.02"/>
    <n v="30"/>
    <s v="SLA Met"/>
    <d v="2026-06-21T07:27:49"/>
    <d v="2026-06-24T12:04:54"/>
    <n v="4597.08"/>
    <n v="16.93"/>
    <n v="120"/>
    <s v="SLA Met"/>
    <m/>
    <n v="129600"/>
    <n v="129583.07"/>
    <n v="99.986936728395065"/>
    <n v="125002.92"/>
    <n v="96.452870370370363"/>
  </r>
  <r>
    <s v="Jubilant Foodworks Ltd (JFL)"/>
    <s v="Alert"/>
    <s v="Shresth Kushwaha"/>
    <s v="PRO/INC/52387"/>
    <s v="switches went down"/>
    <s v="Meraki Managed Services"/>
    <s v="Software / Configuration"/>
    <x v="3"/>
    <s v="Q3LP-2PSJ-6DLB"/>
    <s v="Q3LP-2PSJ-6DLB"/>
    <s v="TRANSPORT ROOM"/>
    <x v="0"/>
    <s v="JFL-MOHALI-ACC-SW-01(Transport Room)"/>
    <s v="MS130-12X"/>
    <s v="switch-17-2-1"/>
    <m/>
    <s v="Core"/>
    <s v="Closed"/>
    <x v="0"/>
    <s v="power issue"/>
    <s v="switch wents down due to Power issue"/>
    <d v="2026-06-21T14:59:10"/>
    <d v="2026-06-21T18:28:00"/>
    <n v="208.83"/>
    <d v="2026-06-21T14:59:12"/>
    <n v="0.03"/>
    <n v="30"/>
    <s v="SLA Met"/>
    <d v="2026-06-21T15:03:02"/>
    <d v="2026-06-21T18:26:54"/>
    <n v="203.87"/>
    <n v="4.97"/>
    <n v="120"/>
    <s v="SLA Met"/>
    <m/>
    <n v="129600"/>
    <n v="129595.03"/>
    <n v="99.996165123456791"/>
    <n v="129396.13"/>
    <n v="99.842692901234571"/>
  </r>
  <r>
    <s v="Jubilant Foodworks Ltd (JFL)"/>
    <s v="Alert"/>
    <s v="Shresth Kushwaha"/>
    <s v="PRO/INC/52389"/>
    <s v="aps went down"/>
    <s v="Meraki Managed Services"/>
    <s v="Software / Configuration"/>
    <x v="3"/>
    <s v="Q3KG-9RDD-U5HG"/>
    <s v="Q3KG-9RDD-U5HG"/>
    <s v="NA"/>
    <x v="1"/>
    <s v="JFL-Mohali-SCC-AP12"/>
    <s v="MR86"/>
    <s v="wireless-31-1-7"/>
    <m/>
    <s v="Non-Core"/>
    <s v="Closed"/>
    <x v="0"/>
    <s v="power issue"/>
    <s v="AP wents down due to power issue"/>
    <d v="2026-06-21T14:59:11"/>
    <d v="2026-06-21T18:45:00"/>
    <n v="225.82"/>
    <d v="2026-06-21T14:59:12"/>
    <n v="0.02"/>
    <n v="30"/>
    <s v="SLA Met"/>
    <d v="2026-06-21T15:06:09"/>
    <d v="2026-06-21T18:42:59"/>
    <n v="216.83"/>
    <n v="8.98"/>
    <n v="120"/>
    <s v="SLA Met"/>
    <m/>
    <n v="129600"/>
    <n v="129591.02"/>
    <n v="99.99307098765432"/>
    <n v="129383.17"/>
    <n v="99.832692901234566"/>
  </r>
  <r>
    <s v="Jubilant Foodworks Ltd (JFL)"/>
    <s v="Alert"/>
    <s v="Shresth Kushwaha"/>
    <s v="PRO/INC/52388"/>
    <s v="aps went down"/>
    <s v="Meraki Managed Services"/>
    <s v="Software / Configuration"/>
    <x v="3"/>
    <s v="Q3KG-Y9ZZ-W8HK"/>
    <s v="Q3KG-Y9ZZ-W8HK"/>
    <s v="NA"/>
    <x v="1"/>
    <s v="JFL-Mohali-SCC-AP15"/>
    <s v="MR86"/>
    <s v="wireless-31-1-7"/>
    <m/>
    <s v="Non-Core"/>
    <s v="Closed"/>
    <x v="0"/>
    <s v="power issue"/>
    <s v="ap wents down due to Power issue"/>
    <d v="2026-06-21T14:59:11"/>
    <d v="2026-06-21T18:27:00"/>
    <n v="207.82"/>
    <d v="2026-06-21T14:59:12"/>
    <n v="0.02"/>
    <n v="30"/>
    <s v="SLA Met"/>
    <d v="2026-06-21T15:08:11"/>
    <d v="2026-06-21T18:26:12"/>
    <n v="198.02"/>
    <n v="9.8000000000000007"/>
    <n v="120"/>
    <s v="SLA Met"/>
    <m/>
    <n v="129600"/>
    <n v="129590.2"/>
    <n v="99.992438271604939"/>
    <n v="129401.98"/>
    <n v="99.847206790123451"/>
  </r>
  <r>
    <s v="Jubilant Foodworks Ltd (JFL)"/>
    <s v="Alert"/>
    <s v="Shresth Kushwaha"/>
    <s v="PRO/INC/52392"/>
    <s v="aps went down"/>
    <s v="Meraki Managed Services"/>
    <s v="Software / Configuration"/>
    <x v="3"/>
    <s v="Q5AR-A7VQ-MZJM"/>
    <s v="Q5AR-A7VQ-MZJM"/>
    <s v="NA"/>
    <x v="1"/>
    <s v="JFL-Mohali-SCC-AP13"/>
    <s v="CW9166I"/>
    <s v="wireless-31-1-7"/>
    <m/>
    <s v="Non-Core"/>
    <s v="Closed"/>
    <x v="0"/>
    <s v="power issue"/>
    <s v="ap wents down due to Power issue"/>
    <d v="2026-06-21T14:59:30"/>
    <d v="2026-06-21T18:29:00"/>
    <n v="209.5"/>
    <d v="2026-06-21T14:59:30"/>
    <n v="0"/>
    <n v="30"/>
    <s v="SLA Met"/>
    <d v="2026-06-21T15:09:11"/>
    <d v="2026-06-21T18:25:23"/>
    <n v="196.2"/>
    <n v="13.3"/>
    <n v="120"/>
    <s v="SLA Met"/>
    <m/>
    <n v="129600"/>
    <n v="129586.7"/>
    <n v="99.98973765432099"/>
    <n v="129403.8"/>
    <n v="99.848611111111126"/>
  </r>
  <r>
    <s v="Jubilant Foodworks Ltd (JFL)"/>
    <s v="Alert"/>
    <s v="Shresth Kushwaha"/>
    <s v="PRO/INC/52394"/>
    <s v="switches went down"/>
    <s v="Meraki Managed Services"/>
    <s v="Software / Configuration"/>
    <x v="3"/>
    <s v="Q3LM-TGAF-Q97P"/>
    <s v="Q3LM-TGAF-Q97P"/>
    <s v="WAREHOUSE"/>
    <x v="0"/>
    <s v="JFL-MOHALI-ACC-SW-02"/>
    <s v="MS130-8P"/>
    <s v="switch-17-2-1"/>
    <m/>
    <s v="Core"/>
    <s v="Closed"/>
    <x v="0"/>
    <s v="power issue"/>
    <s v="switch wents down due to Power issue"/>
    <d v="2026-06-21T14:59:40"/>
    <d v="2026-06-21T18:25:00"/>
    <n v="205.33"/>
    <d v="2026-06-21T14:59:40"/>
    <n v="0"/>
    <n v="30"/>
    <s v="SLA Met"/>
    <d v="2026-06-21T15:10:09"/>
    <d v="2026-06-21T18:24:30"/>
    <n v="194.35"/>
    <n v="10.98"/>
    <n v="120"/>
    <s v="SLA Met"/>
    <m/>
    <n v="129600"/>
    <n v="129589.02"/>
    <n v="99.991527777777776"/>
    <n v="129405.65"/>
    <n v="99.850038580246917"/>
  </r>
  <r>
    <s v="Jubilant Foodworks Ltd (JFL)"/>
    <s v="Alert"/>
    <s v="Shresth Kushwaha"/>
    <s v="PRO/INC/52395"/>
    <s v="aps went down"/>
    <s v="Meraki Managed Services"/>
    <s v="Software / Configuration"/>
    <x v="3"/>
    <s v="Q5AR-56BZ-6TSR"/>
    <s v="Q5AR-56BZ-6TSR"/>
    <s v="NA"/>
    <x v="1"/>
    <s v="JFL-Mohali-SCC-AP01"/>
    <s v="CW9166I"/>
    <s v="wireless-31-1-7"/>
    <m/>
    <s v="Non-Core"/>
    <s v="Closed"/>
    <x v="0"/>
    <s v="power issue"/>
    <s v="ap wents down due to Power issue"/>
    <d v="2026-06-21T14:59:40"/>
    <d v="2026-06-21T18:26:00"/>
    <n v="206.33"/>
    <d v="2026-06-21T14:59:41"/>
    <n v="0.02"/>
    <n v="30"/>
    <s v="SLA Met"/>
    <d v="2026-06-21T15:12:17"/>
    <d v="2026-06-21T18:23:54"/>
    <n v="191.62"/>
    <n v="14.72"/>
    <n v="120"/>
    <s v="SLA Met"/>
    <m/>
    <n v="129600"/>
    <n v="129585.28"/>
    <n v="99.988641975308639"/>
    <n v="129408.38"/>
    <n v="99.852145061728407"/>
  </r>
  <r>
    <s v="Jubilant Foodworks Ltd (JFL)"/>
    <s v="Alert"/>
    <s v="Shresth Kushwaha"/>
    <s v="PRO/INC/52396"/>
    <s v="aps went down"/>
    <s v="Meraki Managed Services"/>
    <s v="Software / Configuration"/>
    <x v="3"/>
    <s v="Q5AR-TEZ8-EZVW"/>
    <s v="Q5AR-TEZ8-EZVW"/>
    <s v="NA"/>
    <x v="1"/>
    <s v="JFL-Mohali-SCC-AP09"/>
    <s v="CW9166I"/>
    <s v="wireless-31-1-7"/>
    <m/>
    <s v="Non-Core"/>
    <s v="Closed"/>
    <x v="0"/>
    <s v="power issue"/>
    <s v="ap wents down due to Power issue"/>
    <d v="2026-06-21T14:59:50"/>
    <d v="2026-06-21T18:27:00"/>
    <n v="207.17"/>
    <d v="2026-06-21T14:59:51"/>
    <n v="0.02"/>
    <n v="30"/>
    <s v="SLA Met"/>
    <d v="2026-06-21T15:12:43"/>
    <d v="2026-06-21T18:23:11"/>
    <n v="190.47"/>
    <n v="16.7"/>
    <n v="120"/>
    <s v="SLA Met"/>
    <m/>
    <n v="129600"/>
    <n v="129583.3"/>
    <n v="99.987114197530872"/>
    <n v="129409.53"/>
    <n v="99.853032407407412"/>
  </r>
  <r>
    <s v="Jubilant Foodworks Ltd (JFL)"/>
    <s v="Alert"/>
    <s v="Shresth Kushwaha"/>
    <s v="PRO/INC/52400"/>
    <s v="aps went down"/>
    <s v="Meraki Managed Services"/>
    <s v="Software / Configuration"/>
    <x v="3"/>
    <s v="Q5AA-S8HG-F6YT"/>
    <s v="Q5AA-S8HG-F6YT"/>
    <s v="NA"/>
    <x v="1"/>
    <s v="JFL-Mohali-SCC-AP04"/>
    <s v="CW9162I"/>
    <s v="wireless-31-1-7"/>
    <m/>
    <s v="Non-Core"/>
    <s v="Closed"/>
    <x v="0"/>
    <s v="power issue"/>
    <s v="ap wents down due to Power issue"/>
    <d v="2026-06-21T15:00:30"/>
    <d v="2026-06-21T18:23:00"/>
    <n v="202.5"/>
    <d v="2026-06-21T15:00:31"/>
    <n v="0.02"/>
    <n v="30"/>
    <s v="SLA Met"/>
    <d v="2026-06-21T15:11:38"/>
    <d v="2026-06-21T18:21:58"/>
    <n v="190.33"/>
    <n v="12.17"/>
    <n v="120"/>
    <s v="SLA Met"/>
    <m/>
    <n v="129600"/>
    <n v="129587.83"/>
    <n v="99.990609567901231"/>
    <n v="129409.67"/>
    <n v="99.853140432098769"/>
  </r>
  <r>
    <s v="Jubilant Foodworks Ltd (JFL)"/>
    <s v="Alert"/>
    <s v="Dheerendra Maurya"/>
    <s v="PRO/INC/52758"/>
    <s v="aps went down"/>
    <s v="Meraki Managed Services"/>
    <s v="Software / Configuration"/>
    <x v="3"/>
    <s v="Q3KG-Y9ZZ-W8HK"/>
    <s v="Q3KG-Y9ZZ-W8HK"/>
    <s v="NA"/>
    <x v="1"/>
    <s v="JFL-Mohali-SCC-AP15"/>
    <s v="MR86"/>
    <s v="wireless-31-1-7"/>
    <m/>
    <s v="Non-Core"/>
    <s v="Closed"/>
    <x v="0"/>
    <s v="Device Power issues"/>
    <s v="AP went down due to isp issue"/>
    <d v="2026-06-21T22:19:49"/>
    <d v="2026-06-23T00:19:00"/>
    <n v="1559.18"/>
    <d v="2026-06-21T22:19:50"/>
    <n v="0.02"/>
    <n v="30"/>
    <s v="SLA Met"/>
    <d v="2026-06-21T22:35:17"/>
    <d v="2026-06-23T00:16:32"/>
    <n v="1541.25"/>
    <n v="17.93"/>
    <n v="120"/>
    <s v="SLA Met"/>
    <m/>
    <n v="129600"/>
    <n v="129582.07"/>
    <n v="99.9861651234568"/>
    <n v="128058.75"/>
    <n v="98.810763888888886"/>
  </r>
  <r>
    <s v="Jubilant Foodworks Ltd (JFL)"/>
    <s v="Alert"/>
    <s v="Dheerendra Maurya"/>
    <s v="PRO/INC/52757"/>
    <s v="aps went down"/>
    <s v="Meraki Managed Services"/>
    <s v="Software / Configuration"/>
    <x v="3"/>
    <s v="Q3KG-9RDD-U5HG"/>
    <s v="Q3KG-9RDD-U5HG"/>
    <s v="NA"/>
    <x v="1"/>
    <s v="JFL-Mohali-SCC-AP12"/>
    <s v="MR86"/>
    <s v="wireless-31-1-7"/>
    <m/>
    <s v="Non-Core"/>
    <s v="Closed"/>
    <x v="0"/>
    <s v="Device Power issues"/>
    <s v="AP went down due to power issue"/>
    <d v="2026-06-21T22:19:49"/>
    <d v="2026-06-22T23:34:00"/>
    <n v="1514.18"/>
    <d v="2026-06-21T22:19:50"/>
    <n v="0.02"/>
    <n v="30"/>
    <s v="SLA Met"/>
    <d v="2026-06-21T22:33:30"/>
    <d v="2026-06-22T23:31:08"/>
    <n v="1497.63"/>
    <n v="16.55"/>
    <n v="120"/>
    <s v="SLA Met"/>
    <m/>
    <n v="129600"/>
    <n v="129583.45"/>
    <n v="99.987229938271611"/>
    <n v="128102.37"/>
    <n v="98.844421296296289"/>
  </r>
  <r>
    <s v="Jubilant Foodworks Ltd (JFL)"/>
    <s v="Alert"/>
    <s v="John Ashis Roy"/>
    <s v="PRO/INC/52760"/>
    <s v="aps went down"/>
    <s v="Meraki Managed Services"/>
    <s v="Software / Configuration"/>
    <x v="3"/>
    <s v="Q5AA-KHJW-U94C"/>
    <s v="Q5AA-KHJW-U94C"/>
    <s v="NA"/>
    <x v="1"/>
    <s v="JFL-Mohali-SCC-AP03"/>
    <s v="CW9162I"/>
    <s v="wireless-31-1-7"/>
    <m/>
    <s v="Non-Core"/>
    <s v="Closed"/>
    <x v="0"/>
    <s v="power issue"/>
    <s v="Resolved"/>
    <d v="2026-06-21T22:19:59"/>
    <d v="2026-06-23T12:24:00"/>
    <n v="2284.02"/>
    <d v="2026-06-21T22:20:00"/>
    <n v="0.02"/>
    <n v="30"/>
    <s v="SLA Met"/>
    <d v="2026-06-21T22:37:34"/>
    <d v="2026-06-23T00:22:50"/>
    <n v="1545.27"/>
    <n v="738.75"/>
    <n v="120"/>
    <s v="SLA Breached"/>
    <m/>
    <n v="129600"/>
    <n v="128861.25"/>
    <n v="99.429976851851848"/>
    <n v="128054.73"/>
    <n v="98.807662037037034"/>
  </r>
  <r>
    <s v="Jubilant Foodworks Ltd (JFL)"/>
    <s v="Alert"/>
    <s v="John Ashis Roy"/>
    <s v="PRO/INC/52761"/>
    <s v="switches went down"/>
    <s v="Meraki Managed Services"/>
    <s v="Software / Configuration"/>
    <x v="3"/>
    <s v="Q3LM-TGAF-Q97P"/>
    <s v="Q3LM-TGAF-Q97P"/>
    <s v="WAREHOUSE"/>
    <x v="0"/>
    <s v="JFL-MOHALI-ACC-SW-02"/>
    <s v="MS130-8P"/>
    <s v="switch-17-2-1"/>
    <m/>
    <s v="Core"/>
    <s v="Closed"/>
    <x v="0"/>
    <s v="power issue"/>
    <s v="Resolved"/>
    <d v="2026-06-21T22:20:03"/>
    <d v="2026-06-23T12:28:00"/>
    <n v="2287.9499999999998"/>
    <d v="2026-06-21T22:20:04"/>
    <n v="0.02"/>
    <n v="30"/>
    <s v="SLA Met"/>
    <d v="2026-06-21T22:39:23"/>
    <d v="2026-06-23T00:25:33"/>
    <n v="1546.17"/>
    <n v="741.78"/>
    <n v="120"/>
    <s v="SLA Met"/>
    <m/>
    <n v="129600"/>
    <n v="128858.22"/>
    <n v="99.427638888888893"/>
    <n v="128053.83"/>
    <n v="98.806967592592599"/>
  </r>
  <r>
    <s v="Jubilant Foodworks Ltd (JFL)"/>
    <s v="Alert"/>
    <s v="John Ashis Roy"/>
    <s v="PRO/INC/52764"/>
    <s v="aps went down"/>
    <s v="Meraki Managed Services"/>
    <s v="Software / Configuration"/>
    <x v="3"/>
    <s v="Q5AA-43RJ-JQUD"/>
    <s v="Q5AA-43RJ-JQUD"/>
    <s v="NA"/>
    <x v="1"/>
    <s v="JFL-Mohali-SCC-AP10"/>
    <s v="CW9162I"/>
    <s v="wireless-31-1-7"/>
    <m/>
    <s v="Non-Core"/>
    <s v="Closed"/>
    <x v="0"/>
    <s v="power issue"/>
    <s v="Resolved"/>
    <d v="2026-06-21T22:20:09"/>
    <d v="2026-06-23T12:30:00"/>
    <n v="2289.85"/>
    <d v="2026-06-21T22:20:10"/>
    <n v="0.02"/>
    <n v="30"/>
    <s v="SLA Met"/>
    <d v="2026-06-21T22:40:56"/>
    <d v="2026-06-23T00:29:14"/>
    <n v="1548.3"/>
    <n v="741.55"/>
    <n v="120"/>
    <s v="SLA Breached"/>
    <m/>
    <n v="129600"/>
    <n v="128858.45"/>
    <n v="99.427816358024685"/>
    <n v="128051.7"/>
    <n v="98.805324074074079"/>
  </r>
  <r>
    <s v="Jubilant Foodworks Ltd (JFL)"/>
    <s v="Alert"/>
    <s v="John Ashis Roy"/>
    <s v="PRO/INC/52765"/>
    <s v="switches went down"/>
    <s v="Meraki Managed Services"/>
    <s v="Software / Configuration"/>
    <x v="3"/>
    <s v="Q3LP-2PSJ-6DLB"/>
    <s v="Q3LP-2PSJ-6DLB"/>
    <s v="TRANSPORT ROOM"/>
    <x v="0"/>
    <s v="JFL-MOHALI-ACC-SW-01(Transport Room)"/>
    <s v="MS130-12X"/>
    <s v="switch-17-2-1"/>
    <m/>
    <s v="Core"/>
    <s v="Closed"/>
    <x v="0"/>
    <s v="power issue"/>
    <s v="Resolved"/>
    <d v="2026-06-21T22:20:19"/>
    <d v="2026-06-23T12:32:00"/>
    <n v="2291.6799999999998"/>
    <d v="2026-06-21T22:20:20"/>
    <n v="0.02"/>
    <n v="30"/>
    <s v="SLA Met"/>
    <d v="2026-06-21T22:42:21"/>
    <d v="2026-06-23T00:31:30"/>
    <n v="1549.15"/>
    <n v="742.53"/>
    <n v="120"/>
    <s v="SLA Met"/>
    <m/>
    <n v="129600"/>
    <n v="128857.47"/>
    <n v="99.427060185185184"/>
    <n v="128050.85"/>
    <n v="98.804668209876539"/>
  </r>
  <r>
    <s v="Jubilant Foodworks Ltd (JFL)"/>
    <s v="Alert"/>
    <s v="John Ashis Roy"/>
    <s v="PRO/INC/52768"/>
    <s v="aps went down"/>
    <s v="Meraki Managed Services"/>
    <s v="Software / Configuration"/>
    <x v="3"/>
    <s v="Q5AA-E8FN-53RX"/>
    <s v="Q5AA-E8FN-53RX"/>
    <s v="NA"/>
    <x v="1"/>
    <s v="JFL-Mohali-SCC-AP07"/>
    <s v="CW9162I"/>
    <s v="wireless-31-1-7"/>
    <m/>
    <s v="Non-Core"/>
    <s v="Closed"/>
    <x v="0"/>
    <s v="power issue"/>
    <s v="Resolved"/>
    <d v="2026-06-21T22:20:28"/>
    <d v="2026-06-23T12:36:00"/>
    <n v="2295.5300000000002"/>
    <d v="2026-06-21T22:20:29"/>
    <n v="0.02"/>
    <n v="30"/>
    <s v="SLA Met"/>
    <d v="2026-06-21T22:43:38"/>
    <d v="2026-06-23T00:34:31"/>
    <n v="1550.88"/>
    <n v="744.65"/>
    <n v="120"/>
    <s v="SLA Breached"/>
    <m/>
    <n v="129600"/>
    <n v="128855.35"/>
    <n v="99.425424382716059"/>
    <n v="128049.12"/>
    <n v="98.803333333333327"/>
  </r>
  <r>
    <s v="Jubilant Foodworks Ltd (JFL)"/>
    <s v="Alert"/>
    <s v="John Ashis Roy"/>
    <s v="PRO/INC/52770"/>
    <s v="aps went down"/>
    <s v="Meraki Managed Services"/>
    <s v="Software / Configuration"/>
    <x v="3"/>
    <s v="Q5AR-A7VQ-MZJM"/>
    <s v="Q5AR-A7VQ-MZJM"/>
    <s v="NA"/>
    <x v="1"/>
    <s v="JFL-Mohali-SCC-AP13"/>
    <s v="CW9166I"/>
    <s v="wireless-31-1-7"/>
    <m/>
    <s v="Non-Core"/>
    <s v="Closed"/>
    <x v="0"/>
    <s v="power issue"/>
    <s v="Resolved"/>
    <d v="2026-06-21T22:20:38"/>
    <d v="2026-06-23T12:38:00"/>
    <n v="2297.37"/>
    <d v="2026-06-21T22:20:40"/>
    <n v="0.03"/>
    <n v="30"/>
    <s v="SLA Met"/>
    <d v="2026-06-21T22:45:20"/>
    <d v="2026-06-23T00:37:25"/>
    <n v="1552.08"/>
    <n v="745.28"/>
    <n v="120"/>
    <s v="SLA Breached"/>
    <m/>
    <n v="129600"/>
    <n v="128854.72"/>
    <n v="99.42493827160493"/>
    <n v="128047.92"/>
    <n v="98.802407407407415"/>
  </r>
  <r>
    <s v="Jubilant Foodworks Ltd (JFL)"/>
    <s v="Alert"/>
    <s v="John Ashis Roy"/>
    <s v="PRO/INC/52771"/>
    <s v="aps went down"/>
    <s v="Meraki Managed Services"/>
    <s v="Software / Configuration"/>
    <x v="3"/>
    <s v="Q5AR-56BZ-6TSR"/>
    <s v="Q5AR-56BZ-6TSR"/>
    <s v="NA"/>
    <x v="1"/>
    <s v="JFL-Mohali-SCC-AP01"/>
    <s v="CW9166I"/>
    <s v="wireless-31-1-7"/>
    <m/>
    <s v="Non-Core"/>
    <s v="Closed"/>
    <x v="0"/>
    <s v="power issue"/>
    <s v="Resolved"/>
    <d v="2026-06-21T22:20:42"/>
    <d v="2026-06-23T12:40:00"/>
    <n v="2299.3000000000002"/>
    <d v="2026-06-21T22:20:43"/>
    <n v="0.02"/>
    <n v="30"/>
    <s v="SLA Met"/>
    <d v="2026-06-21T22:46:47"/>
    <d v="2026-06-23T00:39:21"/>
    <n v="1552.57"/>
    <n v="746.73"/>
    <n v="120"/>
    <s v="SLA Breached"/>
    <m/>
    <n v="129600"/>
    <n v="128853.27"/>
    <n v="99.423819444444447"/>
    <n v="128047.43"/>
    <n v="98.802029320987657"/>
  </r>
  <r>
    <s v="Jubilant Foodworks Ltd (JFL)"/>
    <s v="Alert"/>
    <s v="Dharmendra Bhadoriya"/>
    <s v="PRO/INC/52797"/>
    <s v="PM activity at the JLF Mohali"/>
    <s v="Meraki Managed Services"/>
    <s v="PM Activity"/>
    <x v="3"/>
    <m/>
    <s v="Q5JJ-3TZH-2HV5"/>
    <s v="CORE"/>
    <x v="0"/>
    <s v="JFL-MOHALI-CORE-01"/>
    <s v="C9300L-48P-4X"/>
    <s v="cs-17-2-1"/>
    <m/>
    <s v="P4"/>
    <s v="Closed"/>
    <x v="2"/>
    <m/>
    <m/>
    <d v="2026-06-22T11:27:22"/>
    <d v="2026-06-23T16:40:00"/>
    <n v="1752.63"/>
    <d v="2026-06-22T11:27:23"/>
    <n v="0.02"/>
    <n v="30"/>
    <s v="SLA Met"/>
    <m/>
    <m/>
    <n v="0"/>
    <n v="1752.63"/>
    <n v="2880"/>
    <s v="SLA Met"/>
    <m/>
    <n v="129600"/>
    <n v="127847.37"/>
    <n v="98.647662037037037"/>
    <n v="129600"/>
    <n v="100"/>
  </r>
  <r>
    <s v="Jubilant Foodworks Ltd (JFL)"/>
    <s v="Email"/>
    <s v="Jagadisha R"/>
    <s v="PRO/INC/52986"/>
    <s v="Support Required-MZ-R2-SW1---------Q2QW-BWVG-Y4ZU"/>
    <s v="Meraki Managed Services"/>
    <s v="Software / Configuration"/>
    <x v="0"/>
    <m/>
    <s v="Q2QW-BWVG-Y4ZU"/>
    <s v="MZ-R2"/>
    <x v="0"/>
    <s v="MZ-R2-SW1"/>
    <s v="MS250-48FP"/>
    <s v="switch-17-1-4"/>
    <m/>
    <s v="Core"/>
    <s v="Closed"/>
    <x v="4"/>
    <s v="troubleshooting is on going with customer.."/>
    <s v="As part of the troubleshooting, we tested the affected switch ports using spare camera. During testing, some ports were functioning normally, while cameras connected to ports 45, 47, and 48 remained offline. We then rebooted the switch and allowed it to come back online completely. Following the reboot, the cameras connected to ports 45, 47, and 48 came online successfully and obtained IP addresses. At present, all cameras are operational and functioning normally."/>
    <d v="2026-06-23T12:05:20"/>
    <d v="2026-06-26T12:30:00"/>
    <n v="4344.67"/>
    <d v="2026-06-23T12:05:19"/>
    <n v="0"/>
    <n v="30"/>
    <s v="SLA Met"/>
    <d v="2026-06-23T12:13:18"/>
    <d v="2026-06-26T12:24:27"/>
    <n v="4331.1499999999996"/>
    <n v="13.52"/>
    <n v="120"/>
    <s v="SLA Met"/>
    <m/>
    <n v="129600"/>
    <n v="129586.48"/>
    <n v="99.989567901234565"/>
    <n v="125268.85"/>
    <n v="96.658063271604945"/>
  </r>
  <r>
    <s v="Jubilant Foodworks Ltd (JFL)"/>
    <s v="Alert"/>
    <s v="Abhishek Satish Pawar"/>
    <s v="PRO/INC/52992"/>
    <s v="aps went down"/>
    <s v="Meraki Managed Services"/>
    <s v="Software / Configuration"/>
    <x v="4"/>
    <s v="Q5AA-LCK3-FDNW"/>
    <s v="Q5AA-LCK3-FDNW"/>
    <s v="NA"/>
    <x v="1"/>
    <s v="JFL-GNSC-AP37"/>
    <s v="CW9162I"/>
    <s v="wireless-31-1-7"/>
    <m/>
    <s v="Non-Core"/>
    <s v="Closed"/>
    <x v="0"/>
    <s v="power issue"/>
    <s v="Resolved"/>
    <d v="2026-06-23T13:19:53"/>
    <d v="2026-07-01T13:00:00"/>
    <n v="11500.12"/>
    <d v="2026-06-23T13:19:54"/>
    <n v="0.02"/>
    <n v="30"/>
    <s v="SLA Met"/>
    <d v="2026-06-23T13:21:53"/>
    <d v="2026-07-01T12:19:21"/>
    <n v="11457.47"/>
    <n v="42.65"/>
    <n v="120"/>
    <s v="SLA Met"/>
    <m/>
    <n v="129600"/>
    <n v="129557.35"/>
    <n v="99.967091049382717"/>
    <n v="118142.53"/>
    <n v="91.159359567901234"/>
  </r>
  <r>
    <s v="Jubilant Foodworks Ltd (JFL)"/>
    <s v="Alert"/>
    <s v="Abhishek Satish Pawar"/>
    <s v="PRO/INC/52996"/>
    <s v="aps went down"/>
    <s v="Meraki Managed Services"/>
    <s v="Software / Configuration"/>
    <x v="4"/>
    <s v="Q5AA-GHXM-TRTK"/>
    <s v="Q5AA-GHXM-TRTK"/>
    <s v="NA"/>
    <x v="1"/>
    <s v="JFL-GNSC-AP20"/>
    <s v="CW9162I"/>
    <s v="wireless-31-1-7"/>
    <m/>
    <s v="Non-Core"/>
    <s v="Closed"/>
    <x v="0"/>
    <s v="power issue"/>
    <s v="Resolved"/>
    <d v="2026-06-23T13:51:44"/>
    <d v="2026-06-24T12:15:00"/>
    <n v="1343.27"/>
    <d v="2026-06-23T13:51:45"/>
    <n v="0.02"/>
    <n v="30"/>
    <s v="SLA Met"/>
    <d v="2026-06-23T15:13:54"/>
    <d v="2026-06-24T12:13:32"/>
    <n v="1259.6300000000001"/>
    <n v="83.63"/>
    <n v="120"/>
    <s v="SLA Met"/>
    <m/>
    <n v="129600"/>
    <n v="129516.37"/>
    <n v="99.93547067901234"/>
    <n v="128340.37"/>
    <n v="99.028063271604935"/>
  </r>
  <r>
    <s v="Jubilant Foodworks Ltd (JFL)"/>
    <s v="Alert"/>
    <s v="Dharmendra Bhadoriya"/>
    <s v="PRO/INC/53024"/>
    <s v="new dhcp server detected"/>
    <s v="Meraki Managed Services"/>
    <s v="Software / Configuration"/>
    <x v="2"/>
    <s v="Q5JG-TM9S-PLFP"/>
    <s v="Q5JG-TM9S-PLFP"/>
    <s v="RACK 2"/>
    <x v="0"/>
    <s v="JFL-NAG-SSC-SW02"/>
    <s v="C9300L-24P-4X"/>
    <s v="cs-17-2-2"/>
    <m/>
    <s v="Non-Core"/>
    <s v="Closed"/>
    <x v="2"/>
    <s v="Client Side Activity"/>
    <s v="Closed"/>
    <d v="2026-06-24T09:32:06"/>
    <d v="2026-06-25T16:16:00"/>
    <n v="1843.9"/>
    <d v="2026-06-24T09:32:08"/>
    <n v="0.03"/>
    <n v="30"/>
    <s v="SLA Met"/>
    <d v="2026-06-24T09:43:35"/>
    <d v="2026-06-25T16:13:36"/>
    <n v="1830.02"/>
    <n v="13.88"/>
    <n v="120"/>
    <s v="SLA Met"/>
    <m/>
    <n v="129600"/>
    <n v="129586.12"/>
    <n v="99.989290123456783"/>
    <n v="127769.98"/>
    <n v="98.587947530864199"/>
  </r>
  <r>
    <s v="Jubilant Foodworks Ltd (JFL)"/>
    <s v="Alert"/>
    <s v="Abhishek Satish Pawar"/>
    <s v="PRO/INC/53200"/>
    <s v="aps went down"/>
    <s v="Meraki Managed Services"/>
    <s v="Software / Configuration"/>
    <x v="4"/>
    <s v="Q3KG-A9R2-ATYY"/>
    <s v="Q3KG-A9R2-ATYY"/>
    <s v="NA"/>
    <x v="1"/>
    <s v="JFL-GNSC-AP50"/>
    <s v="MR86"/>
    <s v="wireless-31-1-7"/>
    <m/>
    <s v="Non-Core"/>
    <s v="Closed"/>
    <x v="0"/>
    <s v="power issue"/>
    <s v="Resolved"/>
    <d v="2026-06-24T13:05:34"/>
    <d v="2026-07-01T13:00:00"/>
    <n v="10074.43"/>
    <d v="2026-06-24T13:05:35"/>
    <n v="0.02"/>
    <n v="30"/>
    <s v="SLA Met"/>
    <d v="2026-06-24T13:08:03"/>
    <d v="2026-07-01T12:23:08"/>
    <n v="10035.08"/>
    <n v="39.35"/>
    <n v="120"/>
    <s v="SLA Met"/>
    <m/>
    <n v="129600"/>
    <n v="129560.65"/>
    <n v="99.969637345679004"/>
    <n v="119564.92"/>
    <n v="92.256882716049375"/>
  </r>
  <r>
    <s v="Jubilant Foodworks Ltd (JFL)"/>
    <s v="Alert"/>
    <s v="Abhishek Satish Pawar"/>
    <s v="PRO/INC/53213"/>
    <s v="aps went down"/>
    <s v="Meraki Managed Services"/>
    <s v="Software / Configuration"/>
    <x v="4"/>
    <s v="Q5AA-LCK3-FDNW"/>
    <s v="Q5AA-LCK3-FDNW"/>
    <s v="NA"/>
    <x v="1"/>
    <s v="JFL-GNSC-AP37"/>
    <s v="CW9162I"/>
    <s v="wireless-31-1-7"/>
    <m/>
    <s v="Non-Core"/>
    <s v="Closed"/>
    <x v="0"/>
    <s v="power issue"/>
    <s v="Resolved"/>
    <d v="2026-06-24T16:05:16"/>
    <d v="2026-07-01T13:00:00"/>
    <n v="9894.73"/>
    <d v="2026-06-24T16:05:16"/>
    <n v="0"/>
    <n v="30"/>
    <s v="SLA Met"/>
    <d v="2026-06-24T16:06:53"/>
    <d v="2026-07-01T12:35:28"/>
    <n v="9868.58"/>
    <n v="26.15"/>
    <n v="120"/>
    <s v="SLA Met"/>
    <m/>
    <n v="129600"/>
    <n v="129573.85"/>
    <n v="99.979822530864197"/>
    <n v="119731.42"/>
    <n v="92.385354938271604"/>
  </r>
  <r>
    <s v="Jubilant Foodworks Ltd (JFL)"/>
    <s v="Email"/>
    <s v="Dharmendra Bhadoriya"/>
    <s v="PRO/INC/53219"/>
    <s v="Port Reset | JFL, Nagpur"/>
    <s v="Meraki Managed Services"/>
    <s v="Change Request"/>
    <x v="2"/>
    <s v="Q2GW-KK6C-3U9A"/>
    <s v="Q2GW-KK6C-3U9A"/>
    <s v="RACK 3"/>
    <x v="0"/>
    <n v="1"/>
    <e v="#N/A"/>
    <e v="#N/A"/>
    <m/>
    <s v="P4"/>
    <s v="Closed"/>
    <x v="1"/>
    <s v="New configuration"/>
    <s v="issue resolved"/>
    <d v="2026-06-24T17:18:14"/>
    <d v="2026-06-25T09:10:00"/>
    <n v="951.77"/>
    <d v="2026-06-24T17:18:13"/>
    <n v="0"/>
    <n v="30"/>
    <s v="SLA Met"/>
    <d v="2026-06-24T17:34:42"/>
    <d v="2026-06-25T09:05:49"/>
    <n v="931.12"/>
    <n v="20.65"/>
    <n v="2880"/>
    <s v="SLA Met"/>
    <m/>
    <n v="129600"/>
    <n v="129579.35"/>
    <n v="99.984066358024691"/>
    <n v="128668.88"/>
    <n v="99.281543209876546"/>
  </r>
  <r>
    <s v="Jubilant Foodworks Ltd (JFL)"/>
    <s v="Alert"/>
    <s v="Dheerendra Maurya"/>
    <s v="PRO/INC/53224"/>
    <s v="switches went down"/>
    <s v="Meraki Managed Services"/>
    <s v="Software / Configuration"/>
    <x v="0"/>
    <s v="Q2QW-CANP-QCYR"/>
    <s v="Q2QW-CANP-QCYR"/>
    <s v="1F-R5"/>
    <x v="0"/>
    <s v="1F-R5-SW1"/>
    <s v="MS250-48FP"/>
    <s v="switch-17-1-4"/>
    <m/>
    <s v="Core"/>
    <s v="Closed"/>
    <x v="0"/>
    <s v="power issue"/>
    <s v="Switch went down due to power issue"/>
    <d v="2026-06-24T22:54:30"/>
    <d v="2026-06-25T06:26:00"/>
    <n v="451.5"/>
    <d v="2026-06-24T22:54:31"/>
    <n v="0.02"/>
    <n v="30"/>
    <s v="SLA Met"/>
    <d v="2026-06-24T22:59:22"/>
    <d v="2026-06-25T06:24:32"/>
    <n v="445.17"/>
    <n v="6.33"/>
    <n v="120"/>
    <s v="SLA Met"/>
    <m/>
    <n v="129600"/>
    <n v="129593.67"/>
    <n v="99.995115740740744"/>
    <n v="129154.83"/>
    <n v="99.656504629629623"/>
  </r>
  <r>
    <s v="Jubilant Foodworks Ltd (JFL)"/>
    <s v="Alert"/>
    <s v="Dheerendra Maurya"/>
    <s v="PRO/INC/53225"/>
    <s v="switches went down"/>
    <s v="Meraki Managed Services"/>
    <s v="Software / Configuration"/>
    <x v="0"/>
    <s v="Q2QW-CAKK-KNXD"/>
    <s v="Q2QW-CAKK-KNXD"/>
    <s v="1F-R4"/>
    <x v="0"/>
    <s v="1F-R4-SW2"/>
    <s v="MS250-48FP"/>
    <s v="switch-17-1-4"/>
    <m/>
    <s v="Core"/>
    <s v="Closed"/>
    <x v="0"/>
    <s v="power issue"/>
    <s v="Switch went down due to power issue"/>
    <d v="2026-06-24T22:54:39"/>
    <d v="2026-06-25T06:27:00"/>
    <n v="452.35"/>
    <d v="2026-06-24T22:54:40"/>
    <n v="0.02"/>
    <n v="30"/>
    <s v="SLA Met"/>
    <d v="2026-06-24T23:03:19"/>
    <d v="2026-06-25T06:26:06"/>
    <n v="442.78"/>
    <n v="9.57"/>
    <n v="120"/>
    <s v="SLA Met"/>
    <m/>
    <n v="129600"/>
    <n v="129590.43"/>
    <n v="99.992615740740732"/>
    <n v="129157.22"/>
    <n v="99.658348765432109"/>
  </r>
  <r>
    <s v="Jubilant Foodworks Ltd (JFL)"/>
    <s v="Alert"/>
    <s v="Dheerendra Maurya"/>
    <s v="PRO/INC/53226"/>
    <s v="switches went down"/>
    <s v="Meraki Managed Services"/>
    <s v="Software / Configuration"/>
    <x v="0"/>
    <s v="Q2QW-GPBW-SLG9"/>
    <s v="Q2QW-GPBW-SLG9"/>
    <s v="1F-R5"/>
    <x v="0"/>
    <s v="1F-R5-SW3"/>
    <s v="MS250-48FP"/>
    <s v="switch-17-2-2"/>
    <m/>
    <s v="Core"/>
    <s v="Closed"/>
    <x v="0"/>
    <s v="power issue"/>
    <s v="Switch went down due to power issue"/>
    <d v="2026-06-24T22:54:39"/>
    <d v="2026-06-25T06:29:00"/>
    <n v="454.35"/>
    <d v="2026-06-24T22:54:40"/>
    <n v="0.02"/>
    <n v="30"/>
    <s v="SLA Met"/>
    <d v="2026-06-24T23:01:38"/>
    <d v="2026-06-25T06:27:50"/>
    <n v="446.2"/>
    <n v="8.15"/>
    <n v="120"/>
    <s v="SLA Met"/>
    <m/>
    <n v="129600"/>
    <n v="129591.85"/>
    <n v="99.993711419753097"/>
    <n v="129153.8"/>
    <n v="99.655709876543213"/>
  </r>
  <r>
    <s v="Jubilant Foodworks Ltd (JFL)"/>
    <s v="Alert"/>
    <s v="Dheerendra Maurya"/>
    <s v="PRO/INC/53227"/>
    <s v="switches went down"/>
    <s v="Meraki Managed Services"/>
    <s v="Software / Configuration"/>
    <x v="0"/>
    <s v="Q2QW-CTFM-KEQZ"/>
    <s v="Q2QW-CTFM-KEQZ"/>
    <s v="1F-R4"/>
    <x v="0"/>
    <s v="1F-R4-SW1"/>
    <s v="MS250-48FP"/>
    <s v="switch-17-2-2"/>
    <m/>
    <s v="Core"/>
    <s v="Closed"/>
    <x v="0"/>
    <s v="power issue"/>
    <s v="Switch went down due to power issue"/>
    <d v="2026-06-24T22:54:40"/>
    <d v="2026-06-25T06:32:00"/>
    <n v="457.33"/>
    <d v="2026-06-24T22:54:41"/>
    <n v="0.02"/>
    <n v="30"/>
    <s v="SLA Met"/>
    <d v="2026-06-24T23:00:33"/>
    <d v="2026-06-25T06:30:52"/>
    <n v="450.32"/>
    <n v="7.02"/>
    <n v="120"/>
    <s v="SLA Met"/>
    <m/>
    <n v="129600"/>
    <n v="129592.98"/>
    <n v="99.994583333333338"/>
    <n v="129149.68"/>
    <n v="99.65253086419753"/>
  </r>
  <r>
    <s v="Jubilant Foodworks Ltd (JFL)"/>
    <s v="Alert"/>
    <s v="Dheerendra Maurya"/>
    <s v="PRO/INC/53229"/>
    <s v="switches went down"/>
    <s v="Meraki Managed Services"/>
    <s v="Software / Configuration"/>
    <x v="0"/>
    <s v="Q2QW-EX7M-X9M6"/>
    <s v="Q2QW-EX7M-X9M6"/>
    <s v="1F-R5"/>
    <x v="0"/>
    <s v="1F-R5-SW4"/>
    <s v="MS250-48FP"/>
    <s v="switch-17-2-2"/>
    <m/>
    <s v="Core"/>
    <s v="Closed"/>
    <x v="0"/>
    <s v="power issue"/>
    <s v="Switch went down due to power issue"/>
    <d v="2026-06-24T22:54:50"/>
    <d v="2026-06-25T06:34:00"/>
    <n v="459.17"/>
    <d v="2026-06-24T22:54:51"/>
    <n v="0.02"/>
    <n v="30"/>
    <s v="SLA Met"/>
    <d v="2026-06-24T23:04:37"/>
    <d v="2026-06-25T06:32:39"/>
    <n v="448.03"/>
    <n v="11.13"/>
    <n v="120"/>
    <s v="SLA Met"/>
    <m/>
    <n v="129600"/>
    <n v="129588.87"/>
    <n v="99.991412037037037"/>
    <n v="129151.97"/>
    <n v="99.654297839506185"/>
  </r>
  <r>
    <s v="Jubilant Foodworks Ltd (JFL)"/>
    <s v="Alert"/>
    <s v="Dheerendra Maurya"/>
    <s v="PRO/INC/53228"/>
    <s v="switches went down"/>
    <s v="Meraki Managed Services"/>
    <s v="Software / Configuration"/>
    <x v="0"/>
    <s v="Q2QW-CQSG-6X85"/>
    <s v="Q2QW-CQSG-6X85"/>
    <s v="1F-R5"/>
    <x v="0"/>
    <s v="1F-R5-SW2"/>
    <s v="MS250-48FP"/>
    <s v="switch-17-1-4"/>
    <m/>
    <s v="Core"/>
    <s v="Closed"/>
    <x v="0"/>
    <s v="power issue"/>
    <s v="Switch went down due to power issue"/>
    <d v="2026-06-24T22:54:50"/>
    <d v="2026-06-25T06:30:00"/>
    <n v="455.17"/>
    <d v="2026-06-24T22:54:50"/>
    <n v="0"/>
    <n v="30"/>
    <s v="SLA Met"/>
    <d v="2026-06-24T23:08:02"/>
    <d v="2026-06-25T06:29:28"/>
    <n v="441.43"/>
    <n v="13.73"/>
    <n v="120"/>
    <s v="SLA Met"/>
    <m/>
    <n v="129600"/>
    <n v="129586.27"/>
    <n v="99.989405864197536"/>
    <n v="129158.57"/>
    <n v="99.659390432098775"/>
  </r>
  <r>
    <s v="Jubilant Foodworks Ltd (JFL)"/>
    <s v="Alert"/>
    <s v="Dheerendra Maurya"/>
    <s v="PRO/INC/53230"/>
    <s v="switches went down"/>
    <s v="Meraki Managed Services"/>
    <s v="Software / Configuration"/>
    <x v="0"/>
    <s v="Q2QW-CTFW-5KJ6"/>
    <s v="Q2QW-CTFW-5KJ6"/>
    <s v="1F-R3"/>
    <x v="0"/>
    <s v="1F-R3-SW2"/>
    <s v="MS250-48FP"/>
    <s v="switch-17-2-2"/>
    <m/>
    <s v="Core"/>
    <s v="Closed"/>
    <x v="0"/>
    <s v="power issue"/>
    <s v="Switch went down due to power issue"/>
    <d v="2026-06-24T22:54:50"/>
    <d v="2026-06-25T06:35:00"/>
    <n v="460.17"/>
    <d v="2026-06-24T22:54:50"/>
    <n v="0"/>
    <n v="30"/>
    <s v="SLA Met"/>
    <d v="2026-06-24T23:06:43"/>
    <d v="2026-06-25T06:33:54"/>
    <n v="447.18"/>
    <n v="12.98"/>
    <n v="120"/>
    <s v="SLA Met"/>
    <m/>
    <n v="129600"/>
    <n v="129587.02"/>
    <n v="99.989984567901232"/>
    <n v="129152.82"/>
    <n v="99.654953703703711"/>
  </r>
  <r>
    <s v="Jubilant Foodworks Ltd (JFL)"/>
    <s v="Alert"/>
    <s v="Dheerendra Maurya"/>
    <s v="PRO/INC/53231"/>
    <s v="switches went down"/>
    <s v="Meraki Managed Services"/>
    <s v="Software / Configuration"/>
    <x v="0"/>
    <s v="Q2QW-CTFE-E2WF"/>
    <s v="Q2QW-CTFE-E2WF"/>
    <s v="1F-R3"/>
    <x v="0"/>
    <s v="1F-R3-SW1"/>
    <s v="MS250-48FP"/>
    <s v="switch-17-2-2"/>
    <m/>
    <s v="Core"/>
    <s v="Closed"/>
    <x v="0"/>
    <s v="power issue"/>
    <s v="Switch went down due to power issue"/>
    <d v="2026-06-24T22:55:00"/>
    <d v="2026-06-25T06:37:00"/>
    <n v="462"/>
    <d v="2026-06-24T22:55:01"/>
    <n v="0.02"/>
    <n v="30"/>
    <s v="SLA Met"/>
    <d v="2026-06-24T23:09:21"/>
    <d v="2026-06-25T06:35:47"/>
    <n v="446.43"/>
    <n v="15.57"/>
    <n v="120"/>
    <s v="SLA Met"/>
    <m/>
    <n v="129600"/>
    <n v="129584.43"/>
    <n v="99.987986111111098"/>
    <n v="129153.57"/>
    <n v="99.655532407407406"/>
  </r>
  <r>
    <s v="Jubilant Foodworks Ltd (JFL)"/>
    <s v="Alert"/>
    <s v="Dheerendra Maurya"/>
    <s v="PRO/INC/53232"/>
    <s v="aps went down"/>
    <s v="Meraki Managed Services"/>
    <s v="Software / Configuration"/>
    <x v="0"/>
    <s v="Q3AC-QSJ4-9L25"/>
    <s v="Q3AC-QSJ4-9L25"/>
    <s v="NA"/>
    <x v="1"/>
    <s v="1F-AP07-R05-SW04-17P"/>
    <s v="MR46"/>
    <s v="wireless-31-1-8"/>
    <m/>
    <s v="Non-Core"/>
    <s v="Closed"/>
    <x v="0"/>
    <s v="power issue"/>
    <s v="AP went down due to power issue"/>
    <d v="2026-06-24T22:56:30"/>
    <d v="2026-06-25T06:38:00"/>
    <n v="461.5"/>
    <d v="2026-06-24T22:56:31"/>
    <n v="0.02"/>
    <n v="30"/>
    <s v="SLA Met"/>
    <d v="2026-06-24T23:10:23"/>
    <d v="2026-06-25T06:37:07"/>
    <n v="446.73"/>
    <n v="14.77"/>
    <n v="120"/>
    <s v="SLA Met"/>
    <m/>
    <n v="129600"/>
    <n v="129585.23"/>
    <n v="99.98860339506173"/>
    <n v="129153.27"/>
    <n v="99.655300925925928"/>
  </r>
  <r>
    <s v="Jubilant Foodworks Ltd (JFL)"/>
    <s v="Alert"/>
    <s v="Dheerendra Maurya"/>
    <s v="PRO/INC/53234"/>
    <s v="aps went down"/>
    <s v="Meraki Managed Services"/>
    <s v="Software / Configuration"/>
    <x v="0"/>
    <s v="Q3AC-HG28-SMQY"/>
    <s v="Q3AC-HG28-SMQY"/>
    <s v="NA"/>
    <x v="1"/>
    <s v="CK QC Lab "/>
    <s v="MR46"/>
    <s v="Not running configured version"/>
    <m/>
    <s v="Non-Core"/>
    <s v="Closed"/>
    <x v="0"/>
    <s v="power issue"/>
    <s v="AP went down due to power issue"/>
    <d v="2026-06-24T22:56:40"/>
    <d v="2026-06-25T06:40:00"/>
    <n v="463.33"/>
    <d v="2026-06-24T22:56:41"/>
    <n v="0.02"/>
    <n v="30"/>
    <s v="SLA Met"/>
    <d v="2026-06-24T23:12:24"/>
    <d v="2026-06-25T06:38:27"/>
    <n v="446.05"/>
    <n v="17.28"/>
    <n v="120"/>
    <s v="SLA Met"/>
    <m/>
    <n v="129600"/>
    <n v="129582.72"/>
    <n v="99.986666666666665"/>
    <n v="129153.95"/>
    <n v="99.655825617283938"/>
  </r>
  <r>
    <s v="Jubilant Foodworks Ltd (JFL)"/>
    <s v="Alert"/>
    <s v="Dheerendra Maurya"/>
    <s v="PRO/INC/53233"/>
    <s v="aps went down"/>
    <s v="Meraki Managed Services"/>
    <s v="Software / Configuration"/>
    <x v="0"/>
    <s v="Q3AC-E8LA-PVD4"/>
    <s v="Q3AC-E8LA-PVD4"/>
    <s v="NA"/>
    <x v="1"/>
    <s v="1F-AP10-R05-SW02-44P"/>
    <s v="MR46"/>
    <s v="wireless-31-1-8"/>
    <m/>
    <s v="Non-Core"/>
    <s v="Closed"/>
    <x v="0"/>
    <s v="power issue"/>
    <s v="AP went down due to power issue"/>
    <d v="2026-06-24T22:56:40"/>
    <d v="2026-06-25T06:41:00"/>
    <n v="464.33"/>
    <d v="2026-06-24T22:56:42"/>
    <n v="0.03"/>
    <n v="30"/>
    <s v="SLA Met"/>
    <d v="2026-06-24T23:11:27"/>
    <d v="2026-06-25T06:39:55"/>
    <n v="448.47"/>
    <n v="15.87"/>
    <n v="120"/>
    <s v="SLA Met"/>
    <m/>
    <n v="129600"/>
    <n v="129584.13"/>
    <n v="99.987754629629634"/>
    <n v="129151.53"/>
    <n v="99.653958333333335"/>
  </r>
  <r>
    <s v="Jubilant Foodworks Ltd (JFL)"/>
    <s v="Alert"/>
    <s v="Dheerendra Maurya"/>
    <s v="PRO/INC/53237"/>
    <s v="aps went down"/>
    <s v="Meraki Managed Services"/>
    <s v="Software / Configuration"/>
    <x v="4"/>
    <s v="Q3KG-Y2PU-4DWW"/>
    <s v="Q3KG-Y2PU-4DWW"/>
    <s v="NA"/>
    <x v="1"/>
    <s v="JFL-GNSC-AP55"/>
    <s v="MR86"/>
    <s v="wireless-31-1-7"/>
    <m/>
    <s v="Non-Core"/>
    <s v="Closed"/>
    <x v="0"/>
    <s v="power issue"/>
    <s v="AP went down due to power issue"/>
    <d v="2026-06-25T04:45:56"/>
    <d v="2026-06-25T06:43:00"/>
    <n v="117.07"/>
    <d v="2026-06-25T04:45:57"/>
    <n v="0.02"/>
    <n v="30"/>
    <s v="SLA Met"/>
    <d v="2026-06-25T04:50:13"/>
    <d v="2026-06-25T06:41:44"/>
    <n v="111.52"/>
    <n v="5.55"/>
    <n v="120"/>
    <s v="SLA Met"/>
    <m/>
    <n v="129600"/>
    <n v="129594.45"/>
    <n v="99.995717592592598"/>
    <n v="129488.48"/>
    <n v="99.913950617283945"/>
  </r>
  <r>
    <s v="Jubilant Foodworks Ltd (JFL)"/>
    <s v="Alert"/>
    <s v="Dheerendra Maurya"/>
    <s v="PRO/INC/53240"/>
    <s v="aps went down"/>
    <s v="Meraki Managed Services"/>
    <s v="Software / Configuration"/>
    <x v="4"/>
    <s v="Q3KG-Y2PU-4DWW"/>
    <s v="Q3KG-Y2PU-4DWW"/>
    <s v="NA"/>
    <x v="1"/>
    <s v="JFL-GNSC-AP55"/>
    <s v="MR86"/>
    <s v="wireless-31-1-7"/>
    <m/>
    <s v="Non-Core"/>
    <s v="Closed"/>
    <x v="0"/>
    <s v="power issue"/>
    <s v="AP went down due to power issue"/>
    <d v="2026-06-25T06:06:04"/>
    <d v="2026-06-26T06:36:00"/>
    <n v="1469.93"/>
    <d v="2026-06-25T06:06:05"/>
    <n v="0.02"/>
    <n v="30"/>
    <s v="SLA Met"/>
    <d v="2026-06-25T06:07:49"/>
    <d v="2026-06-26T06:34:51"/>
    <n v="1467.03"/>
    <n v="2.9"/>
    <n v="120"/>
    <s v="SLA Met"/>
    <m/>
    <n v="129600"/>
    <n v="129597.1"/>
    <n v="99.997762345679021"/>
    <n v="128132.97"/>
    <n v="98.868032407407412"/>
  </r>
  <r>
    <s v="Jubilant Foodworks Ltd (JFL)"/>
    <s v="Alert"/>
    <s v="Jagadisha R"/>
    <s v="PRO/INC/53395"/>
    <s v="PM activity at the JLF Banglore"/>
    <s v="Meraki Managed Services"/>
    <s v="PM Activity"/>
    <x v="0"/>
    <m/>
    <s v="Q2DW-EM6A-8GPL"/>
    <s v="CORE"/>
    <x v="0"/>
    <s v="CORE-1"/>
    <s v="MS425-32"/>
    <s v="switch-17-1-4"/>
    <m/>
    <s v="P4"/>
    <s v="Closed"/>
    <x v="2"/>
    <m/>
    <m/>
    <d v="2026-06-25T14:21:36"/>
    <d v="2026-07-02T18:04:00"/>
    <n v="10302.4"/>
    <d v="2026-06-25T14:21:38"/>
    <n v="0.03"/>
    <n v="30"/>
    <s v="SLA Met"/>
    <m/>
    <m/>
    <n v="0"/>
    <n v="10302.4"/>
    <n v="2880"/>
    <s v="SLA Breached"/>
    <m/>
    <n v="129600"/>
    <n v="119297.60000000001"/>
    <n v="92.050617283950615"/>
    <n v="129600"/>
    <n v="100"/>
  </r>
  <r>
    <s v="Jubilant Foodworks Ltd (JFL)"/>
    <s v="Alert"/>
    <s v="Dheerendra Maurya"/>
    <s v="PRO/INC/53404"/>
    <s v="aps went down"/>
    <s v="Meraki Managed Services"/>
    <s v="Software / Configuration"/>
    <x v="3"/>
    <s v="Q5AR-TEZ8-EZVW"/>
    <s v="Q5AR-TEZ8-EZVW"/>
    <s v="NA"/>
    <x v="1"/>
    <s v="JFL-Mohali-SCC-AP09"/>
    <s v="CW9166I"/>
    <s v="wireless-31-1-7"/>
    <m/>
    <s v="Non-Core"/>
    <s v="Closed"/>
    <x v="0"/>
    <s v="ISP or power issue at client side"/>
    <s v="AP went down due to power issue"/>
    <d v="2026-06-25T18:47:56"/>
    <d v="2026-06-26T06:28:00"/>
    <n v="700.07"/>
    <d v="2026-06-25T18:47:57"/>
    <n v="0.02"/>
    <n v="30"/>
    <s v="SLA Met"/>
    <d v="2026-06-25T18:51:55"/>
    <d v="2026-06-26T06:26:24"/>
    <n v="694.48"/>
    <n v="5.58"/>
    <n v="120"/>
    <s v="SLA Met"/>
    <m/>
    <n v="129600"/>
    <n v="129594.42"/>
    <n v="99.995694444444439"/>
    <n v="128905.52"/>
    <n v="99.46413580246913"/>
  </r>
  <r>
    <s v="Jubilant Foodworks Ltd (JFL)"/>
    <s v="Alert"/>
    <s v="Dheerendra Maurya"/>
    <s v="PRO/INC/53405"/>
    <s v="aps went down"/>
    <s v="Meraki Managed Services"/>
    <s v="Software / Configuration"/>
    <x v="3"/>
    <s v="Q5AA-KHJW-U94C"/>
    <s v="Q5AA-KHJW-U94C"/>
    <s v="NA"/>
    <x v="1"/>
    <s v="JFL-Mohali-SCC-AP03"/>
    <s v="CW9162I"/>
    <s v="wireless-31-1-7"/>
    <m/>
    <s v="Non-Core"/>
    <s v="Closed"/>
    <x v="0"/>
    <s v="ISP or power issue at client side"/>
    <s v="AP went down due to power issue"/>
    <d v="2026-06-25T18:47:58"/>
    <d v="2026-06-26T06:25:00"/>
    <n v="697.03"/>
    <d v="2026-06-25T18:47:59"/>
    <n v="0.02"/>
    <n v="30"/>
    <s v="SLA Met"/>
    <d v="2026-06-25T18:53:02"/>
    <d v="2026-06-26T06:23:36"/>
    <n v="690.57"/>
    <n v="6.47"/>
    <n v="120"/>
    <s v="SLA Met"/>
    <m/>
    <n v="129600"/>
    <n v="129593.53"/>
    <n v="99.995007716049372"/>
    <n v="128909.43"/>
    <n v="99.46715277777777"/>
  </r>
  <r>
    <s v="Jubilant Foodworks Ltd (JFL)"/>
    <s v="Alert"/>
    <s v="Dheerendra Maurya"/>
    <s v="PRO/INC/53407"/>
    <s v="aps went down"/>
    <s v="Meraki Managed Services"/>
    <s v="Software / Configuration"/>
    <x v="3"/>
    <s v="Q5AA-MHPW-2YA8"/>
    <s v="Q5AA-MHPW-2YA8"/>
    <s v="NA"/>
    <x v="1"/>
    <s v="JFL-Mohali-SCC-AP14"/>
    <s v="CW9162I"/>
    <s v="wireless-31-1-7"/>
    <m/>
    <s v="Non-Core"/>
    <s v="Closed"/>
    <x v="0"/>
    <s v="power issue at client side"/>
    <s v="AP went down due to power issue"/>
    <d v="2026-06-25T18:48:05"/>
    <d v="2026-06-26T06:21:00"/>
    <n v="692.92"/>
    <d v="2026-06-25T18:48:06"/>
    <n v="0.02"/>
    <n v="30"/>
    <s v="SLA Met"/>
    <d v="2026-06-25T18:54:07"/>
    <d v="2026-06-26T06:20:15"/>
    <n v="686.13"/>
    <n v="6.78"/>
    <n v="120"/>
    <s v="SLA Met"/>
    <m/>
    <n v="129600"/>
    <n v="129593.22"/>
    <n v="99.994768518518512"/>
    <n v="128913.87"/>
    <n v="99.470578703703708"/>
  </r>
  <r>
    <s v="Jubilant Foodworks Ltd (JFL)"/>
    <s v="Alert"/>
    <s v="Kartik Choudhary"/>
    <s v="PRO/INC/53623"/>
    <s v="new dhcp server detected"/>
    <s v="Meraki Managed Services"/>
    <s v="Software / Configuration"/>
    <x v="2"/>
    <s v="Q5JJ-68KZ-MXAS"/>
    <s v="Q5JJ-68KZ-MXAS"/>
    <s v="RACK 1"/>
    <x v="0"/>
    <s v="JFL-NAG-SSC-SW01"/>
    <s v="C9300L-48P-4X"/>
    <s v="cs-17-2-2"/>
    <m/>
    <s v="Non-Core"/>
    <s v="Closed"/>
    <x v="3"/>
    <s v="Observation shared with customer, waiting for response."/>
    <s v="Thank you for the update. We have blocked the new DHCP server with the MAC address 06:ad:d8:38:b0:97. Please feel free to reach out if you require any further assistance."/>
    <d v="2026-06-26T17:41:30"/>
    <d v="2026-06-26T18:03:00"/>
    <n v="21.5"/>
    <d v="2026-06-26T17:41:31"/>
    <n v="0.02"/>
    <n v="30"/>
    <s v="SLA Met"/>
    <d v="2026-06-26T17:49:05"/>
    <d v="2026-06-26T18:01:19"/>
    <n v="12.23"/>
    <n v="9.27"/>
    <n v="120"/>
    <s v="SLA Met"/>
    <m/>
    <n v="129600"/>
    <n v="129590.73"/>
    <n v="99.99284722222221"/>
    <n v="129587.77"/>
    <n v="99.990563271604941"/>
  </r>
  <r>
    <s v="Jubilant Foodworks Ltd (JFL)"/>
    <s v="Alert"/>
    <s v="Dheerendra Maurya"/>
    <s v="PRO/INC/53628"/>
    <s v="aps went down"/>
    <s v="Meraki Managed Services"/>
    <s v="Software / Configuration"/>
    <x v="4"/>
    <s v="Q3KG-6BJV-TZA3"/>
    <s v="Q3KG-6BJV-TZA3"/>
    <s v="NA"/>
    <x v="1"/>
    <s v="JFL-GNSC-AP53"/>
    <s v="MR86"/>
    <s v="wireless-31-1-7"/>
    <m/>
    <s v="Non-Core"/>
    <s v="Closed"/>
    <x v="0"/>
    <s v="Power issue at client site"/>
    <s v="AP went down due to power issue"/>
    <d v="2026-06-26T19:24:39"/>
    <d v="2026-06-27T08:34:00"/>
    <n v="789.35"/>
    <d v="2026-06-26T19:24:40"/>
    <n v="0.02"/>
    <n v="30"/>
    <s v="SLA Met"/>
    <d v="2026-06-26T19:49:22"/>
    <d v="2026-06-27T08:32:55"/>
    <n v="763.55"/>
    <n v="25.8"/>
    <n v="120"/>
    <s v="SLA Met"/>
    <m/>
    <n v="129600"/>
    <n v="129574.2"/>
    <n v="99.980092592592598"/>
    <n v="128836.45"/>
    <n v="99.410841049382711"/>
  </r>
  <r>
    <s v="Jubilant Foodworks Ltd (JFL)"/>
    <s v="Alert"/>
    <s v="Aneesh P S"/>
    <s v="PRO/INC/53804"/>
    <s v="switches went down"/>
    <s v="Meraki Managed Services"/>
    <s v="Software / Configuration"/>
    <x v="0"/>
    <s v="Q2QW-FCJL-LJS8"/>
    <s v="Q2QW-FCJL-LJS8"/>
    <s v="SEC-CAB"/>
    <x v="0"/>
    <s v="SEC-CAB-SW1"/>
    <s v="MS250-48FP"/>
    <s v="switch-17-2-2"/>
    <m/>
    <s v="Core"/>
    <s v="Closed"/>
    <x v="0"/>
    <s v="Device Power issues"/>
    <s v="Device Power issues"/>
    <d v="2026-06-27T14:20:01"/>
    <d v="2026-06-27T14:40:00"/>
    <n v="19.98"/>
    <d v="2026-06-27T14:20:01"/>
    <n v="0"/>
    <n v="30"/>
    <s v="SLA Met"/>
    <d v="2026-06-27T14:28:04"/>
    <d v="2026-06-27T14:38:33"/>
    <n v="10.48"/>
    <n v="9.5"/>
    <n v="120"/>
    <s v="SLA Met"/>
    <m/>
    <n v="129600"/>
    <n v="129590.5"/>
    <n v="99.992669753086417"/>
    <n v="129589.52"/>
    <n v="99.991913580246916"/>
  </r>
  <r>
    <s v="Jubilant Foodworks Ltd (JFL)"/>
    <s v="Alert"/>
    <s v="Aneesh P S"/>
    <s v="PRO/INC/53805"/>
    <s v="switches went down"/>
    <s v="Meraki Managed Services"/>
    <s v="Software / Configuration"/>
    <x v="0"/>
    <s v="Q2QW-FCH3-EMVG"/>
    <s v="Q2QW-FCH3-EMVG"/>
    <s v="SEC-CAB"/>
    <x v="0"/>
    <s v="SEC-CAB-SW2"/>
    <s v="MS250-48FP"/>
    <s v="switch-17-2-2"/>
    <m/>
    <s v="Core"/>
    <s v="Closed"/>
    <x v="0"/>
    <s v="Device Power issues"/>
    <s v="Device Power issues"/>
    <d v="2026-06-27T14:20:10"/>
    <d v="2026-06-27T14:40:00"/>
    <n v="19.829999999999998"/>
    <d v="2026-06-27T14:20:11"/>
    <n v="0.02"/>
    <n v="30"/>
    <s v="SLA Met"/>
    <d v="2026-06-27T14:27:20"/>
    <d v="2026-06-27T14:37:30"/>
    <n v="10.17"/>
    <n v="9.67"/>
    <n v="120"/>
    <s v="SLA Met"/>
    <m/>
    <n v="129600"/>
    <n v="129590.33"/>
    <n v="99.992538580246915"/>
    <n v="129589.83"/>
    <n v="99.992152777777775"/>
  </r>
  <r>
    <s v="Jubilant Foodworks Ltd (JFL)"/>
    <s v="Alert"/>
    <s v="Aneesh P S"/>
    <s v="PRO/INC/53806"/>
    <s v="aps went down"/>
    <s v="Meraki Managed Services"/>
    <s v="Software / Configuration"/>
    <x v="0"/>
    <s v="Q3AC-HV2N-AG28"/>
    <s v="Q3AC-HV2N-AG28"/>
    <s v="NA"/>
    <x v="1"/>
    <s v="SEC-CAB-1F-AP02-R01-SW01-10P"/>
    <s v="MR46"/>
    <s v="wireless-31-1-8"/>
    <m/>
    <s v="Non-Core"/>
    <s v="Closed"/>
    <x v="0"/>
    <s v="Device Power issues"/>
    <s v="Device Power issues"/>
    <d v="2026-06-27T14:22:01"/>
    <d v="2026-06-27T14:40:00"/>
    <n v="17.98"/>
    <d v="2026-06-27T14:22:02"/>
    <n v="0.02"/>
    <n v="30"/>
    <s v="SLA Met"/>
    <d v="2026-06-27T14:26:29"/>
    <d v="2026-06-27T14:36:41"/>
    <n v="10.199999999999999"/>
    <n v="7.78"/>
    <n v="120"/>
    <s v="SLA Met"/>
    <m/>
    <n v="129600"/>
    <n v="129592.22"/>
    <n v="99.993996913580247"/>
    <n v="129589.8"/>
    <n v="99.99212962962963"/>
  </r>
  <r>
    <s v="Jubilant Foodworks Ltd (JFL)"/>
    <s v="Alert"/>
    <s v="Aneesh P S"/>
    <s v="PRO/INC/53807"/>
    <s v="aps went down"/>
    <s v="Meraki Managed Services"/>
    <s v="Software / Configuration"/>
    <x v="0"/>
    <s v="Q3AC-RDT3-Y62C"/>
    <s v="Q3AC-RDT3-Y62C"/>
    <s v="NA"/>
    <x v="1"/>
    <s v="SEC-CAB-GF-AP01-R01-SW01-02P"/>
    <s v="MR46"/>
    <s v="wireless-31-1-8"/>
    <m/>
    <s v="Non-Core"/>
    <s v="Closed"/>
    <x v="0"/>
    <s v="Device Power issues"/>
    <s v="Device Power issues"/>
    <d v="2026-06-27T14:22:04"/>
    <d v="2026-06-27T14:40:00"/>
    <n v="17.93"/>
    <d v="2026-06-27T14:22:05"/>
    <n v="0.02"/>
    <n v="30"/>
    <s v="SLA Met"/>
    <d v="2026-06-27T14:25:35"/>
    <d v="2026-06-27T14:35:44"/>
    <n v="10.15"/>
    <n v="7.78"/>
    <n v="120"/>
    <s v="SLA Met"/>
    <m/>
    <n v="129600"/>
    <n v="129592.22"/>
    <n v="99.993996913580247"/>
    <n v="129589.85"/>
    <n v="99.992168209876553"/>
  </r>
  <r>
    <s v="Jubilant Foodworks Ltd (JFL)"/>
    <s v="Alert"/>
    <s v="Kartik Choudhary"/>
    <s v="PRO/INC/53814"/>
    <s v="new dhcp server detected"/>
    <s v="Meraki Managed Services"/>
    <s v="Software / Configuration"/>
    <x v="2"/>
    <s v="Q5JJ-68KZ-MXAS"/>
    <s v="Q5JJ-68KZ-MXAS"/>
    <s v="RACK 1"/>
    <x v="0"/>
    <s v="JFL-NAG-SSC-SW01"/>
    <s v="C9300L-48P-4X"/>
    <s v="cs-17-2-2"/>
    <m/>
    <s v="Non-Core"/>
    <s v="Closed"/>
    <x v="3"/>
    <s v="Observation shared with customer awaiting for customer reply."/>
    <s v="Observation shared with customer"/>
    <d v="2026-06-27T20:29:28"/>
    <d v="2026-06-30T19:32:00"/>
    <n v="4262.53"/>
    <d v="2026-06-27T20:29:28"/>
    <n v="0"/>
    <n v="30"/>
    <s v="SLA Met"/>
    <d v="2026-06-27T20:31:46"/>
    <d v="2026-06-30T19:30:13"/>
    <n v="4258.45"/>
    <n v="4.08"/>
    <n v="120"/>
    <s v="SLA Met"/>
    <m/>
    <n v="129600"/>
    <n v="129595.92"/>
    <n v="99.996851851851858"/>
    <n v="125341.55"/>
    <n v="96.714158950617289"/>
  </r>
  <r>
    <s v="Jubilant Foodworks Ltd (JFL)"/>
    <s v="Email"/>
    <s v="Kartik Choudhary"/>
    <s v="PRO/INC/55959"/>
    <s v="Remove port security below the switch. || Central Kitchen   ------FCW2211B365"/>
    <s v="Meraki Managed Services"/>
    <s v="Change Request"/>
    <x v="4"/>
    <s v="FCW2211B365"/>
    <s v="FCW2211B365"/>
    <s v="JFL-GNMC-CK-AC-SW"/>
    <x v="0"/>
    <s v="JFL-GNMC-CK-AC-SW-01"/>
    <s v="WS-C2960X-24PD-L"/>
    <s v="CISCO IOS 15.2(7)E13"/>
    <m/>
    <s v="Non-Core"/>
    <s v="Closed"/>
    <x v="1"/>
    <s v="Waiting for customer approval"/>
    <s v="Port security has been enabled"/>
    <d v="2026-06-29T12:08:27"/>
    <d v="2026-06-29T15:30:00"/>
    <n v="201.55"/>
    <d v="2026-06-29T12:08:27"/>
    <n v="0"/>
    <n v="30"/>
    <s v="SLA Met"/>
    <d v="2026-06-29T12:46:11"/>
    <d v="2026-06-29T15:24:36"/>
    <n v="158.41999999999999"/>
    <n v="43.13"/>
    <n v="120"/>
    <s v="SLA Met"/>
    <m/>
    <n v="129600"/>
    <n v="129556.87"/>
    <n v="99.96672067901234"/>
    <n v="129441.58"/>
    <n v="99.877762345679017"/>
  </r>
  <r>
    <s v="Jubilant Foodworks Ltd (JFL)"/>
    <s v="Alert"/>
    <s v="Dheerendra Maurya"/>
    <s v="PRO/INC/56034"/>
    <s v="aps went down"/>
    <s v="Meraki Managed Services"/>
    <s v="Software / Configuration"/>
    <x v="4"/>
    <s v="Q5AA-A6S6-XG3H"/>
    <s v="Q5AA-A6S6-XG3H"/>
    <s v="NA"/>
    <x v="1"/>
    <s v="JFL-GNSC-AP16"/>
    <s v="CW9162I"/>
    <s v="wireless-31-1-7"/>
    <m/>
    <s v="Non-Core"/>
    <s v="Closed"/>
    <x v="0"/>
    <s v="power issue"/>
    <s v="AP went down due to power issue"/>
    <d v="2026-06-30T04:19:19"/>
    <d v="2026-06-30T07:15:00"/>
    <n v="175.68"/>
    <d v="2026-06-30T04:19:20"/>
    <n v="0.02"/>
    <n v="30"/>
    <s v="SLA Met"/>
    <d v="2026-06-30T04:22:28"/>
    <d v="2026-06-30T07:13:52"/>
    <n v="171.4"/>
    <n v="4.28"/>
    <n v="120"/>
    <s v="SLA Met"/>
    <m/>
    <n v="129600"/>
    <n v="129595.72"/>
    <n v="99.996697530864196"/>
    <n v="129428.6"/>
    <n v="99.867746913580248"/>
  </r>
  <r>
    <s v="Jubilant Foodworks Ltd (JFL)"/>
    <s v="Alert"/>
    <s v="Abhishek Satish Pawar"/>
    <s v="PRO/INC/56039"/>
    <s v="aps went down"/>
    <s v="Meraki Managed Services"/>
    <s v="Software / Configuration"/>
    <x v="4"/>
    <s v="Q5AA-GHXM-TRTK"/>
    <s v="Q5AA-GHXM-TRTK"/>
    <s v="NA"/>
    <x v="1"/>
    <s v="JFL-GNSC-AP20"/>
    <s v="CW9162I"/>
    <s v="wireless-31-1-7"/>
    <m/>
    <s v="Non-Core"/>
    <s v="Closed"/>
    <x v="0"/>
    <s v="power issue"/>
    <s v="Resolved"/>
    <d v="2026-06-30T05:59:42"/>
    <d v="2026-07-01T16:00:00"/>
    <n v="2040.3"/>
    <d v="2026-06-30T05:59:43"/>
    <n v="0.02"/>
    <n v="30"/>
    <s v="SLA Met"/>
    <d v="2026-06-30T06:13:49"/>
    <d v="2026-07-01T15:46:38"/>
    <n v="2012.82"/>
    <n v="27.48"/>
    <n v="120"/>
    <s v="SLA Met"/>
    <m/>
    <n v="129600"/>
    <n v="129572.52"/>
    <n v="99.978796296296295"/>
    <n v="127587.18"/>
    <n v="98.446898148148136"/>
  </r>
  <r>
    <s v="Jubilant Foodworks Ltd (JFL)"/>
    <s v="Alert"/>
    <s v="Abhishek Satish Pawar"/>
    <s v="PRO/INC/56179"/>
    <s v="aps went down"/>
    <s v="Meraki Managed Services"/>
    <s v="Software / Configuration"/>
    <x v="4"/>
    <s v="Q5AA-H6R3-LUMM"/>
    <s v="Q5AA-H6R3-LUMM"/>
    <s v="NA"/>
    <x v="1"/>
    <s v="JFL-GNSC-AP26"/>
    <s v="CW9162I"/>
    <s v="wireless-31-1-7"/>
    <m/>
    <s v="Non-Core"/>
    <s v="Closed"/>
    <x v="0"/>
    <s v="power issue"/>
    <s v="AP went down due to power issue"/>
    <d v="2026-06-30T14:55:36"/>
    <d v="2026-07-01T08:11:00"/>
    <n v="1035.4000000000001"/>
    <d v="2026-06-30T14:55:36"/>
    <n v="0"/>
    <n v="30"/>
    <s v="SLA Met"/>
    <d v="2026-06-30T15:30:57"/>
    <d v="2026-07-01T08:09:49"/>
    <n v="998.87"/>
    <n v="36.53"/>
    <n v="120"/>
    <s v="SLA Met"/>
    <m/>
    <n v="129600"/>
    <n v="129563.47"/>
    <n v="99.97181327160493"/>
    <n v="128601.13"/>
    <n v="99.229266975308647"/>
  </r>
  <r>
    <s v="Jubilant Foodworks Ltd (JFL)"/>
    <s v="Alert"/>
    <s v="Dheerendra Maurya"/>
    <s v="PRO/INC/56180"/>
    <s v="aps went down"/>
    <s v="Meraki Managed Services"/>
    <s v="Software / Configuration"/>
    <x v="4"/>
    <s v="Q5AA-FRBE-94N5"/>
    <s v="Q5AA-FRBE-94N5"/>
    <s v="NA"/>
    <x v="1"/>
    <s v="JFL-GNSC-AP27"/>
    <s v="CW9162I"/>
    <s v="wireless-31-1-7"/>
    <m/>
    <s v="Non-Core"/>
    <s v="Closed"/>
    <x v="0"/>
    <s v="Device Power issues"/>
    <s v="AP went down due to power issue"/>
    <d v="2026-06-30T14:55:36"/>
    <d v="2026-07-01T08:05:00"/>
    <n v="1029.4000000000001"/>
    <d v="2026-06-30T14:55:37"/>
    <n v="0.02"/>
    <n v="30"/>
    <s v="SLA Met"/>
    <d v="2026-06-30T14:58:59"/>
    <d v="2026-07-01T08:03:45"/>
    <n v="1024.77"/>
    <n v="4.63"/>
    <n v="120"/>
    <s v="SLA Met"/>
    <m/>
    <n v="129600"/>
    <n v="129595.37"/>
    <n v="99.996427469135796"/>
    <n v="128575.23"/>
    <n v="99.2092824074074"/>
  </r>
  <r>
    <s v="Jubilant Foodworks Ltd (JFL)"/>
    <s v="Alert"/>
    <s v="Abhishek Satish Pawar"/>
    <s v="PRO/INC/56186"/>
    <s v="switches went down"/>
    <s v="Meraki Managed Services"/>
    <s v="Software / Configuration"/>
    <x v="1"/>
    <s v="Q5JG-ECTW-5MN7"/>
    <s v="Q5JG-ECTW-5MN7"/>
    <s v="CORE"/>
    <x v="0"/>
    <s v="JFL-Guwahati-CORE-01"/>
    <s v="C9300L-24P-4X"/>
    <s v="IOS XE 17.15.5"/>
    <m/>
    <s v="Core"/>
    <s v="Closed"/>
    <x v="0"/>
    <s v="power issue"/>
    <s v="Resolved"/>
    <d v="2026-06-30T16:16:34"/>
    <d v="2026-07-01T13:00:00"/>
    <n v="1243.43"/>
    <d v="2026-06-30T16:16:35"/>
    <n v="0.02"/>
    <n v="30"/>
    <s v="SLA Met"/>
    <d v="2026-06-30T16:17:59"/>
    <d v="2026-07-01T12:41:38"/>
    <n v="1223.6500000000001"/>
    <n v="19.78"/>
    <n v="120"/>
    <s v="SLA Met"/>
    <m/>
    <n v="129600"/>
    <n v="129580.22"/>
    <n v="99.98473765432098"/>
    <n v="128376.35"/>
    <n v="99.055825617283958"/>
  </r>
  <r>
    <s v="Jubilant Foodworks Ltd (JFL)"/>
    <s v="Alert"/>
    <s v="Aneesh P S"/>
    <s v="PRO/INC/56188"/>
    <s v="aps went down"/>
    <s v="Meraki Managed Services"/>
    <s v="Software / Configuration"/>
    <x v="1"/>
    <s v="Q3KG-ZJZJ-WWH5"/>
    <s v="Q3KG-ZJZJ-WWH5"/>
    <s v="NA"/>
    <x v="1"/>
    <s v="JFL-Guwahati-SSC-AP-02"/>
    <s v="MR86"/>
    <s v="MR 32.1.7"/>
    <m/>
    <s v="Non-Core"/>
    <s v="Closed"/>
    <x v="0"/>
    <s v="Device Power issues"/>
    <s v="Device Power issues"/>
    <d v="2026-06-30T16:16:44"/>
    <d v="2026-06-30T16:30:00"/>
    <n v="13.27"/>
    <d v="2026-06-30T16:16:44"/>
    <n v="0"/>
    <n v="30"/>
    <s v="SLA Met"/>
    <d v="2026-06-30T16:20:26"/>
    <d v="2026-06-30T16:22:22"/>
    <n v="1.93"/>
    <n v="11.33"/>
    <n v="120"/>
    <s v="SLA Met"/>
    <m/>
    <n v="129600"/>
    <n v="129588.67"/>
    <n v="99.99125771604939"/>
    <n v="129598.07"/>
    <n v="99.998510802469141"/>
  </r>
  <r>
    <s v="Jubilant Foodworks Ltd (JFL)"/>
    <s v="Alert"/>
    <s v="Abhishek Satish Pawar"/>
    <s v="PRO/INC/56204"/>
    <s v="aps went down"/>
    <s v="Meraki Managed Services"/>
    <s v="Software / Configuration"/>
    <x v="4"/>
    <s v="Q5AA-GJ47-DK5X"/>
    <s v="Q5AA-GJ47-DK5X"/>
    <s v="NA"/>
    <x v="1"/>
    <s v="JFL-GNSC-AP28"/>
    <s v="CW9162I"/>
    <s v="wireless-31-1-7"/>
    <m/>
    <s v="Non-Core"/>
    <s v="Closed"/>
    <x v="0"/>
    <s v="power issue"/>
    <s v="Resolved"/>
    <d v="2026-07-01T11:32:04"/>
    <d v="2026-07-01T14:00:00"/>
    <n v="147.93"/>
    <d v="2026-07-01T11:32:06"/>
    <n v="0.03"/>
    <n v="30"/>
    <s v="SLA Met"/>
    <d v="2026-07-01T11:34:19"/>
    <d v="2026-07-01T15:56:24"/>
    <n v="262.08"/>
    <n v="-114.15"/>
    <n v="120"/>
    <s v="SLA Met"/>
    <m/>
    <n v="129600"/>
    <n v="129714.15"/>
    <n v="100.08807870370372"/>
    <n v="129337.92"/>
    <n v="99.797777777777767"/>
  </r>
  <r>
    <s v="Jubilant Foodworks Ltd (JFL)"/>
    <s v="Alert"/>
    <s v="Aneesh P S"/>
    <s v="PRO/INC/56205"/>
    <s v="aps went down"/>
    <s v="Meraki Managed Services"/>
    <s v="Software / Configuration"/>
    <x v="4"/>
    <s v="Q5AA-FRBE-94N5"/>
    <s v="Q5AA-FRBE-94N5"/>
    <s v="NA"/>
    <x v="1"/>
    <s v="JFL-GNSC-AP27"/>
    <s v="CW9162I"/>
    <s v="wireless-31-1-7"/>
    <m/>
    <s v="Non-Core"/>
    <s v="Closed"/>
    <x v="0"/>
    <s v="Device Power issues"/>
    <s v="Device Power issues"/>
    <d v="2026-07-01T11:32:13"/>
    <d v="2026-07-01T13:06:00"/>
    <n v="93.78"/>
    <d v="2026-07-01T11:32:14"/>
    <n v="0.02"/>
    <n v="30"/>
    <s v="SLA Met"/>
    <d v="2026-07-01T11:35:17"/>
    <d v="2026-07-01T13:00:03"/>
    <n v="84.77"/>
    <n v="9.02"/>
    <n v="120"/>
    <s v="SLA Met"/>
    <m/>
    <n v="129600"/>
    <n v="129590.98"/>
    <n v="99.993040123456794"/>
    <n v="129515.23"/>
    <n v="99.934591049382718"/>
  </r>
  <r>
    <s v="Jubilant Foodworks Ltd (JFL)"/>
    <s v="Alert"/>
    <s v="Abhishek Satish Pawar"/>
    <s v="PRO/INC/56212"/>
    <s v="aps went down"/>
    <s v="Meraki Managed Services"/>
    <s v="Software / Configuration"/>
    <x v="3"/>
    <s v="Q3KG-9RDD-U5HG"/>
    <s v="Q3KG-9RDD-U5HG"/>
    <s v="NA"/>
    <x v="1"/>
    <s v="JFL-Mohali-SCC-AP12"/>
    <s v="MR86"/>
    <s v="wireless-31-1-7"/>
    <m/>
    <s v="Non-Core"/>
    <s v="Closed"/>
    <x v="0"/>
    <s v="power issue"/>
    <s v="Resolved"/>
    <d v="2026-07-01T12:46:40"/>
    <d v="2026-07-01T16:00:00"/>
    <n v="193.33"/>
    <d v="2026-07-01T12:46:41"/>
    <n v="0.02"/>
    <n v="30"/>
    <s v="SLA Met"/>
    <d v="2026-07-01T12:50:34"/>
    <d v="2026-07-01T15:58:27"/>
    <n v="187.88"/>
    <n v="5.45"/>
    <n v="120"/>
    <s v="SLA Met"/>
    <m/>
    <n v="129600"/>
    <n v="129594.55"/>
    <n v="99.995794753086415"/>
    <n v="129412.12"/>
    <n v="99.855030864197531"/>
  </r>
  <r>
    <s v="Jubilant Foodworks Ltd (JFL)"/>
    <s v="Alert"/>
    <s v="Abhishek Satish Pawar"/>
    <s v="PRO/INC/56214"/>
    <s v="aps went down"/>
    <s v="Meraki Managed Services"/>
    <s v="Software / Configuration"/>
    <x v="4"/>
    <s v="Q5AA-H6R3-LUMM"/>
    <s v="Q5AA-H6R3-LUMM"/>
    <s v="NA"/>
    <x v="1"/>
    <s v="JFL-GNSC-AP26"/>
    <s v="CW9162I"/>
    <s v="wireless-31-1-7"/>
    <m/>
    <s v="Non-Core"/>
    <s v="Closed"/>
    <x v="0"/>
    <s v="power issue"/>
    <s v="Resolved"/>
    <d v="2026-07-01T13:27:20"/>
    <d v="2026-07-01T16:00:00"/>
    <n v="152.66999999999999"/>
    <d v="2026-07-01T13:27:21"/>
    <n v="0.02"/>
    <n v="30"/>
    <s v="SLA Met"/>
    <d v="2026-07-01T14:07:25"/>
    <d v="2026-07-01T15:59:59"/>
    <n v="112.57"/>
    <n v="40.1"/>
    <n v="120"/>
    <s v="SLA Met"/>
    <m/>
    <n v="129600"/>
    <n v="129559.9"/>
    <n v="99.969058641975309"/>
    <n v="129487.43"/>
    <n v="99.913140432098757"/>
  </r>
  <r>
    <s v="Jubilant Foodworks Ltd (JFL)"/>
    <s v="Alert"/>
    <s v="Abhishek Satish Pawar"/>
    <s v="PRO/INC/56215"/>
    <s v="aps went down"/>
    <s v="Meraki Managed Services"/>
    <s v="Software / Configuration"/>
    <x v="4"/>
    <s v="Q5AA-FRBE-94N5"/>
    <s v="Q5AA-FRBE-94N5"/>
    <s v="NA"/>
    <x v="1"/>
    <s v="JFL-GNSC-AP27"/>
    <s v="CW9162I"/>
    <s v="wireless-31-1-7"/>
    <m/>
    <s v="Non-Core"/>
    <s v="Closed"/>
    <x v="0"/>
    <s v="power issue"/>
    <s v="Resolved"/>
    <d v="2026-07-01T13:27:21"/>
    <d v="2026-07-01T16:00:00"/>
    <n v="152.65"/>
    <d v="2026-07-01T13:27:21"/>
    <n v="0"/>
    <n v="30"/>
    <s v="SLA Met"/>
    <d v="2026-07-01T14:06:10"/>
    <d v="2026-07-01T15:49:23"/>
    <n v="103.22"/>
    <n v="49.43"/>
    <n v="120"/>
    <s v="SLA Met"/>
    <m/>
    <n v="129600"/>
    <n v="129550.57"/>
    <n v="99.961859567901229"/>
    <n v="129496.78"/>
    <n v="99.920354938271601"/>
  </r>
  <r>
    <s v="Jubilant Foodworks Ltd (JFL)"/>
    <s v="Alert"/>
    <s v="Abhishek Satish Pawar"/>
    <s v="PRO/INC/56220"/>
    <s v="aps went down"/>
    <s v="Meraki Managed Services"/>
    <s v="Software / Configuration"/>
    <x v="4"/>
    <s v="Q5AA-5TRP-EJMF"/>
    <s v="Q5AA-5TRP-EJMF"/>
    <s v="NA"/>
    <x v="1"/>
    <s v="JFL-GNSC-AP04"/>
    <s v="CW9162I"/>
    <s v="wireless-31-1-7"/>
    <m/>
    <s v="Non-Core"/>
    <s v="Closed"/>
    <x v="0"/>
    <s v="power issue"/>
    <s v="Resolved"/>
    <d v="2026-07-01T14:41:42"/>
    <d v="2026-07-01T16:00:00"/>
    <n v="78.3"/>
    <d v="2026-07-01T14:41:43"/>
    <n v="0.02"/>
    <n v="30"/>
    <s v="SLA Met"/>
    <d v="2026-07-01T15:00:48"/>
    <d v="2026-07-01T15:54:42"/>
    <n v="53.9"/>
    <n v="24.4"/>
    <n v="120"/>
    <s v="SLA Met"/>
    <m/>
    <n v="129600"/>
    <n v="129575.6"/>
    <n v="99.981172839506186"/>
    <n v="129546.1"/>
    <n v="99.958410493827159"/>
  </r>
  <r>
    <s v="Jubilant Foodworks Ltd (JFL)"/>
    <s v="Alert"/>
    <s v="Abhishek Satish Pawar"/>
    <s v="PRO/INC/56221"/>
    <s v="aps went down"/>
    <s v="Meraki Managed Services"/>
    <s v="Software / Configuration"/>
    <x v="4"/>
    <s v="Q5AA-7TFR-X7ZG"/>
    <s v="Q5AA-7TFR-X7ZG"/>
    <s v="NA"/>
    <x v="1"/>
    <s v="JFL-GNSC-AP29"/>
    <s v="CW9162I"/>
    <s v="wireless-31-1-7"/>
    <m/>
    <s v="Non-Core"/>
    <s v="Closed"/>
    <x v="0"/>
    <s v="power issue"/>
    <s v="AP went down due to power issue"/>
    <d v="2026-07-01T14:41:42"/>
    <d v="2026-07-02T08:01:00"/>
    <n v="1039.3"/>
    <d v="2026-07-01T14:41:43"/>
    <n v="0.02"/>
    <n v="30"/>
    <s v="SLA Met"/>
    <d v="2026-07-01T14:59:31"/>
    <d v="2026-07-02T08:00:07"/>
    <n v="1020.6"/>
    <n v="18.7"/>
    <n v="120"/>
    <s v="SLA Met"/>
    <m/>
    <n v="129600"/>
    <n v="129581.3"/>
    <n v="99.985570987654327"/>
    <n v="128579.4"/>
    <n v="99.212499999999991"/>
  </r>
  <r>
    <s v="Jubilant Foodworks Ltd (JFL)"/>
    <s v="Email"/>
    <s v="Kartik Choudhary"/>
    <s v="PRO/INC/56229"/>
    <s v="Switch Faulty - For RMA - GNSC-NCK-AC-SW-01 -  Grater Noida"/>
    <s v="Meraki Managed Services"/>
    <s v="Hardware"/>
    <x v="4"/>
    <s v="FCW2110B27N"/>
    <s v="FCW2110B27N"/>
    <s v="JFL-GNMC-NEW-CK"/>
    <x v="0"/>
    <s v="JFL-GNSC-GF-AC-ST-01 SW-2"/>
    <s v="C1-C2960X-24PD-L"/>
    <s v="CISCO IOS 15.2(7)E13"/>
    <s v="FCW2110B27N"/>
    <s v="P3"/>
    <s v="Recovery"/>
    <x v="8"/>
    <s v="Coordinate with the customer for shipping details"/>
    <s v="Device has been replaced &amp; working fine"/>
    <d v="2026-07-01T17:56:33"/>
    <d v="2026-07-08T12:33:00"/>
    <n v="9756.4500000000007"/>
    <d v="2026-07-01T17:56:33"/>
    <n v="0"/>
    <n v="30"/>
    <m/>
    <d v="2026-07-01T18:25:38"/>
    <d v="2026-07-08T12:27:17"/>
    <n v="9721.65"/>
    <n v="34.799999999999997"/>
    <n v="1440"/>
    <m/>
    <m/>
    <n v="129600"/>
    <n v="129565.2"/>
    <n v="99.973148148148155"/>
    <n v="119878.35"/>
    <n v="92.498726851851856"/>
  </r>
  <r>
    <s v="Jubilant Foodworks Ltd (JFL)"/>
    <s v="Alert"/>
    <s v="Aneesh P S"/>
    <s v="PRO/INC/56409"/>
    <s v="Need to enable V lan 9 on SEC-CAB-SW2 port 36--Q2QW-FCH3-EMVG"/>
    <s v="Meraki Managed Services"/>
    <s v="Change Request"/>
    <x v="0"/>
    <m/>
    <s v="Q2QW-FCH3-EMVG"/>
    <s v="SEC-CAB"/>
    <x v="0"/>
    <s v="SEC-CAB-SW2"/>
    <s v="MS250-48FP"/>
    <s v="switch-17-2-2"/>
    <m/>
    <s v="P4"/>
    <s v="Closed"/>
    <x v="1"/>
    <m/>
    <s v="we have enabled the vlan on port 36 and device is getting connected and getting IP"/>
    <d v="2026-07-03T12:43:10"/>
    <d v="2026-07-03T13:00:00"/>
    <n v="16.829999999999998"/>
    <d v="2026-07-03T12:43:10"/>
    <n v="0"/>
    <n v="30"/>
    <s v="SLA Met"/>
    <m/>
    <m/>
    <n v="0"/>
    <n v="16.829999999999998"/>
    <n v="2880"/>
    <s v="SLA Met"/>
    <m/>
    <n v="129600"/>
    <n v="129583.17"/>
    <n v="99.987013888888882"/>
    <n v="129600"/>
    <n v="100"/>
  </r>
  <r>
    <s v="Jubilant Foodworks Ltd (JFL)"/>
    <s v="Alert"/>
    <s v="Dharmendra Bhadoriya"/>
    <s v="PRO/INC/56422"/>
    <s v="aps went down"/>
    <s v="Meraki Managed Services"/>
    <s v="Software / Configuration"/>
    <x v="0"/>
    <s v="Q3AC-MPKF-FE8T"/>
    <s v="Q3AC-MPKF-FE8T"/>
    <s v="NA"/>
    <x v="1"/>
    <n v="0"/>
    <s v="MR46"/>
    <s v="Not running configured version"/>
    <m/>
    <s v="Non-Core"/>
    <s v="Closed"/>
    <x v="2"/>
    <s v="Client Side Activity"/>
    <s v="As confirmed by Uday, this AP belongs to the Bangalore RO office and was deployed in the network from the available stock through an internal transfer"/>
    <d v="2026-07-03T18:36:02"/>
    <d v="2026-07-07T08:46:00"/>
    <n v="5169.97"/>
    <d v="2026-07-03T18:36:03"/>
    <n v="0.02"/>
    <n v="30"/>
    <s v="SLA Met"/>
    <d v="2026-07-03T18:39:22"/>
    <d v="2026-07-07T08:39:38"/>
    <n v="5160.2700000000004"/>
    <n v="9.6999999999999993"/>
    <n v="120"/>
    <s v="SLA Met"/>
    <m/>
    <n v="129600"/>
    <n v="129590.3"/>
    <n v="99.99251543209877"/>
    <n v="124439.73"/>
    <n v="96.018310185185186"/>
  </r>
  <r>
    <s v="Jubilant Foodworks Ltd (JFL)"/>
    <s v="Alert"/>
    <s v="Dheerendra Maurya"/>
    <s v="PRO/INC/56426"/>
    <s v="aps went down"/>
    <s v="Meraki Managed Services"/>
    <s v="Software / Configuration"/>
    <x v="4"/>
    <s v="Q5AA-GJ47-DK5X"/>
    <s v="Q5AA-GJ47-DK5X"/>
    <s v="NA"/>
    <x v="1"/>
    <s v="JFL-GNSC-AP28"/>
    <s v="CW9162I"/>
    <s v="wireless-31-1-7"/>
    <m/>
    <s v="Non-Core"/>
    <s v="Closed"/>
    <x v="0"/>
    <s v="power issue"/>
    <s v="AP went down due to power issue"/>
    <d v="2026-07-04T00:00:14"/>
    <d v="2026-07-04T00:16:00"/>
    <n v="15.77"/>
    <d v="2026-07-04T00:00:14"/>
    <n v="0"/>
    <n v="30"/>
    <s v="SLA Met"/>
    <d v="2026-07-04T00:04:22"/>
    <d v="2026-07-04T00:15:10"/>
    <n v="10.8"/>
    <n v="4.97"/>
    <n v="120"/>
    <s v="SLA Met"/>
    <m/>
    <n v="129600"/>
    <n v="129595.03"/>
    <n v="99.996165123456791"/>
    <n v="129589.2"/>
    <n v="99.991666666666674"/>
  </r>
  <r>
    <s v="Jubilant Foodworks Ltd (JFL)"/>
    <s v="Alert"/>
    <s v="Dheerendra Maurya"/>
    <s v="PRO/INC/56427"/>
    <s v="aps went down"/>
    <s v="Meraki Managed Services"/>
    <s v="Software / Configuration"/>
    <x v="4"/>
    <s v="Q5AA-H6R3-LUMM"/>
    <s v="Q5AA-H6R3-LUMM"/>
    <s v="NA"/>
    <x v="1"/>
    <s v="JFL-GNSC-AP26"/>
    <s v="CW9162I"/>
    <s v="wireless-31-1-7"/>
    <m/>
    <s v="Non-Core"/>
    <s v="Closed"/>
    <x v="0"/>
    <s v="power issue"/>
    <s v="AP went down due to power issue"/>
    <d v="2026-07-04T00:00:23"/>
    <d v="2026-07-04T00:12:00"/>
    <n v="11.62"/>
    <d v="2026-07-04T00:00:24"/>
    <n v="0.02"/>
    <n v="30"/>
    <s v="SLA Met"/>
    <d v="2026-07-04T00:06:00"/>
    <d v="2026-07-04T00:10:28"/>
    <n v="4.47"/>
    <n v="7.15"/>
    <n v="120"/>
    <s v="SLA Met"/>
    <m/>
    <n v="129600"/>
    <n v="129592.85"/>
    <n v="99.994483024691363"/>
    <n v="129595.53"/>
    <n v="99.996550925925916"/>
  </r>
  <r>
    <s v="Jubilant Foodworks Ltd (JFL)"/>
    <s v="Alert"/>
    <s v="Dheerendra Maurya"/>
    <s v="PRO/INC/56432"/>
    <s v="new dhcp server detected"/>
    <s v="Meraki Managed Services"/>
    <s v="Software / Configuration"/>
    <x v="2"/>
    <s v="Q5JJ-68KZ-MXAS"/>
    <s v="Q5JJ-68KZ-MXAS"/>
    <s v="RACK 1"/>
    <x v="0"/>
    <s v="JFL-NAG-SSC-SW01"/>
    <s v="C9300L-48P-4X"/>
    <s v="cs-17-2-2"/>
    <m/>
    <s v="Non-Core"/>
    <s v="Closed"/>
    <x v="3"/>
    <s v="New dhcp detected"/>
    <s v="We have blocked the new DHCP server with the MAC address 02:14:83:69:52:3e."/>
    <d v="2026-07-04T01:07:19"/>
    <d v="2026-07-08T10:27:00"/>
    <n v="6319.68"/>
    <d v="2026-07-04T01:07:20"/>
    <n v="0.02"/>
    <n v="30"/>
    <s v="SLA Met"/>
    <d v="2026-07-04T01:09:18"/>
    <d v="2026-07-08T10:24:45"/>
    <n v="6315.45"/>
    <n v="4.2300000000000004"/>
    <n v="120"/>
    <s v="SLA Met"/>
    <m/>
    <n v="129600"/>
    <n v="129595.77"/>
    <n v="99.996736111111119"/>
    <n v="123284.55"/>
    <n v="95.126967592592592"/>
  </r>
  <r>
    <s v="Jubilant Foodworks Ltd (JFL)"/>
    <s v="Alert"/>
    <s v="Jagadisha R"/>
    <s v="PRO/INC/56582"/>
    <s v="aps went down"/>
    <s v="Meraki Managed Services"/>
    <s v="Software / Configuration"/>
    <x v="3"/>
    <s v="Q5AA-S8HG-F6YT"/>
    <s v="Q5AA-S8HG-F6YT"/>
    <s v="NA"/>
    <x v="1"/>
    <s v="JFL-Mohali-SCC-AP04"/>
    <s v="CW9162I"/>
    <s v="wireless-31-1-7"/>
    <m/>
    <s v="Non-Core"/>
    <s v="Closed"/>
    <x v="0"/>
    <s v="Power issues"/>
    <s v="AP went down due to power issue"/>
    <d v="2026-07-04T11:28:06"/>
    <d v="2026-07-08T12:20:00"/>
    <n v="5811.9"/>
    <d v="2026-07-04T11:28:07"/>
    <n v="0.02"/>
    <n v="30"/>
    <s v="SLA Met"/>
    <d v="2026-07-04T11:39:35"/>
    <d v="2026-07-08T12:18:50"/>
    <n v="5799.25"/>
    <n v="12.65"/>
    <n v="120"/>
    <s v="SLA Met"/>
    <m/>
    <n v="129600"/>
    <n v="129587.35"/>
    <n v="99.990239197530869"/>
    <n v="123800.75"/>
    <n v="95.525270061728392"/>
  </r>
  <r>
    <s v="Jubilant Foodworks Ltd (JFL)"/>
    <s v="Alert"/>
    <s v="Jagadisha R"/>
    <s v="PRO/INC/56618"/>
    <s v="aps went down"/>
    <s v="Meraki Managed Services"/>
    <s v="Software / Configuration"/>
    <x v="4"/>
    <s v="Q5AA-ASYH-AKEA"/>
    <s v="Q5AA-ASYH-AKEA"/>
    <s v="NA"/>
    <x v="1"/>
    <s v="JFL-GNSC-AP22"/>
    <s v="CW9162I"/>
    <s v="wireless-31-1-7"/>
    <m/>
    <s v="Non-Core"/>
    <s v="Closed"/>
    <x v="0"/>
    <s v="Power issues"/>
    <s v="ap came up.."/>
    <d v="2026-07-04T11:45:43"/>
    <d v="2026-07-04T18:56:00"/>
    <n v="430.28"/>
    <d v="2026-07-04T11:45:44"/>
    <n v="0.02"/>
    <n v="30"/>
    <s v="SLA Met"/>
    <d v="2026-07-04T12:02:32"/>
    <d v="2026-07-04T18:48:35"/>
    <n v="406.05"/>
    <n v="24.23"/>
    <n v="120"/>
    <s v="SLA Met"/>
    <m/>
    <n v="129600"/>
    <n v="129575.77"/>
    <n v="99.981304012345689"/>
    <n v="129193.95"/>
    <n v="99.686689814814812"/>
  </r>
  <r>
    <s v="Jubilant Foodworks Ltd (JFL)"/>
    <s v="Alert"/>
    <s v="Jagadisha R"/>
    <s v="PRO/INC/56619"/>
    <s v="aps went down"/>
    <s v="Meraki Managed Services"/>
    <s v="Software / Configuration"/>
    <x v="4"/>
    <s v="Q5AA-JKR4-S9MX"/>
    <s v="Q5AA-JKR4-S9MX"/>
    <s v="NA"/>
    <x v="1"/>
    <s v="JFL-GNSC-AP24"/>
    <s v="CW9162I"/>
    <s v="wireless-31-1-7"/>
    <m/>
    <s v="Non-Core"/>
    <s v="Closed"/>
    <x v="0"/>
    <s v="Power issues"/>
    <s v="power issue AP came up"/>
    <d v="2026-07-04T11:45:44"/>
    <d v="2026-07-04T18:56:00"/>
    <n v="430.27"/>
    <d v="2026-07-04T11:45:45"/>
    <n v="0.02"/>
    <n v="30"/>
    <s v="SLA Met"/>
    <d v="2026-07-04T12:00:02"/>
    <d v="2026-07-04T18:50:32"/>
    <n v="410.5"/>
    <n v="19.77"/>
    <n v="120"/>
    <s v="SLA Met"/>
    <m/>
    <n v="129600"/>
    <n v="129580.23"/>
    <n v="99.984745370370362"/>
    <n v="129189.5"/>
    <n v="99.683256172839506"/>
  </r>
  <r>
    <s v="Jubilant Foodworks Ltd (JFL)"/>
    <s v="Alert"/>
    <s v="Jagadisha R"/>
    <s v="PRO/INC/56620"/>
    <s v="aps went down"/>
    <s v="Meraki Managed Services"/>
    <s v="Software / Configuration"/>
    <x v="4"/>
    <s v="Q5AA-EZ6A-S56Y"/>
    <s v="Q5AA-EZ6A-S56Y"/>
    <s v="NA"/>
    <x v="1"/>
    <s v="JFL-GNSC-AP42"/>
    <s v="CW9162I"/>
    <s v="wireless-31-1-7"/>
    <m/>
    <s v="Non-Core"/>
    <s v="Closed"/>
    <x v="0"/>
    <s v="Power issues"/>
    <s v="Power issue AP came up"/>
    <d v="2026-07-04T11:45:45"/>
    <d v="2026-07-04T19:55:00"/>
    <n v="489.25"/>
    <d v="2026-07-04T11:45:46"/>
    <n v="0.02"/>
    <n v="30"/>
    <s v="SLA Met"/>
    <d v="2026-07-04T12:05:00"/>
    <d v="2026-07-04T19:43:22"/>
    <n v="458.37"/>
    <n v="30.88"/>
    <n v="120"/>
    <s v="SLA Met"/>
    <m/>
    <n v="129600"/>
    <n v="129569.12"/>
    <n v="99.976172839506177"/>
    <n v="129141.63"/>
    <n v="99.646319444444458"/>
  </r>
  <r>
    <s v="Jubilant Foodworks Ltd (JFL)"/>
    <s v="Alert"/>
    <s v="Jagadisha R"/>
    <s v="PRO/INC/56621"/>
    <s v="aps went down"/>
    <s v="Meraki Managed Services"/>
    <s v="Software / Configuration"/>
    <x v="4"/>
    <s v="Q5AA-XGDL-V7JB"/>
    <s v="Q5AA-XGDL-V7JB"/>
    <s v="NA"/>
    <x v="1"/>
    <s v="JFL-GNSC-AP54"/>
    <s v="CW9162I"/>
    <s v="wireless-31-1-7"/>
    <m/>
    <s v="Non-Core"/>
    <s v="Closed"/>
    <x v="0"/>
    <s v="Power issues"/>
    <s v="power issue AP came up"/>
    <d v="2026-07-04T11:45:54"/>
    <d v="2026-07-04T18:58:00"/>
    <n v="432.1"/>
    <d v="2026-07-04T11:45:55"/>
    <n v="0.02"/>
    <n v="30"/>
    <s v="SLA Met"/>
    <d v="2026-07-04T12:06:09"/>
    <d v="2026-07-04T18:53:14"/>
    <n v="407.08"/>
    <n v="25.02"/>
    <n v="120"/>
    <s v="SLA Met"/>
    <m/>
    <n v="129600"/>
    <n v="129574.98"/>
    <n v="99.980694444444438"/>
    <n v="129192.92"/>
    <n v="99.685895061728388"/>
  </r>
  <r>
    <s v="Jubilant Foodworks Ltd (JFL)"/>
    <s v="Alert"/>
    <s v="Jagadisha R"/>
    <s v="PRO/INC/56630"/>
    <s v="aps went down"/>
    <s v="Meraki Managed Services"/>
    <s v="Software / Configuration"/>
    <x v="4"/>
    <s v="Q3KG-8U94-FMUC"/>
    <s v="Q3KG-8U94-FMUC"/>
    <s v="NA"/>
    <x v="1"/>
    <s v="JFL-GNSC-AP56"/>
    <s v="MR86"/>
    <s v="wireless-31-1-7"/>
    <m/>
    <s v="Non-Core"/>
    <s v="Closed"/>
    <x v="0"/>
    <s v="Power issues"/>
    <s v="power issue AP came up"/>
    <d v="2026-07-04T11:49:14"/>
    <d v="2026-07-04T18:58:00"/>
    <n v="428.77"/>
    <d v="2026-07-04T11:49:15"/>
    <n v="0.02"/>
    <n v="30"/>
    <s v="SLA Met"/>
    <d v="2026-07-04T12:08:00"/>
    <d v="2026-07-04T18:55:25"/>
    <n v="407.42"/>
    <n v="21.35"/>
    <n v="120"/>
    <s v="SLA Met"/>
    <m/>
    <n v="129600"/>
    <n v="129578.65"/>
    <n v="99.983526234567904"/>
    <n v="129192.58"/>
    <n v="99.685632716049383"/>
  </r>
  <r>
    <s v="Jubilant Foodworks Ltd (JFL)"/>
    <s v="Alert"/>
    <s v="Jagadisha R"/>
    <s v="PRO/INC/56629"/>
    <s v="aps went down"/>
    <s v="Meraki Managed Services"/>
    <s v="Software / Configuration"/>
    <x v="4"/>
    <s v="Q3KG-GWW5-CHJC"/>
    <s v="Q3KG-GWW5-CHJC"/>
    <s v="NA"/>
    <x v="1"/>
    <s v="JFL-GNSC-AP52"/>
    <s v="MR86"/>
    <s v="wireless-31-1-7"/>
    <m/>
    <s v="Non-Core"/>
    <s v="Closed"/>
    <x v="0"/>
    <s v="Power issues"/>
    <s v="power issue AP came up"/>
    <d v="2026-07-04T11:49:14"/>
    <d v="2026-07-04T18:59:00"/>
    <n v="429.77"/>
    <d v="2026-07-04T11:49:15"/>
    <n v="0.02"/>
    <n v="30"/>
    <s v="SLA Met"/>
    <d v="2026-07-04T12:09:12"/>
    <d v="2026-07-04T18:57:17"/>
    <n v="408.08"/>
    <n v="21.68"/>
    <n v="120"/>
    <s v="SLA Met"/>
    <m/>
    <n v="129600"/>
    <n v="129578.32"/>
    <n v="99.983271604938267"/>
    <n v="129191.92"/>
    <n v="99.685123456790123"/>
  </r>
  <r>
    <s v="Jubilant Foodworks Ltd (JFL)"/>
    <s v="Alert"/>
    <s v="Jagadisha R"/>
    <s v="PRO/INC/56668"/>
    <s v="aps went down"/>
    <s v="Meraki Managed Services"/>
    <s v="Software / Configuration"/>
    <x v="4"/>
    <s v="Q5AA-LCK3-FDNW"/>
    <s v="Q5AA-LCK3-FDNW"/>
    <s v="NA"/>
    <x v="1"/>
    <s v="JFL-GNSC-AP37"/>
    <s v="CW9162I"/>
    <s v="wireless-31-1-7"/>
    <m/>
    <s v="Non-Core"/>
    <s v="Closed"/>
    <x v="2"/>
    <s v="power issue"/>
    <s v="Ap went down due to client side activity"/>
    <d v="2026-07-04T18:04:42"/>
    <d v="2026-07-08T10:34:00"/>
    <n v="5309.3"/>
    <d v="2026-07-04T18:04:43"/>
    <n v="0.02"/>
    <n v="30"/>
    <s v="SLA Met"/>
    <d v="2026-07-04T18:14:35"/>
    <d v="2026-07-08T10:32:31"/>
    <n v="5297.93"/>
    <n v="11.37"/>
    <n v="120"/>
    <s v="SLA Met"/>
    <m/>
    <n v="129600"/>
    <n v="129588.63"/>
    <n v="99.991226851851849"/>
    <n v="124302.07"/>
    <n v="95.912091049382724"/>
  </r>
  <r>
    <s v="Jubilant Foodworks Ltd (JFL)"/>
    <s v="Alert"/>
    <s v="Jagadisha R"/>
    <s v="PRO/INC/56671"/>
    <s v="aps went down"/>
    <s v="Meraki Managed Services"/>
    <s v="Software / Configuration"/>
    <x v="4"/>
    <s v="Q5AA-EZ6A-S56Y"/>
    <s v="Q5AA-EZ6A-S56Y"/>
    <s v="NA"/>
    <x v="1"/>
    <s v="JFL-GNSC-AP42"/>
    <s v="CW9162I"/>
    <s v="wireless-31-1-7"/>
    <m/>
    <s v="Non-Core"/>
    <s v="Closed"/>
    <x v="0"/>
    <s v="power issue"/>
    <s v="power issue AP came up"/>
    <d v="2026-07-04T18:50:13"/>
    <d v="2026-07-04T19:50:00"/>
    <n v="59.78"/>
    <d v="2026-07-04T18:50:14"/>
    <n v="0.02"/>
    <n v="30"/>
    <s v="SLA Met"/>
    <d v="2026-07-04T18:55:39"/>
    <d v="2026-07-04T19:40:42"/>
    <n v="45.05"/>
    <n v="14.73"/>
    <n v="120"/>
    <s v="SLA Met"/>
    <m/>
    <n v="129600"/>
    <n v="129585.27"/>
    <n v="99.988634259259257"/>
    <n v="129554.95"/>
    <n v="99.965239197530863"/>
  </r>
  <r>
    <s v="Jubilant Foodworks Ltd (JFL)"/>
    <s v="Alert"/>
    <s v="Shresth Kushwaha"/>
    <s v="PRO/INC/56675"/>
    <s v="aps went down"/>
    <s v="Meraki Managed Services"/>
    <s v="Software / Configuration"/>
    <x v="4"/>
    <s v="Q5AR-527V-Z8YR"/>
    <s v="Q5AR-527V-Z8YR"/>
    <s v="NA"/>
    <x v="1"/>
    <s v="JFL-GNSC-AP23"/>
    <s v="CW9166I"/>
    <s v="wireless-31-1-7"/>
    <m/>
    <s v="Non-Core"/>
    <s v="Closed"/>
    <x v="2"/>
    <s v="client-side activity"/>
    <s v="AP went down due to client side activity."/>
    <d v="2026-07-04T21:16:50"/>
    <d v="2026-07-08T10:06:00"/>
    <n v="5089.17"/>
    <d v="2026-07-04T21:16:51"/>
    <n v="0.02"/>
    <n v="30"/>
    <s v="SLA Met"/>
    <d v="2026-07-04T21:21:21"/>
    <d v="2026-07-08T10:05:30"/>
    <n v="5084.1499999999996"/>
    <n v="5.0199999999999996"/>
    <n v="120"/>
    <s v="SLA Met"/>
    <m/>
    <n v="129600"/>
    <n v="129594.98"/>
    <n v="99.996126543209868"/>
    <n v="124515.85"/>
    <n v="96.077044753086426"/>
  </r>
  <r>
    <s v="Jubilant Foodworks Ltd (JFL)"/>
    <s v="Alert"/>
    <s v="Shresth Kushwaha"/>
    <s v="PRO/INC/56679"/>
    <s v="aps went down"/>
    <s v="Meraki Managed Services"/>
    <s v="Software / Configuration"/>
    <x v="4"/>
    <s v="Q5AR-527V-Z8YR"/>
    <s v="Q5AR-527V-Z8YR"/>
    <s v="NA"/>
    <x v="1"/>
    <s v="JFL-GNSC-AP23"/>
    <s v="CW9166I"/>
    <s v="wireless-31-1-7"/>
    <m/>
    <s v="Non-Core"/>
    <s v="Closed"/>
    <x v="2"/>
    <s v="Client-side activity ."/>
    <s v="AP went down due to client-side activity."/>
    <d v="2026-07-04T22:07:23"/>
    <d v="2026-07-08T10:05:00"/>
    <n v="5037.62"/>
    <d v="2026-07-04T22:07:24"/>
    <n v="0.02"/>
    <n v="30"/>
    <s v="SLA Met"/>
    <d v="2026-07-04T22:09:57"/>
    <d v="2026-07-08T10:03:28"/>
    <n v="5033.5200000000004"/>
    <n v="4.0999999999999996"/>
    <n v="120"/>
    <s v="SLA Met"/>
    <m/>
    <n v="129600"/>
    <n v="129595.9"/>
    <n v="99.99683641975308"/>
    <n v="124566.48"/>
    <n v="96.11611111111111"/>
  </r>
  <r>
    <s v="Jubilant Foodworks Ltd (JFL)"/>
    <s v="Alert"/>
    <s v="Shresth Kushwaha"/>
    <s v="PRO/INC/56684"/>
    <s v="aps went down"/>
    <s v="Meraki Managed Services"/>
    <s v="Software / Configuration"/>
    <x v="4"/>
    <s v="Q5AA-GHXM-TRTK"/>
    <s v="Q5AA-GHXM-TRTK"/>
    <s v="NA"/>
    <x v="1"/>
    <s v="JFL-GNSC-AP20"/>
    <s v="CW9162I"/>
    <s v="wireless-31-1-7"/>
    <m/>
    <s v="Non-Core"/>
    <s v="Closed"/>
    <x v="0"/>
    <s v="power issue"/>
    <s v="power issue"/>
    <d v="2026-07-05T03:30:33"/>
    <d v="2026-07-07T09:45:00"/>
    <n v="3254.45"/>
    <d v="2026-07-05T03:30:34"/>
    <n v="0.02"/>
    <n v="30"/>
    <s v="SLA Met"/>
    <d v="2026-07-05T03:53:05"/>
    <d v="2026-07-07T09:44:40"/>
    <n v="3231.58"/>
    <n v="22.87"/>
    <n v="120"/>
    <s v="SLA Met"/>
    <m/>
    <n v="129600"/>
    <n v="129577.13"/>
    <n v="99.982353395061736"/>
    <n v="126368.42"/>
    <n v="97.506496913580236"/>
  </r>
  <r>
    <s v="Jubilant Foodworks Ltd (JFL)"/>
    <s v="Alert"/>
    <s v="Kartik Choudhary"/>
    <s v="PRO/INC/56778"/>
    <s v="aps went down"/>
    <s v="Meraki Managed Services"/>
    <s v="Software / Configuration"/>
    <x v="4"/>
    <s v="Q5AA-GJ47-DK5X"/>
    <s v="Q5AA-GJ47-DK5X"/>
    <s v="NA"/>
    <x v="1"/>
    <s v="JFL-GNSC-AP28"/>
    <s v="CW9162I"/>
    <s v="wireless-31-1-7"/>
    <m/>
    <s v="Non-Core"/>
    <s v="Closed"/>
    <x v="2"/>
    <s v="Client-side activity (migration activity)"/>
    <s v="due to Client site migration activity AP went down"/>
    <d v="2026-07-05T11:19:04"/>
    <d v="2026-07-05T21:29:00"/>
    <n v="609.92999999999995"/>
    <d v="2026-07-05T11:19:05"/>
    <n v="0.02"/>
    <n v="30"/>
    <s v="SLA Met"/>
    <d v="2026-07-05T11:27:15"/>
    <d v="2026-07-05T21:27:29"/>
    <n v="600.23"/>
    <n v="9.6999999999999993"/>
    <n v="120"/>
    <s v="SLA Met"/>
    <m/>
    <n v="129600"/>
    <n v="129590.3"/>
    <n v="99.99251543209877"/>
    <n v="128999.77"/>
    <n v="99.536859567901232"/>
  </r>
  <r>
    <s v="Jubilant Foodworks Ltd (JFL)"/>
    <s v="Alert"/>
    <s v="Kartik Choudhary"/>
    <s v="PRO/INC/56777"/>
    <s v="aps went down"/>
    <s v="Meraki Managed Services"/>
    <s v="Software / Configuration"/>
    <x v="4"/>
    <s v="Q5AA-FRBE-94N5"/>
    <s v="Q5AA-FRBE-94N5"/>
    <s v="NA"/>
    <x v="1"/>
    <s v="JFL-GNSC-AP27"/>
    <s v="CW9162I"/>
    <s v="wireless-31-1-7"/>
    <m/>
    <s v="Non-Core"/>
    <s v="Closed"/>
    <x v="2"/>
    <s v="Client-side activity (migration activity)"/>
    <s v="due to Client site migration activity AP went down"/>
    <d v="2026-07-05T11:19:04"/>
    <d v="2026-07-05T21:32:00"/>
    <n v="612.92999999999995"/>
    <d v="2026-07-05T11:19:05"/>
    <n v="0.02"/>
    <n v="30"/>
    <s v="SLA Met"/>
    <d v="2026-07-05T11:25:50"/>
    <d v="2026-07-05T21:29:58"/>
    <n v="604.13"/>
    <n v="8.8000000000000007"/>
    <n v="120"/>
    <s v="SLA Met"/>
    <m/>
    <n v="129600"/>
    <n v="129591.2"/>
    <n v="99.993209876543204"/>
    <n v="128995.87"/>
    <n v="99.533850308641973"/>
  </r>
  <r>
    <s v="Jubilant Foodworks Ltd (JFL)"/>
    <s v="Alert"/>
    <s v="Rohit Mourya"/>
    <s v="PRO/INC/56826"/>
    <s v="aps went down"/>
    <s v="Meraki Managed Services"/>
    <s v="Software / Configuration"/>
    <x v="3"/>
    <s v="Q5AA-GMN6-UE62"/>
    <s v="Q5AA-GMN6-UE62"/>
    <s v="NA"/>
    <x v="1"/>
    <s v="JFL-Mohali-SCC-AP02"/>
    <s v="CW9162I"/>
    <s v="wireless-31-1-7"/>
    <m/>
    <s v="Non-Core"/>
    <s v="Closed"/>
    <x v="2"/>
    <s v="power issue"/>
    <s v="Generator migration activity at client site"/>
    <d v="2026-07-05T12:02:06"/>
    <d v="2026-07-05T21:35:00"/>
    <n v="572.9"/>
    <d v="2026-07-05T12:02:08"/>
    <n v="0.03"/>
    <n v="30"/>
    <s v="SLA Met"/>
    <d v="2026-07-05T12:03:37"/>
    <d v="2026-07-05T21:32:46"/>
    <n v="569.15"/>
    <n v="3.75"/>
    <n v="120"/>
    <s v="SLA Met"/>
    <m/>
    <n v="129600"/>
    <n v="129596.25"/>
    <n v="99.997106481481481"/>
    <n v="129030.85"/>
    <n v="99.560841049382717"/>
  </r>
  <r>
    <s v="Jubilant Foodworks Ltd (JFL)"/>
    <s v="Alert"/>
    <s v="Kartik Choudhary"/>
    <s v="PRO/INC/56828"/>
    <s v="aps went down"/>
    <s v="Meraki Managed Services"/>
    <s v="Software / Configuration"/>
    <x v="3"/>
    <s v="Q5AA-PHPN-4452"/>
    <s v="Q5AA-PHPN-4452"/>
    <s v="NA"/>
    <x v="1"/>
    <s v="JFL-Mohali-SCC-AP08"/>
    <s v="CW9162I"/>
    <s v="wireless-31-1-7"/>
    <m/>
    <s v="Non-Core"/>
    <s v="Closed"/>
    <x v="2"/>
    <s v="power issue"/>
    <s v="Generator migration activity at client site"/>
    <d v="2026-07-05T12:02:16"/>
    <d v="2026-07-05T21:39:00"/>
    <n v="576.73"/>
    <d v="2026-07-05T12:02:17"/>
    <n v="0.02"/>
    <n v="30"/>
    <s v="SLA Met"/>
    <d v="2026-07-05T12:05:54"/>
    <d v="2026-07-05T21:36:52"/>
    <n v="570.97"/>
    <n v="5.77"/>
    <n v="120"/>
    <s v="SLA Met"/>
    <m/>
    <n v="129600"/>
    <n v="129594.23"/>
    <n v="99.995547839506173"/>
    <n v="129029.03"/>
    <n v="99.559436728395056"/>
  </r>
  <r>
    <s v="Jubilant Foodworks Ltd (JFL)"/>
    <s v="Alert"/>
    <s v="Kartik Choudhary"/>
    <s v="PRO/INC/56827"/>
    <s v="aps went down"/>
    <s v="Meraki Managed Services"/>
    <s v="Software / Configuration"/>
    <x v="3"/>
    <s v="Q5AA-V3D8-DKEG"/>
    <s v="Q5AA-V3D8-DKEG"/>
    <s v="NA"/>
    <x v="1"/>
    <s v="JFL-Mohali-SCC-AP05"/>
    <s v="CW9162I"/>
    <s v="wireless-31-1-7"/>
    <m/>
    <s v="Non-Core"/>
    <s v="Closed"/>
    <x v="2"/>
    <s v="power issue"/>
    <s v="Generator migration activity at client site"/>
    <d v="2026-07-05T12:02:16"/>
    <d v="2026-07-05T21:37:00"/>
    <n v="574.73"/>
    <d v="2026-07-05T12:02:17"/>
    <n v="0.02"/>
    <n v="30"/>
    <s v="SLA Met"/>
    <d v="2026-07-05T12:04:40"/>
    <d v="2026-07-05T21:35:28"/>
    <n v="570.79999999999995"/>
    <n v="3.93"/>
    <n v="120"/>
    <s v="SLA Met"/>
    <m/>
    <n v="129600"/>
    <n v="129596.07"/>
    <n v="99.996967592592597"/>
    <n v="129029.2"/>
    <n v="99.559567901234573"/>
  </r>
  <r>
    <s v="Jubilant Foodworks Ltd (JFL)"/>
    <s v="Alert"/>
    <s v="Kartik Choudhary"/>
    <s v="PRO/INC/56829"/>
    <s v="aps went down"/>
    <s v="Meraki Managed Services"/>
    <s v="Software / Configuration"/>
    <x v="3"/>
    <s v="Q5AR-A7VQ-MZJM"/>
    <s v="Q5AR-A7VQ-MZJM"/>
    <s v="NA"/>
    <x v="1"/>
    <s v="JFL-Mohali-SCC-AP13"/>
    <s v="CW9166I"/>
    <s v="wireless-31-1-7"/>
    <m/>
    <s v="Non-Core"/>
    <s v="Closed"/>
    <x v="2"/>
    <s v="power issue"/>
    <s v="Generator migration activity at client site"/>
    <d v="2026-07-05T12:02:20"/>
    <d v="2026-07-05T21:45:00"/>
    <n v="582.66999999999996"/>
    <d v="2026-07-05T12:02:21"/>
    <n v="0.02"/>
    <n v="30"/>
    <s v="SLA Met"/>
    <d v="2026-07-05T12:06:51"/>
    <d v="2026-07-05T21:41:31"/>
    <n v="574.66999999999996"/>
    <n v="8"/>
    <n v="120"/>
    <s v="SLA Met"/>
    <m/>
    <n v="129600"/>
    <n v="129592"/>
    <n v="99.993827160493836"/>
    <n v="129025.33"/>
    <n v="99.55658179012346"/>
  </r>
  <r>
    <s v="Jubilant Foodworks Ltd (JFL)"/>
    <s v="Alert"/>
    <s v="Kartik Choudhary"/>
    <s v="PRO/INC/56834"/>
    <s v="aps went down"/>
    <s v="Meraki Managed Services"/>
    <s v="Software / Configuration"/>
    <x v="4"/>
    <s v="Q5AA-H6R3-LUMM"/>
    <s v="Q5AA-H6R3-LUMM"/>
    <s v="NA"/>
    <x v="1"/>
    <s v="JFL-GNSC-AP26"/>
    <s v="CW9162I"/>
    <s v="wireless-31-1-7"/>
    <m/>
    <s v="Non-Core"/>
    <s v="Closed"/>
    <x v="2"/>
    <s v="Client-side activity (migration activity)"/>
    <s v="due to Client site migration activity AP went down"/>
    <d v="2026-07-05T12:07:57"/>
    <d v="2026-07-05T21:45:00"/>
    <n v="577.04999999999995"/>
    <d v="2026-07-05T12:07:58"/>
    <n v="0.02"/>
    <n v="30"/>
    <s v="SLA Met"/>
    <d v="2026-07-05T12:13:34"/>
    <d v="2026-07-05T21:41:34"/>
    <n v="568"/>
    <n v="9.0500000000000007"/>
    <n v="120"/>
    <s v="SLA Met"/>
    <m/>
    <n v="129600"/>
    <n v="129590.95"/>
    <n v="99.993016975308635"/>
    <n v="129032"/>
    <n v="99.561728395061735"/>
  </r>
  <r>
    <s v="Jubilant Foodworks Ltd (JFL)"/>
    <s v="Alert"/>
    <s v="Rohit Mourya"/>
    <s v="PRO/INC/56838"/>
    <s v="aps went down"/>
    <s v="Meraki Managed Services"/>
    <s v="Software / Configuration"/>
    <x v="4"/>
    <s v="Q3KG-J4EF-KZ54"/>
    <s v="Q3KG-J4EF-KZ54"/>
    <s v="NA"/>
    <x v="1"/>
    <s v="JFL-GNSC-AP62"/>
    <s v="MR86"/>
    <s v="wireless-31-1-7"/>
    <m/>
    <s v="Non-Core"/>
    <s v="Closed"/>
    <x v="2"/>
    <s v="Client-side activity (migration activity)"/>
    <s v="Client-side activity (migration activity)"/>
    <d v="2026-07-05T12:35:32"/>
    <d v="2026-07-08T10:49:00"/>
    <n v="4213.47"/>
    <d v="2026-07-05T12:35:33"/>
    <n v="0.02"/>
    <n v="30"/>
    <s v="SLA Met"/>
    <d v="2026-07-05T12:47:20"/>
    <d v="2026-07-08T10:47:06"/>
    <n v="4199.7700000000004"/>
    <n v="13.7"/>
    <n v="120"/>
    <s v="SLA Met"/>
    <m/>
    <n v="129600"/>
    <n v="129586.3"/>
    <n v="99.989429012345681"/>
    <n v="125400.23"/>
    <n v="96.759436728395059"/>
  </r>
  <r>
    <s v="Jubilant Foodworks Ltd (JFL)"/>
    <s v="Alert"/>
    <s v="Rohit Mourya"/>
    <s v="PRO/INC/56840"/>
    <s v="aps went down"/>
    <s v="Meraki Managed Services"/>
    <s v="Software / Configuration"/>
    <x v="4"/>
    <s v="Q3KG-X73V-EYFZ"/>
    <s v="Q3KG-X73V-EYFZ"/>
    <s v="NA"/>
    <x v="1"/>
    <s v="JFL-GNSC-AP61"/>
    <s v="MR86"/>
    <s v="wireless-31-1-7"/>
    <m/>
    <s v="Non-Core"/>
    <s v="Closed"/>
    <x v="2"/>
    <s v="Client-side activity (migration activity)"/>
    <s v="Client-side activity (migration activity)"/>
    <d v="2026-07-05T12:36:21"/>
    <d v="2026-07-08T10:47:00"/>
    <n v="4210.6499999999996"/>
    <d v="2026-07-05T12:36:22"/>
    <n v="0.02"/>
    <n v="30"/>
    <s v="SLA Met"/>
    <d v="2026-07-05T12:48:47"/>
    <d v="2026-07-08T10:45:53"/>
    <n v="4197.1000000000004"/>
    <n v="13.55"/>
    <n v="120"/>
    <s v="SLA Met"/>
    <m/>
    <n v="129600"/>
    <n v="129586.45"/>
    <n v="99.989544753086406"/>
    <n v="125402.9"/>
    <n v="96.761496913580245"/>
  </r>
  <r>
    <s v="Jubilant Foodworks Ltd (JFL)"/>
    <s v="Alert"/>
    <s v="Rohit Mourya"/>
    <s v="PRO/INC/56843"/>
    <s v="aps went down"/>
    <s v="Meraki Managed Services"/>
    <s v="Software / Configuration"/>
    <x v="4"/>
    <s v="Q5AA-U98X-3FD7"/>
    <s v="Q5AA-U98X-3FD7"/>
    <s v="NA"/>
    <x v="1"/>
    <s v="JFL-GNSC-AP35"/>
    <s v="CW9162I"/>
    <s v="wireless-31-1-7"/>
    <m/>
    <s v="Non-Core"/>
    <s v="Closed"/>
    <x v="2"/>
    <s v="Client-side activity (migration activity)"/>
    <s v="Client-side activity (migration activity)"/>
    <d v="2026-07-05T12:40:02"/>
    <d v="2026-07-08T10:46:00"/>
    <n v="4205.97"/>
    <d v="2026-07-05T12:40:03"/>
    <n v="0.02"/>
    <n v="30"/>
    <s v="SLA Met"/>
    <d v="2026-07-05T12:51:40"/>
    <d v="2026-07-08T10:44:58"/>
    <n v="4193.3"/>
    <n v="12.67"/>
    <n v="120"/>
    <s v="SLA Met"/>
    <m/>
    <n v="129600"/>
    <n v="129587.33"/>
    <n v="99.990223765432091"/>
    <n v="125406.7"/>
    <n v="96.764429012345673"/>
  </r>
  <r>
    <s v="Jubilant Foodworks Ltd (JFL)"/>
    <s v="Alert"/>
    <s v="Rohit Mourya"/>
    <s v="PRO/INC/56845"/>
    <s v="aps went down"/>
    <s v="Meraki Managed Services"/>
    <s v="Software / Configuration"/>
    <x v="4"/>
    <s v="Q3KG-6BJV-TZA3"/>
    <s v="Q3KG-6BJV-TZA3"/>
    <s v="NA"/>
    <x v="1"/>
    <s v="JFL-GNSC-AP53"/>
    <s v="MR86"/>
    <s v="wireless-31-1-7"/>
    <m/>
    <s v="Non-Core"/>
    <s v="Closed"/>
    <x v="2"/>
    <s v="Client-side activity (migration activity)"/>
    <s v="Client-side activity (migration activity)"/>
    <d v="2026-07-05T12:46:24"/>
    <d v="2026-07-08T10:45:00"/>
    <n v="4198.6000000000004"/>
    <d v="2026-07-05T12:46:25"/>
    <n v="0.02"/>
    <n v="30"/>
    <s v="SLA Met"/>
    <d v="2026-07-05T12:52:49"/>
    <d v="2026-07-08T10:44:01"/>
    <n v="4191.2"/>
    <n v="7.4"/>
    <n v="120"/>
    <s v="SLA Met"/>
    <m/>
    <n v="129600"/>
    <n v="129592.6"/>
    <n v="99.994290123456793"/>
    <n v="125408.8"/>
    <n v="96.766049382716048"/>
  </r>
  <r>
    <s v="Jubilant Foodworks Ltd (JFL)"/>
    <s v="Alert"/>
    <s v="Rohit Mourya"/>
    <s v="PRO/INC/56847"/>
    <s v="aps went down"/>
    <s v="Meraki Managed Services"/>
    <s v="Software / Configuration"/>
    <x v="4"/>
    <s v="Q5AA-DEJD-R4N5"/>
    <s v="Q5AA-DEJD-R4N5"/>
    <s v="NA"/>
    <x v="1"/>
    <s v="JFL-GNSC-AP67"/>
    <s v="CW9162I"/>
    <s v="wireless-31-1-7"/>
    <m/>
    <s v="Non-Core"/>
    <s v="Closed"/>
    <x v="2"/>
    <s v="Client-side activity (migration activity)"/>
    <s v="Client-side activity (migration activity)"/>
    <d v="2026-07-05T12:47:52"/>
    <d v="2026-07-08T10:44:00"/>
    <n v="4196.13"/>
    <d v="2026-07-05T12:47:53"/>
    <n v="0.02"/>
    <n v="30"/>
    <s v="SLA Met"/>
    <d v="2026-07-05T12:54:01"/>
    <d v="2026-07-08T10:42:58"/>
    <n v="4188.95"/>
    <n v="7.18"/>
    <n v="120"/>
    <s v="SLA Met"/>
    <m/>
    <n v="129600"/>
    <n v="129592.82"/>
    <n v="99.994459876543218"/>
    <n v="125411.05"/>
    <n v="96.767785493827162"/>
  </r>
  <r>
    <s v="Jubilant Foodworks Ltd (JFL)"/>
    <s v="Alert"/>
    <s v="Rohit Mourya"/>
    <s v="PRO/INC/56849"/>
    <s v="aps went down"/>
    <s v="Meraki Managed Services"/>
    <s v="Software / Configuration"/>
    <x v="4"/>
    <s v="Q5AR-527V-Z8YR"/>
    <s v="Q5AR-527V-Z8YR"/>
    <s v="NA"/>
    <x v="1"/>
    <s v="JFL-GNSC-AP23"/>
    <s v="CW9166I"/>
    <s v="wireless-31-1-7"/>
    <m/>
    <s v="Non-Core"/>
    <s v="Closed"/>
    <x v="2"/>
    <s v="Client-side activity (migration activity)"/>
    <s v="Client-side activity (migration activity)"/>
    <d v="2026-07-05T12:48:13"/>
    <d v="2026-07-08T10:43:00"/>
    <n v="4194.78"/>
    <d v="2026-07-05T12:48:14"/>
    <n v="0.02"/>
    <n v="30"/>
    <s v="SLA Met"/>
    <d v="2026-07-05T12:55:01"/>
    <d v="2026-07-08T10:41:56"/>
    <n v="4186.92"/>
    <n v="7.87"/>
    <n v="120"/>
    <s v="SLA Met"/>
    <m/>
    <n v="129600"/>
    <n v="129592.13"/>
    <n v="99.993927469135798"/>
    <n v="125413.08"/>
    <n v="96.769351851851852"/>
  </r>
  <r>
    <s v="Jubilant Foodworks Ltd (JFL)"/>
    <s v="Alert"/>
    <s v="Rohit Mourya"/>
    <s v="PRO/INC/56851"/>
    <s v="aps went down"/>
    <s v="Meraki Managed Services"/>
    <s v="Software / Configuration"/>
    <x v="4"/>
    <s v="Q5AA-C4TF-5ZA8"/>
    <s v="Q5AA-C4TF-5ZA8"/>
    <s v="NA"/>
    <x v="1"/>
    <s v="JFL-GNSC-AP33"/>
    <s v="CW9162I"/>
    <s v="wireless-31-1-7"/>
    <m/>
    <s v="Non-Core"/>
    <s v="Closed"/>
    <x v="2"/>
    <s v="Client-side activity (migration activity)"/>
    <s v="Client-side activity (migration activity)"/>
    <d v="2026-07-05T12:49:13"/>
    <d v="2026-07-08T10:42:00"/>
    <n v="4192.78"/>
    <d v="2026-07-05T12:49:14"/>
    <n v="0.02"/>
    <n v="30"/>
    <s v="SLA Met"/>
    <d v="2026-07-05T12:50:27"/>
    <d v="2026-07-08T10:40:58"/>
    <n v="4190.5200000000004"/>
    <n v="2.27"/>
    <n v="120"/>
    <s v="SLA Met"/>
    <m/>
    <n v="129600"/>
    <n v="129597.73"/>
    <n v="99.998248456790122"/>
    <n v="125409.48"/>
    <n v="96.766574074074072"/>
  </r>
  <r>
    <s v="Jubilant Foodworks Ltd (JFL)"/>
    <s v="Alert"/>
    <s v="Rohit Mourya"/>
    <s v="PRO/INC/56853"/>
    <s v="aps went down"/>
    <s v="Meraki Managed Services"/>
    <s v="Software / Configuration"/>
    <x v="4"/>
    <s v="Q3KG-D56U-BSMY"/>
    <s v="Q3KG-D56U-BSMY"/>
    <s v="NA"/>
    <x v="1"/>
    <s v="JFL-GNSC-AP58"/>
    <s v="MR86"/>
    <s v="wireless-31-1-7"/>
    <m/>
    <s v="Non-Core"/>
    <s v="Closed"/>
    <x v="2"/>
    <s v="Client-side activity (migration activity)"/>
    <s v="Client-side activity (migration activity)"/>
    <d v="2026-07-05T12:49:53"/>
    <d v="2026-07-08T10:41:00"/>
    <n v="4191.12"/>
    <d v="2026-07-05T12:49:54"/>
    <n v="0.02"/>
    <n v="30"/>
    <s v="SLA Met"/>
    <d v="2026-07-05T12:59:02"/>
    <d v="2026-07-08T10:40:00"/>
    <n v="4180.97"/>
    <n v="10.15"/>
    <n v="120"/>
    <s v="SLA Met"/>
    <m/>
    <n v="129600"/>
    <n v="129589.85"/>
    <n v="99.992168209876553"/>
    <n v="125419.03"/>
    <n v="96.773942901234562"/>
  </r>
  <r>
    <s v="Jubilant Foodworks Ltd (JFL)"/>
    <s v="Alert"/>
    <s v="Rohit Mourya"/>
    <s v="PRO/INC/56855"/>
    <s v="aps went down"/>
    <s v="Meraki Managed Services"/>
    <s v="Software / Configuration"/>
    <x v="4"/>
    <s v="Q5AA-TSZZ-HUFQ"/>
    <s v="Q5AA-TSZZ-HUFQ"/>
    <s v="NA"/>
    <x v="1"/>
    <s v="JFL-GNSC-AP34"/>
    <s v="CW9162I"/>
    <s v="wireless-31-1-7"/>
    <m/>
    <s v="Non-Core"/>
    <s v="Closed"/>
    <x v="2"/>
    <s v="Client-side activity (migration activity)"/>
    <s v="Client-side activity (migration activity)"/>
    <d v="2026-07-05T12:50:23"/>
    <d v="2026-07-08T10:40:00"/>
    <n v="4189.62"/>
    <d v="2026-07-05T12:50:24"/>
    <n v="0.02"/>
    <n v="30"/>
    <s v="SLA Met"/>
    <d v="2026-07-05T13:00:02"/>
    <d v="2026-07-08T10:38:22"/>
    <n v="4178.33"/>
    <n v="11.28"/>
    <n v="120"/>
    <s v="SLA Met"/>
    <m/>
    <n v="129600"/>
    <n v="129588.72"/>
    <n v="99.991296296296298"/>
    <n v="125421.67"/>
    <n v="96.775979938271604"/>
  </r>
  <r>
    <s v="Jubilant Foodworks Ltd (JFL)"/>
    <s v="Alert"/>
    <s v="Rohit Mourya"/>
    <s v="PRO/INC/56857"/>
    <s v="aps went down"/>
    <s v="Meraki Managed Services"/>
    <s v="Software / Configuration"/>
    <x v="4"/>
    <s v="Q3KG-BTTL-HVZU"/>
    <s v="Q3KG-BTTL-HVZU"/>
    <s v="NA"/>
    <x v="1"/>
    <s v="JFL-GNSC-AP59"/>
    <s v="MR86"/>
    <s v="wireless-31-1-7"/>
    <m/>
    <s v="Non-Core"/>
    <s v="Closed"/>
    <x v="2"/>
    <s v="Client-side activity (migration activity)"/>
    <s v="Client-side activity (migration activity)"/>
    <d v="2026-07-05T12:50:33"/>
    <d v="2026-07-08T10:38:00"/>
    <n v="4187.45"/>
    <d v="2026-07-05T12:50:34"/>
    <n v="0.02"/>
    <n v="30"/>
    <s v="SLA Met"/>
    <d v="2026-07-05T13:01:33"/>
    <d v="2026-07-08T10:36:44"/>
    <n v="4175.18"/>
    <n v="12.27"/>
    <n v="120"/>
    <s v="SLA Met"/>
    <m/>
    <n v="129600"/>
    <n v="129587.73"/>
    <n v="99.9905324074074"/>
    <n v="125424.82"/>
    <n v="96.778410493827167"/>
  </r>
  <r>
    <s v="Jubilant Foodworks Ltd (JFL)"/>
    <s v="Alert"/>
    <s v="Rohit Mourya"/>
    <s v="PRO/INC/56859"/>
    <s v="aps went down"/>
    <s v="Meraki Managed Services"/>
    <s v="Software / Configuration"/>
    <x v="4"/>
    <s v="Q3KG-DGB7-HMVP"/>
    <s v="Q3KG-DGB7-HMVP"/>
    <s v="NA"/>
    <x v="1"/>
    <s v="JFL-GNSC-AP57"/>
    <s v="MR86"/>
    <s v="wireless-31-1-7"/>
    <m/>
    <s v="Non-Core"/>
    <s v="Closed"/>
    <x v="2"/>
    <s v="Client-side activity (migration activity)"/>
    <s v="Client-side activity (migration activity)"/>
    <d v="2026-07-05T12:51:04"/>
    <d v="2026-07-08T10:37:00"/>
    <n v="4185.93"/>
    <d v="2026-07-05T12:51:05"/>
    <n v="0.02"/>
    <n v="30"/>
    <s v="SLA Met"/>
    <d v="2026-07-05T12:56:58"/>
    <d v="2026-07-08T10:35:50"/>
    <n v="4178.87"/>
    <n v="7.07"/>
    <n v="120"/>
    <s v="SLA Met"/>
    <m/>
    <n v="129600"/>
    <n v="129592.93"/>
    <n v="99.994544753086416"/>
    <n v="125421.13"/>
    <n v="96.775563271604938"/>
  </r>
  <r>
    <s v="Jubilant Foodworks Ltd (JFL)"/>
    <s v="Alert"/>
    <s v="Rohit Mourya"/>
    <s v="PRO/INC/56862"/>
    <s v="aps went down"/>
    <s v="Meraki Managed Services"/>
    <s v="Software / Configuration"/>
    <x v="4"/>
    <s v="Q3KG-8U94-FMUC"/>
    <s v="Q3KG-8U94-FMUC"/>
    <s v="NA"/>
    <x v="1"/>
    <s v="JFL-GNSC-AP56"/>
    <s v="MR86"/>
    <s v="wireless-31-1-7"/>
    <m/>
    <s v="Non-Core"/>
    <s v="Closed"/>
    <x v="2"/>
    <s v="Client-side activity (migration activity)"/>
    <s v="Client-side activity (migration activity)"/>
    <d v="2026-07-05T12:55:54"/>
    <d v="2026-07-08T10:36:00"/>
    <n v="4180.1000000000004"/>
    <d v="2026-07-05T12:55:55"/>
    <n v="0.02"/>
    <n v="30"/>
    <s v="SLA Met"/>
    <d v="2026-07-05T13:02:50"/>
    <d v="2026-07-08T10:34:51"/>
    <n v="4172.0200000000004"/>
    <n v="8.08"/>
    <n v="120"/>
    <s v="SLA Met"/>
    <m/>
    <n v="129600"/>
    <n v="129591.92"/>
    <n v="99.993765432098769"/>
    <n v="125427.98"/>
    <n v="96.780848765432097"/>
  </r>
  <r>
    <s v="Jubilant Foodworks Ltd (JFL)"/>
    <s v="Alert"/>
    <s v="Kartik Choudhary"/>
    <s v="PRO/INC/56861"/>
    <s v="aps went down"/>
    <s v="Meraki Managed Services"/>
    <s v="Software / Configuration"/>
    <x v="4"/>
    <s v="Q5AA-ASYH-AKEA"/>
    <s v="Q5AA-ASYH-AKEA"/>
    <s v="NA"/>
    <x v="1"/>
    <s v="JFL-GNSC-AP22"/>
    <s v="CW9162I"/>
    <s v="wireless-31-1-7"/>
    <m/>
    <s v="Non-Core"/>
    <s v="Closed"/>
    <x v="2"/>
    <s v="Client-side activity (migration activity)"/>
    <s v="due to Client site migration activity AP went down"/>
    <d v="2026-07-05T12:55:54"/>
    <d v="2026-07-05T22:00:00"/>
    <n v="544.1"/>
    <d v="2026-07-05T12:55:55"/>
    <n v="0.02"/>
    <n v="30"/>
    <s v="SLA Met"/>
    <d v="2026-07-05T13:04:24"/>
    <d v="2026-07-05T21:58:07"/>
    <n v="533.72"/>
    <n v="10.38"/>
    <n v="120"/>
    <s v="SLA Met"/>
    <m/>
    <n v="129600"/>
    <n v="129589.62"/>
    <n v="99.991990740740732"/>
    <n v="129066.28"/>
    <n v="99.588179012345677"/>
  </r>
  <r>
    <s v="Jubilant Foodworks Ltd (JFL)"/>
    <s v="Alert"/>
    <s v="Kartik Choudhary"/>
    <s v="PRO/INC/56863"/>
    <s v="aps went down"/>
    <s v="Meraki Managed Services"/>
    <s v="Software / Configuration"/>
    <x v="4"/>
    <s v="Q5AA-EZ6A-S56Y"/>
    <s v="Q5AA-EZ6A-S56Y"/>
    <s v="NA"/>
    <x v="1"/>
    <s v="JFL-GNSC-AP42"/>
    <s v="CW9162I"/>
    <s v="wireless-31-1-7"/>
    <m/>
    <s v="Non-Core"/>
    <s v="Closed"/>
    <x v="2"/>
    <s v="Client-side activity (migration activity)"/>
    <s v="due to Client site migration activity AP went down"/>
    <d v="2026-07-05T12:56:04"/>
    <d v="2026-07-05T22:02:00"/>
    <n v="545.92999999999995"/>
    <d v="2026-07-05T12:56:05"/>
    <n v="0.02"/>
    <n v="30"/>
    <s v="SLA Met"/>
    <d v="2026-07-05T13:05:30"/>
    <d v="2026-07-05T22:00:05"/>
    <n v="534.58000000000004"/>
    <n v="11.35"/>
    <n v="120"/>
    <s v="SLA Met"/>
    <m/>
    <n v="129600"/>
    <n v="129588.65"/>
    <n v="99.991242283950612"/>
    <n v="129065.42"/>
    <n v="99.587515432098755"/>
  </r>
  <r>
    <s v="Jubilant Foodworks Ltd (JFL)"/>
    <s v="Alert"/>
    <s v="Rohit Mourya"/>
    <s v="PRO/INC/56866"/>
    <s v="aps went down"/>
    <s v="Meraki Managed Services"/>
    <s v="Software / Configuration"/>
    <x v="4"/>
    <s v="Q5AA-JYZN-6KKB"/>
    <s v="Q5AA-JYZN-6KKB"/>
    <s v="NA"/>
    <x v="1"/>
    <s v="JFL-GNSC-AP66"/>
    <s v="CW9162I"/>
    <s v="wireless-31-1-7"/>
    <m/>
    <s v="Non-Core"/>
    <s v="Closed"/>
    <x v="2"/>
    <s v="Client-side activity (migration activity)"/>
    <s v="Client-side activity (migration activity)"/>
    <d v="2026-07-05T12:57:05"/>
    <d v="2026-07-08T10:35:00"/>
    <n v="4177.92"/>
    <d v="2026-07-05T12:57:06"/>
    <n v="0.02"/>
    <n v="30"/>
    <s v="SLA Met"/>
    <d v="2026-07-05T13:06:30"/>
    <d v="2026-07-08T10:33:52"/>
    <n v="4167.37"/>
    <n v="10.55"/>
    <n v="120"/>
    <s v="SLA Met"/>
    <m/>
    <n v="129600"/>
    <n v="129589.45"/>
    <n v="99.99185956790123"/>
    <n v="125432.63"/>
    <n v="96.784436728395065"/>
  </r>
  <r>
    <s v="Jubilant Foodworks Ltd (JFL)"/>
    <s v="Alert"/>
    <s v="Rohit Mourya"/>
    <s v="PRO/INC/56885"/>
    <s v="switches went down"/>
    <s v="Meraki Managed Services"/>
    <s v="Software / Configuration"/>
    <x v="1"/>
    <s v="Q5JG-ECTW-5MN7"/>
    <s v="Q5JG-ECTW-5MN7"/>
    <s v="CORE"/>
    <x v="0"/>
    <s v="JFL-Guwahati-CORE-01"/>
    <s v="C9300L-24P-4X"/>
    <s v="IOS XE 17.15.5"/>
    <m/>
    <s v="Core"/>
    <s v="Closed"/>
    <x v="0"/>
    <s v="power issue"/>
    <s v="power issue"/>
    <d v="2026-07-05T17:58:25"/>
    <d v="2026-07-06T16:08:00"/>
    <n v="1329.58"/>
    <d v="2026-07-05T17:58:26"/>
    <n v="0.02"/>
    <n v="30"/>
    <s v="SLA Met"/>
    <d v="2026-07-05T18:00:21"/>
    <d v="2026-07-06T16:06:59"/>
    <n v="1326.63"/>
    <n v="2.95"/>
    <n v="120"/>
    <s v="SLA Met"/>
    <m/>
    <n v="129600"/>
    <n v="129597.05"/>
    <n v="99.997723765432099"/>
    <n v="128273.37"/>
    <n v="98.976365740740732"/>
  </r>
  <r>
    <s v="Jubilant Foodworks Ltd (JFL)"/>
    <s v="Alert"/>
    <s v="Rohit Mourya"/>
    <s v="PRO/INC/56886"/>
    <s v="aps went down"/>
    <s v="Meraki Managed Services"/>
    <s v="Software / Configuration"/>
    <x v="1"/>
    <s v="Q5AA-RM28-C2R8"/>
    <s v="Q5AA-RM28-C2R8"/>
    <s v="NA"/>
    <x v="1"/>
    <s v="JFL-Guwahati-SSC-AP-03"/>
    <s v="CW9162I"/>
    <s v="MR 32.1.7"/>
    <m/>
    <s v="Non-Core"/>
    <s v="Closed"/>
    <x v="0"/>
    <s v="power issue"/>
    <s v="power issue"/>
    <d v="2026-07-05T17:58:28"/>
    <d v="2026-07-06T16:07:00"/>
    <n v="1328.53"/>
    <d v="2026-07-05T17:58:29"/>
    <n v="0.02"/>
    <n v="30"/>
    <s v="SLA Met"/>
    <d v="2026-07-05T18:01:22"/>
    <d v="2026-07-06T16:05:36"/>
    <n v="1324.23"/>
    <n v="4.3"/>
    <n v="120"/>
    <s v="SLA Met"/>
    <m/>
    <n v="129600"/>
    <n v="129595.7"/>
    <n v="99.996682098765433"/>
    <n v="128275.77"/>
    <n v="98.9782175925926"/>
  </r>
  <r>
    <s v="Jubilant Foodworks Ltd (JFL)"/>
    <s v="Alert"/>
    <s v="Rohit Mourya"/>
    <s v="PRO/INC/56890"/>
    <s v="aps went down"/>
    <s v="Meraki Managed Services"/>
    <s v="Software / Configuration"/>
    <x v="4"/>
    <s v="Q3KG-8U94-FMUC"/>
    <s v="Q3KG-8U94-FMUC"/>
    <s v="NA"/>
    <x v="1"/>
    <s v="JFL-GNSC-AP56"/>
    <s v="MR86"/>
    <s v="wireless-31-1-7"/>
    <m/>
    <s v="Non-Core"/>
    <s v="Closed"/>
    <x v="2"/>
    <s v="Client-side activity (migration activity)"/>
    <s v="client side activity"/>
    <d v="2026-07-05T18:34:20"/>
    <d v="2026-07-08T10:34:00"/>
    <n v="3839.67"/>
    <d v="2026-07-05T18:34:21"/>
    <n v="0.02"/>
    <n v="30"/>
    <s v="SLA Met"/>
    <d v="2026-07-05T18:38:53"/>
    <d v="2026-07-08T10:32:29"/>
    <n v="3833.6"/>
    <n v="6.07"/>
    <n v="120"/>
    <s v="SLA Met"/>
    <m/>
    <n v="129600"/>
    <n v="129593.93"/>
    <n v="99.995316358024695"/>
    <n v="125766.39999999999"/>
    <n v="97.041975308641966"/>
  </r>
  <r>
    <s v="Jubilant Foodworks Ltd (JFL)"/>
    <s v="Alert"/>
    <s v="Rohit Mourya"/>
    <s v="PRO/INC/56889"/>
    <s v="aps went down"/>
    <s v="Meraki Managed Services"/>
    <s v="Software / Configuration"/>
    <x v="4"/>
    <s v="Q3KG-GWW5-CHJC"/>
    <s v="Q3KG-GWW5-CHJC"/>
    <s v="NA"/>
    <x v="1"/>
    <s v="JFL-GNSC-AP52"/>
    <s v="MR86"/>
    <s v="wireless-31-1-7"/>
    <m/>
    <s v="Non-Core"/>
    <s v="Closed"/>
    <x v="2"/>
    <s v="Client-side activity (migration activity)"/>
    <s v="Ap online"/>
    <d v="2026-07-05T18:34:20"/>
    <d v="2026-07-17T13:11:00"/>
    <n v="16956.669999999998"/>
    <d v="2026-07-05T18:34:21"/>
    <n v="0.02"/>
    <n v="30"/>
    <s v="SLA Met"/>
    <d v="2026-07-05T18:40:07"/>
    <d v="2026-07-17T13:09:48"/>
    <n v="16949.68"/>
    <n v="6.98"/>
    <n v="120"/>
    <s v="SLA Met"/>
    <m/>
    <n v="129600"/>
    <n v="129593.02"/>
    <n v="99.994614197530865"/>
    <n v="112650.32"/>
    <n v="86.921543209876546"/>
  </r>
  <r>
    <s v="Jubilant Foodworks Ltd (JFL)"/>
    <s v="Alert"/>
    <s v="Kartik Choudhary"/>
    <s v="PRO/INC/56896"/>
    <s v="aps went down"/>
    <s v="Meraki Managed Services"/>
    <s v="Software / Configuration"/>
    <x v="4"/>
    <s v="Q5AA-EZ6A-S56Y"/>
    <s v="Q5AA-EZ6A-S56Y"/>
    <s v="NA"/>
    <x v="1"/>
    <s v="JFL-GNSC-AP42"/>
    <s v="CW9162I"/>
    <s v="wireless-31-1-7"/>
    <m/>
    <s v="Non-Core"/>
    <s v="Closed"/>
    <x v="2"/>
    <s v="Device is unreachable on dashboard suspecting power issue."/>
    <s v="Migration activity"/>
    <d v="2026-07-06T04:37:17"/>
    <d v="2026-07-13T23:21:00"/>
    <n v="11203.72"/>
    <d v="2026-07-06T04:37:17"/>
    <n v="0"/>
    <n v="30"/>
    <s v="SLA Met"/>
    <d v="2026-07-06T04:41:00"/>
    <d v="2026-07-13T23:18:41"/>
    <n v="11197.68"/>
    <n v="6.03"/>
    <n v="120"/>
    <s v="SLA Met"/>
    <m/>
    <n v="129600"/>
    <n v="129593.97"/>
    <n v="99.995347222222222"/>
    <n v="118402.32"/>
    <n v="91.359814814814825"/>
  </r>
  <r>
    <s v="Jubilant Foodworks Ltd (JFL)"/>
    <s v="Alert"/>
    <s v="Aneesh P S"/>
    <s v="PRO/INC/57016"/>
    <s v="aps went down"/>
    <s v="Meraki Managed Services"/>
    <s v="Software / Configuration"/>
    <x v="4"/>
    <s v="Q5AA-JKR4-S9MX"/>
    <s v="Q5AA-JKR4-S9MX"/>
    <s v="NA"/>
    <x v="1"/>
    <s v="JFL-GNSC-AP24"/>
    <s v="CW9162I"/>
    <s v="wireless-31-1-7"/>
    <m/>
    <s v="Non-Core"/>
    <s v="Closed"/>
    <x v="2"/>
    <s v="Device Power issues"/>
    <s v="client side activity"/>
    <d v="2026-07-06T11:30:40"/>
    <d v="2026-07-06T16:46:00"/>
    <n v="315.33"/>
    <d v="2026-07-06T11:30:41"/>
    <n v="0.02"/>
    <n v="30"/>
    <s v="SLA Met"/>
    <d v="2026-07-06T11:33:10"/>
    <d v="2026-07-06T16:37:27"/>
    <n v="304.27999999999997"/>
    <n v="11.05"/>
    <n v="120"/>
    <s v="SLA Met"/>
    <m/>
    <n v="129600"/>
    <n v="129588.95"/>
    <n v="99.99147376543209"/>
    <n v="129295.72"/>
    <n v="99.765216049382715"/>
  </r>
  <r>
    <s v="Jubilant Foodworks Ltd (JFL)"/>
    <s v="Alert"/>
    <s v="Aneesh P S"/>
    <s v="PRO/INC/57017"/>
    <s v="aps went down"/>
    <s v="Meraki Managed Services"/>
    <s v="Software / Configuration"/>
    <x v="4"/>
    <s v="Q5AA-XGDL-V7JB"/>
    <s v="Q5AA-XGDL-V7JB"/>
    <s v="NA"/>
    <x v="1"/>
    <s v="JFL-GNSC-AP54"/>
    <s v="CW9162I"/>
    <s v="wireless-31-1-7"/>
    <m/>
    <s v="Non-Core"/>
    <s v="Closed"/>
    <x v="2"/>
    <s v="Device Power issues"/>
    <s v="client side activity"/>
    <d v="2026-07-06T11:30:43"/>
    <d v="2026-07-06T16:42:00"/>
    <n v="311.27999999999997"/>
    <d v="2026-07-06T11:30:45"/>
    <n v="0.03"/>
    <n v="30"/>
    <s v="SLA Met"/>
    <d v="2026-07-06T11:35:33"/>
    <d v="2026-07-06T16:38:18"/>
    <n v="302.75"/>
    <n v="8.5299999999999994"/>
    <n v="120"/>
    <s v="SLA Met"/>
    <m/>
    <n v="129600"/>
    <n v="129591.47"/>
    <n v="99.993418209876538"/>
    <n v="129297.25"/>
    <n v="99.766396604938265"/>
  </r>
  <r>
    <s v="Jubilant Foodworks Ltd (JFL)"/>
    <s v="Alert"/>
    <s v="Dheerendra Maurya"/>
    <s v="PRO/INC/57026"/>
    <s v="aps went down"/>
    <s v="Meraki Managed Services"/>
    <s v="Software / Configuration"/>
    <x v="4"/>
    <s v="Q3KG-GWW5-CHJC"/>
    <s v="Q3KG-GWW5-CHJC"/>
    <s v="NA"/>
    <x v="1"/>
    <s v="JFL-GNSC-AP52"/>
    <s v="MR86"/>
    <s v="wireless-31-1-7"/>
    <m/>
    <s v="Non-Core"/>
    <s v="Closed"/>
    <x v="2"/>
    <s v="Clent side Activity"/>
    <s v="AP went down due Client side activity(migration activity)"/>
    <d v="2026-07-06T12:14:27"/>
    <d v="2026-07-10T12:50:00"/>
    <n v="5795.55"/>
    <d v="2026-07-06T12:14:27"/>
    <n v="0"/>
    <n v="30"/>
    <s v="SLA Met"/>
    <d v="2026-07-06T12:29:56"/>
    <d v="2026-07-10T12:48:50"/>
    <n v="5778.9"/>
    <n v="16.649999999999999"/>
    <n v="120"/>
    <s v="SLA Met"/>
    <m/>
    <n v="129600"/>
    <n v="129583.35"/>
    <n v="99.98715277777778"/>
    <n v="123821.1"/>
    <n v="95.540972222222237"/>
  </r>
  <r>
    <s v="Jubilant Foodworks Ltd (JFL)"/>
    <s v="Alert"/>
    <s v="Dheerendra Maurya"/>
    <s v="PRO/INC/57027"/>
    <s v="aps went down"/>
    <s v="Meraki Managed Services"/>
    <s v="Software / Configuration"/>
    <x v="4"/>
    <s v="Q3KG-XSEX-EG6A"/>
    <s v="Q3KG-XSEX-EG6A"/>
    <s v="NA"/>
    <x v="1"/>
    <s v="JFL-GNSC-AP60"/>
    <s v="MR86"/>
    <s v="wireless-31-1-7"/>
    <m/>
    <s v="Non-Core"/>
    <s v="Closed"/>
    <x v="2"/>
    <s v="Client Side Activity"/>
    <s v="Ap went down due to Client side activity(migration activity)"/>
    <d v="2026-07-06T12:14:27"/>
    <d v="2026-07-08T10:20:00"/>
    <n v="2765.55"/>
    <d v="2026-07-06T12:14:28"/>
    <n v="0.02"/>
    <n v="30"/>
    <s v="SLA Met"/>
    <d v="2026-07-06T12:27:36"/>
    <d v="2026-07-08T10:18:30"/>
    <n v="2750.9"/>
    <n v="14.65"/>
    <n v="120"/>
    <s v="SLA Met"/>
    <m/>
    <n v="129600"/>
    <n v="129585.35"/>
    <n v="99.988695987654324"/>
    <n v="126849.1"/>
    <n v="97.877391975308655"/>
  </r>
  <r>
    <s v="Jubilant Foodworks Ltd (JFL)"/>
    <s v="Alert"/>
    <s v="Dheerendra Maurya"/>
    <s v="PRO/INC/57032"/>
    <s v="aps went down"/>
    <s v="Meraki Managed Services"/>
    <s v="Software / Configuration"/>
    <x v="4"/>
    <s v="Q3KG-8U94-FMUC"/>
    <s v="Q3KG-8U94-FMUC"/>
    <s v="NA"/>
    <x v="1"/>
    <s v="JFL-GNSC-AP56"/>
    <s v="MR86"/>
    <s v="wireless-31-1-7"/>
    <m/>
    <s v="Non-Core"/>
    <s v="Closed"/>
    <x v="2"/>
    <s v="Clent Side Activity"/>
    <s v="AP went down due to Client side activity(migration activity)"/>
    <d v="2026-07-06T12:29:09"/>
    <d v="2026-07-08T10:18:00"/>
    <n v="2748.85"/>
    <d v="2026-07-06T12:29:10"/>
    <n v="0.02"/>
    <n v="30"/>
    <s v="SLA Met"/>
    <d v="2026-07-06T12:34:30"/>
    <d v="2026-07-08T10:16:43"/>
    <n v="2742.22"/>
    <n v="6.63"/>
    <n v="120"/>
    <s v="SLA Met"/>
    <m/>
    <n v="129600"/>
    <n v="129593.37"/>
    <n v="99.994884259259251"/>
    <n v="126857.78"/>
    <n v="97.884089506172828"/>
  </r>
  <r>
    <s v="Jubilant Foodworks Ltd (JFL)"/>
    <s v="Alert"/>
    <s v="Dheerendra Maurya"/>
    <s v="PRO/INC/57034"/>
    <s v="aps went down"/>
    <s v="Meraki Managed Services"/>
    <s v="Software / Configuration"/>
    <x v="4"/>
    <s v="Q3KG-GWW5-CHJC"/>
    <s v="Q3KG-GWW5-CHJC"/>
    <s v="NA"/>
    <x v="1"/>
    <s v="JFL-GNSC-AP52"/>
    <s v="MR86"/>
    <s v="wireless-31-1-7"/>
    <m/>
    <s v="Non-Core"/>
    <s v="Closed"/>
    <x v="2"/>
    <s v="Clent Side Activity"/>
    <s v="Ap went down due to Client side activity(migration activity)"/>
    <d v="2026-07-06T12:29:39"/>
    <d v="2026-07-08T10:16:00"/>
    <n v="2746.35"/>
    <d v="2026-07-06T12:29:40"/>
    <n v="0.02"/>
    <n v="30"/>
    <s v="SLA Met"/>
    <d v="2026-07-06T12:36:45"/>
    <d v="2026-07-08T10:14:59"/>
    <n v="2738.23"/>
    <n v="8.1199999999999992"/>
    <n v="120"/>
    <s v="SLA Met"/>
    <m/>
    <n v="129600"/>
    <n v="129591.88"/>
    <n v="99.993734567901242"/>
    <n v="126861.77"/>
    <n v="97.887168209876549"/>
  </r>
  <r>
    <s v="Jubilant Foodworks Ltd (JFL)"/>
    <s v="Alert"/>
    <s v="Dheerendra Maurya"/>
    <s v="PRO/INC/57035"/>
    <s v="aps went down"/>
    <s v="Meraki Managed Services"/>
    <s v="Software / Configuration"/>
    <x v="4"/>
    <s v="Q3KG-XSEX-EG6A"/>
    <s v="Q3KG-XSEX-EG6A"/>
    <s v="NA"/>
    <x v="1"/>
    <s v="JFL-GNSC-AP60"/>
    <s v="MR86"/>
    <s v="wireless-31-1-7"/>
    <m/>
    <s v="Non-Core"/>
    <s v="Closed"/>
    <x v="2"/>
    <s v="Client Side Activity"/>
    <s v="Ap went down due to Client-side activity (migration activity) issue"/>
    <d v="2026-07-06T12:29:39"/>
    <d v="2026-07-06T16:56:00"/>
    <n v="266.35000000000002"/>
    <d v="2026-07-06T12:29:40"/>
    <n v="0.02"/>
    <n v="30"/>
    <s v="SLA Met"/>
    <d v="2026-07-06T12:38:58"/>
    <d v="2026-07-06T16:52:53"/>
    <n v="253.92"/>
    <n v="12.43"/>
    <n v="120"/>
    <s v="SLA Met"/>
    <m/>
    <n v="129600"/>
    <n v="129587.57"/>
    <n v="99.990408950617294"/>
    <n v="129346.08"/>
    <n v="99.80407407407408"/>
  </r>
  <r>
    <s v="Jubilant Foodworks Ltd (JFL)"/>
    <s v="Email"/>
    <s v="Dheerendra Maurya"/>
    <s v="PRO/INC/57045"/>
    <s v="(Possibly forged)Not able to login in GNSC core switch"/>
    <s v="Meraki Managed Services"/>
    <s v="Software / Configuration"/>
    <x v="4"/>
    <s v="FVH2836L5EQ"/>
    <s v="FVH2836L5EQ"/>
    <s v="NO RACK "/>
    <x v="0"/>
    <n v="1"/>
    <e v="#N/A"/>
    <e v="#N/A"/>
    <m/>
    <s v="P3"/>
    <s v="On Hold"/>
    <x v="10"/>
    <s v="Switch  is not login"/>
    <m/>
    <d v="2026-07-06T13:35:22"/>
    <m/>
    <m/>
    <d v="2026-07-06T13:35:22"/>
    <n v="0"/>
    <n v="30"/>
    <m/>
    <d v="2026-07-06T16:13:43"/>
    <m/>
    <n v="0"/>
    <m/>
    <n v="1440"/>
    <m/>
    <m/>
    <n v="129600"/>
    <n v="129600"/>
    <n v="100"/>
    <n v="129600"/>
    <n v="100"/>
  </r>
  <r>
    <s v="Jubilant Foodworks Ltd (JFL)"/>
    <s v="Alert"/>
    <s v="Aneesh P S"/>
    <s v="PRO/INC/57056"/>
    <s v="aps went down"/>
    <s v="Meraki Managed Services"/>
    <s v="Software / Configuration"/>
    <x v="4"/>
    <s v="Q5AA-FRBE-94N5"/>
    <s v="Q5AA-FRBE-94N5"/>
    <s v="NA"/>
    <x v="1"/>
    <s v="JFL-GNSC-AP27"/>
    <s v="CW9162I"/>
    <s v="wireless-31-1-7"/>
    <m/>
    <s v="Non-Core"/>
    <s v="Closed"/>
    <x v="2"/>
    <s v="Client Side Activity"/>
    <s v="client side activity"/>
    <d v="2026-07-06T16:34:41"/>
    <d v="2026-07-07T10:00:00"/>
    <n v="1045.32"/>
    <d v="2026-07-06T16:34:42"/>
    <n v="0.02"/>
    <n v="30"/>
    <s v="SLA Met"/>
    <d v="2026-07-06T16:36:57"/>
    <d v="2026-07-07T09:36:29"/>
    <n v="1019.53"/>
    <n v="25.78"/>
    <n v="120"/>
    <s v="SLA Met"/>
    <m/>
    <n v="129600"/>
    <n v="129574.22"/>
    <n v="99.980108024691361"/>
    <n v="128580.47"/>
    <n v="99.213325617283957"/>
  </r>
  <r>
    <s v="Jubilant Foodworks Ltd (JFL)"/>
    <s v="Alert"/>
    <s v="Aneesh P S"/>
    <s v="PRO/INC/57057"/>
    <s v="aps went down"/>
    <s v="Meraki Managed Services"/>
    <s v="Software / Configuration"/>
    <x v="4"/>
    <s v="Q5AA-GJ47-DK5X"/>
    <s v="Q5AA-GJ47-DK5X"/>
    <s v="NA"/>
    <x v="1"/>
    <s v="JFL-GNSC-AP28"/>
    <s v="CW9162I"/>
    <s v="wireless-31-1-7"/>
    <m/>
    <s v="Non-Core"/>
    <s v="Closed"/>
    <x v="2"/>
    <s v="Client Side Activity"/>
    <s v="client side activity"/>
    <d v="2026-07-06T16:34:42"/>
    <d v="2026-07-07T10:00:00"/>
    <n v="1045.3"/>
    <d v="2026-07-06T16:34:43"/>
    <n v="0.02"/>
    <n v="30"/>
    <s v="SLA Met"/>
    <d v="2026-07-06T16:35:55"/>
    <d v="2026-07-07T09:35:16"/>
    <n v="1019.35"/>
    <n v="25.95"/>
    <n v="120"/>
    <s v="SLA Met"/>
    <m/>
    <n v="129600"/>
    <n v="129574.05"/>
    <n v="99.979976851851859"/>
    <n v="128580.65"/>
    <n v="99.213464506172826"/>
  </r>
  <r>
    <s v="Jubilant Foodworks Ltd (JFL)"/>
    <s v="Alert"/>
    <s v="Aneesh P S"/>
    <s v="PRO/INC/57063"/>
    <s v="aps went down"/>
    <s v="Meraki Managed Services"/>
    <s v="Software / Configuration"/>
    <x v="4"/>
    <s v="Q5AA-5TRP-EJMF"/>
    <s v="Q5AA-5TRP-EJMF"/>
    <s v="NA"/>
    <x v="1"/>
    <s v="JFL-GNSC-AP04"/>
    <s v="CW9162I"/>
    <s v="wireless-31-1-7"/>
    <m/>
    <s v="Non-Core"/>
    <s v="Closed"/>
    <x v="2"/>
    <s v="Client Side Activity"/>
    <s v="client side activity"/>
    <d v="2026-07-06T16:41:33"/>
    <d v="2026-07-07T10:00:00"/>
    <n v="1038.45"/>
    <d v="2026-07-06T16:41:34"/>
    <n v="0.02"/>
    <n v="30"/>
    <s v="SLA Met"/>
    <d v="2026-07-06T16:42:53"/>
    <d v="2026-07-07T09:38:18"/>
    <n v="1015.42"/>
    <n v="23.03"/>
    <n v="120"/>
    <s v="SLA Met"/>
    <m/>
    <n v="129600"/>
    <n v="129576.97"/>
    <n v="99.982229938271601"/>
    <n v="128584.58"/>
    <n v="99.216496913580244"/>
  </r>
  <r>
    <s v="Jubilant Foodworks Ltd (JFL)"/>
    <s v="Alert"/>
    <s v="Aneesh P S"/>
    <s v="PRO/INC/57064"/>
    <s v="aps went down"/>
    <s v="Meraki Managed Services"/>
    <s v="Software / Configuration"/>
    <x v="4"/>
    <s v="Q5AA-7TFR-X7ZG"/>
    <s v="Q5AA-7TFR-X7ZG"/>
    <s v="NA"/>
    <x v="1"/>
    <s v="JFL-GNSC-AP29"/>
    <s v="CW9162I"/>
    <s v="wireless-31-1-7"/>
    <m/>
    <s v="Non-Core"/>
    <s v="Closed"/>
    <x v="2"/>
    <s v="Client Side Activity"/>
    <s v="client side activity"/>
    <d v="2026-07-06T16:41:33"/>
    <d v="2026-07-07T10:00:00"/>
    <n v="1038.45"/>
    <d v="2026-07-06T16:41:34"/>
    <n v="0.02"/>
    <n v="30"/>
    <s v="SLA Met"/>
    <d v="2026-07-06T16:44:06"/>
    <d v="2026-07-07T09:37:28"/>
    <n v="1013.37"/>
    <n v="25.08"/>
    <n v="120"/>
    <s v="SLA Met"/>
    <m/>
    <n v="129600"/>
    <n v="129574.92"/>
    <n v="99.980648148148148"/>
    <n v="128586.63"/>
    <n v="99.218078703703711"/>
  </r>
  <r>
    <s v="Jubilant Foodworks Ltd (JFL)"/>
    <s v="Email"/>
    <s v="Dheerendra Maurya"/>
    <s v="PRO/INC/57069"/>
    <s v="RMA Request for Faulty Access Point at JFL Noida Site"/>
    <s v="Meraki Managed Services"/>
    <s v="Hardware"/>
    <x v="5"/>
    <s v="FGL2708LJWX"/>
    <s v="FGL2708LJWX"/>
    <s v="NO RACK "/>
    <x v="1"/>
    <n v="1"/>
    <e v="#N/A"/>
    <e v="#N/A"/>
    <s v="FGL2708LJWX"/>
    <s v="P3"/>
    <s v="Recovery"/>
    <x v="8"/>
    <s v="Creating  RMA"/>
    <s v="Ap has been replaced &amp; working fine"/>
    <d v="2026-07-06T16:57:26"/>
    <d v="2026-07-10T12:46:00"/>
    <n v="5508.57"/>
    <d v="2026-07-06T16:57:26"/>
    <n v="0"/>
    <n v="30"/>
    <m/>
    <d v="2026-07-06T17:20:49"/>
    <d v="2026-07-10T12:39:55"/>
    <n v="5479.1"/>
    <n v="29.47"/>
    <n v="1440"/>
    <m/>
    <m/>
    <n v="129600"/>
    <n v="129570.53"/>
    <n v="99.977260802469132"/>
    <n v="124120.9"/>
    <n v="95.772299382716042"/>
  </r>
  <r>
    <s v="Jubilant Foodworks Ltd (JFL)"/>
    <s v="Email"/>
    <s v="Dheerendra Maurya"/>
    <s v="PRO/INC/57071"/>
    <s v="Port Reset | JFL, Nagpur"/>
    <s v="Meraki Managed Services"/>
    <s v="Change Request"/>
    <x v="2"/>
    <s v="FVH2903L6L7"/>
    <s v="FVH2903L6L7"/>
    <s v="RACK 3"/>
    <x v="0"/>
    <n v="1"/>
    <e v="#N/A"/>
    <e v="#N/A"/>
    <m/>
    <s v="P4"/>
    <s v="Closed"/>
    <x v="2"/>
    <s v="Switch Port Enable"/>
    <s v="Switch port 16 has been enabled under vlan 1 now device has been connected &amp; working fine"/>
    <d v="2026-07-06T17:32:28"/>
    <d v="2026-07-08T10:02:00"/>
    <n v="2429.5300000000002"/>
    <d v="2026-07-06T17:32:27"/>
    <n v="0"/>
    <n v="30"/>
    <s v="SLA Met"/>
    <d v="2026-07-06T17:47:23"/>
    <d v="2026-07-08T09:56:13"/>
    <n v="2408.83"/>
    <n v="20.7"/>
    <n v="2880"/>
    <s v="SLA Met"/>
    <m/>
    <n v="129600"/>
    <n v="129579.3"/>
    <n v="99.984027777777783"/>
    <n v="127191.17"/>
    <n v="98.141334876543212"/>
  </r>
  <r>
    <s v="Jubilant Foodworks Ltd (JFL)"/>
    <s v="Alert"/>
    <s v="Kartik Choudhary"/>
    <s v="PRO/INC/57103"/>
    <s v="aps went down"/>
    <s v="Meraki Managed Services"/>
    <s v="Software / Configuration"/>
    <x v="4"/>
    <s v="Q5AR-527V-Z8YR"/>
    <s v="Q5AR-527V-Z8YR"/>
    <s v="NA"/>
    <x v="1"/>
    <s v="JFL-GNSC-AP23"/>
    <s v="CW9166I"/>
    <s v="wireless-31-1-7"/>
    <m/>
    <s v="Non-Core"/>
    <s v="Closed"/>
    <x v="0"/>
    <s v="power issue"/>
    <s v="power issue"/>
    <d v="2026-07-06T21:12:20"/>
    <d v="2026-07-06T21:58:00"/>
    <n v="45.67"/>
    <d v="2026-07-06T21:12:22"/>
    <n v="0.03"/>
    <n v="30"/>
    <s v="SLA Met"/>
    <d v="2026-07-06T21:35:39"/>
    <d v="2026-07-06T21:56:04"/>
    <n v="20.420000000000002"/>
    <n v="25.25"/>
    <n v="120"/>
    <s v="SLA Met"/>
    <m/>
    <n v="129600"/>
    <n v="129574.75"/>
    <n v="99.980516975308646"/>
    <n v="129579.58"/>
    <n v="99.984243827160498"/>
  </r>
  <r>
    <s v="Jubilant Foodworks Ltd (JFL)"/>
    <s v="Alert"/>
    <s v="Kartik Choudhary"/>
    <s v="PRO/INC/57109"/>
    <s v="aps went down"/>
    <s v="Meraki Managed Services"/>
    <s v="Software / Configuration"/>
    <x v="4"/>
    <s v="Q5AR-527V-Z8YR"/>
    <s v="Q5AR-527V-Z8YR"/>
    <s v="NA"/>
    <x v="1"/>
    <s v="JFL-GNSC-AP23"/>
    <s v="CW9166I"/>
    <s v="wireless-31-1-7"/>
    <m/>
    <s v="Non-Core"/>
    <s v="Closed"/>
    <x v="0"/>
    <s v="power issue"/>
    <s v="power issue"/>
    <d v="2026-07-06T21:30:33"/>
    <d v="2026-07-07T00:17:00"/>
    <n v="166.45"/>
    <d v="2026-07-06T21:30:34"/>
    <n v="0.02"/>
    <n v="30"/>
    <s v="SLA Met"/>
    <d v="2026-07-06T21:37:05"/>
    <d v="2026-07-07T00:15:06"/>
    <n v="158.02000000000001"/>
    <n v="8.43"/>
    <n v="120"/>
    <s v="SLA Met"/>
    <m/>
    <n v="129600"/>
    <n v="129591.57"/>
    <n v="99.993495370370383"/>
    <n v="129441.98"/>
    <n v="99.878070987654326"/>
  </r>
  <r>
    <s v="Jubilant Foodworks Ltd (JFL)"/>
    <s v="Alert"/>
    <s v="Kartik Choudhary"/>
    <s v="PRO/INC/57112"/>
    <s v="aps went down"/>
    <s v="Meraki Managed Services"/>
    <s v="Software / Configuration"/>
    <x v="4"/>
    <s v="Q5AR-527V-Z8YR"/>
    <s v="Q5AR-527V-Z8YR"/>
    <s v="NA"/>
    <x v="1"/>
    <s v="JFL-GNSC-AP23"/>
    <s v="CW9166I"/>
    <s v="wireless-31-1-7"/>
    <m/>
    <s v="Non-Core"/>
    <s v="Closed"/>
    <x v="0"/>
    <s v="power issue"/>
    <s v="power issue"/>
    <d v="2026-07-06T21:49:11"/>
    <d v="2026-07-07T00:18:00"/>
    <n v="148.82"/>
    <d v="2026-07-06T21:49:12"/>
    <n v="0.02"/>
    <n v="30"/>
    <s v="SLA Met"/>
    <d v="2026-07-06T21:51:20"/>
    <d v="2026-07-07T00:16:32"/>
    <n v="145.19999999999999"/>
    <n v="3.62"/>
    <n v="120"/>
    <s v="SLA Met"/>
    <m/>
    <n v="129600"/>
    <n v="129596.38"/>
    <n v="99.997206790123457"/>
    <n v="129454.8"/>
    <n v="99.887962962962959"/>
  </r>
  <r>
    <s v="Jubilant Foodworks Ltd (JFL)"/>
    <s v="Alert"/>
    <s v="Kartik Choudhary"/>
    <s v="PRO/INC/57115"/>
    <s v="aps went down"/>
    <s v="Meraki Managed Services"/>
    <s v="Software / Configuration"/>
    <x v="4"/>
    <s v="Q5AR-527V-Z8YR"/>
    <s v="Q5AR-527V-Z8YR"/>
    <s v="NA"/>
    <x v="1"/>
    <s v="JFL-GNSC-AP23"/>
    <s v="CW9166I"/>
    <s v="wireless-31-1-7"/>
    <m/>
    <s v="Non-Core"/>
    <s v="Closed"/>
    <x v="0"/>
    <s v="power issue"/>
    <s v="power issue"/>
    <d v="2026-07-06T23:06:12"/>
    <d v="2026-07-07T00:19:00"/>
    <n v="72.8"/>
    <d v="2026-07-06T23:06:14"/>
    <n v="0.03"/>
    <n v="30"/>
    <s v="SLA Met"/>
    <d v="2026-07-06T23:07:50"/>
    <d v="2026-07-07T00:16:27"/>
    <n v="68.62"/>
    <n v="4.18"/>
    <n v="120"/>
    <s v="SLA Met"/>
    <m/>
    <n v="129600"/>
    <n v="129595.82"/>
    <n v="99.996774691358027"/>
    <n v="129531.38"/>
    <n v="99.947052469135812"/>
  </r>
  <r>
    <m/>
    <m/>
    <m/>
    <m/>
    <m/>
    <m/>
    <m/>
    <x v="6"/>
    <m/>
    <m/>
    <m/>
    <x v="2"/>
    <m/>
    <m/>
    <m/>
    <m/>
    <m/>
    <m/>
    <x v="10"/>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BDBEEC-5B68-4C4D-B245-FF3ADDBB2192}" name="PivotTable1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AB7" firstHeaderRow="1" firstDataRow="2" firstDataCol="1"/>
  <pivotFields count="40">
    <pivotField showAll="0"/>
    <pivotField showAll="0"/>
    <pivotField showAll="0"/>
    <pivotField showAll="0"/>
    <pivotField showAll="0"/>
    <pivotField showAll="0"/>
    <pivotField showAll="0"/>
    <pivotField axis="axisRow" showAll="0">
      <items count="8">
        <item h="1" x="0"/>
        <item h="1" x="4"/>
        <item h="1" x="1"/>
        <item h="1" x="3"/>
        <item h="1" x="2"/>
        <item x="5"/>
        <item h="1" x="6"/>
        <item t="default"/>
      </items>
    </pivotField>
    <pivotField showAll="0"/>
    <pivotField showAll="0"/>
    <pivotField showAll="0"/>
    <pivotField axis="axisCol" dataField="1" showAll="0">
      <items count="4">
        <item x="1"/>
        <item x="0"/>
        <item h="1" x="2"/>
        <item t="default"/>
      </items>
    </pivotField>
    <pivotField showAll="0"/>
    <pivotField showAll="0"/>
    <pivotField showAll="0"/>
    <pivotField showAll="0"/>
    <pivotField showAll="0"/>
    <pivotField showAll="0"/>
    <pivotField axis="axisRow" showAll="0" sortType="descending">
      <items count="12">
        <item x="2"/>
        <item x="6"/>
        <item x="9"/>
        <item x="5"/>
        <item x="0"/>
        <item x="7"/>
        <item x="8"/>
        <item x="1"/>
        <item x="4"/>
        <item x="3"/>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7"/>
    <field x="18"/>
  </rowFields>
  <rowItems count="3">
    <i>
      <x v="5"/>
    </i>
    <i r="1">
      <x v="6"/>
    </i>
    <i t="grand">
      <x/>
    </i>
  </rowItems>
  <colFields count="1">
    <field x="11"/>
  </colFields>
  <colItems count="2">
    <i>
      <x/>
    </i>
    <i t="grand">
      <x/>
    </i>
  </colItems>
  <dataFields count="1">
    <dataField name="Count of Device Type" fld="11" subtotal="count" baseField="0" baseItem="0"/>
  </dataFields>
  <formats count="17">
    <format dxfId="17">
      <pivotArea type="all" dataOnly="0" outline="0" fieldPosition="0"/>
    </format>
    <format dxfId="18">
      <pivotArea outline="0" collapsedLevelsAreSubtotals="1" fieldPosition="0"/>
    </format>
    <format dxfId="19">
      <pivotArea type="origin" dataOnly="0" labelOnly="1" outline="0" fieldPosition="0"/>
    </format>
    <format dxfId="20">
      <pivotArea field="11" type="button" dataOnly="0" labelOnly="1" outline="0" axis="axisCol" fieldPosition="0"/>
    </format>
    <format dxfId="21">
      <pivotArea type="topRight" dataOnly="0" labelOnly="1" outline="0" fieldPosition="0"/>
    </format>
    <format dxfId="22">
      <pivotArea field="7" type="button" dataOnly="0" labelOnly="1" outline="0" axis="axisRow" fieldPosition="0"/>
    </format>
    <format dxfId="23">
      <pivotArea dataOnly="0" labelOnly="1" fieldPosition="0">
        <references count="1">
          <reference field="7" count="0"/>
        </references>
      </pivotArea>
    </format>
    <format dxfId="24">
      <pivotArea dataOnly="0" labelOnly="1" grandRow="1" outline="0" fieldPosition="0"/>
    </format>
    <format dxfId="25">
      <pivotArea dataOnly="0" labelOnly="1" fieldPosition="0">
        <references count="2">
          <reference field="7" count="0" selected="0"/>
          <reference field="18" count="4">
            <x v="0"/>
            <x v="4"/>
            <x v="7"/>
            <x v="8"/>
          </reference>
        </references>
      </pivotArea>
    </format>
    <format dxfId="26">
      <pivotArea dataOnly="0" labelOnly="1" fieldPosition="0">
        <references count="1">
          <reference field="11" count="0"/>
        </references>
      </pivotArea>
    </format>
    <format dxfId="27">
      <pivotArea dataOnly="0" labelOnly="1" grandCol="1" outline="0" fieldPosition="0"/>
    </format>
    <format dxfId="28">
      <pivotArea dataOnly="0" labelOnly="1" fieldPosition="0">
        <references count="2">
          <reference field="7" count="0" selected="0"/>
          <reference field="18" count="6">
            <x v="0"/>
            <x v="3"/>
            <x v="4"/>
            <x v="6"/>
            <x v="7"/>
            <x v="10"/>
          </reference>
        </references>
      </pivotArea>
    </format>
    <format dxfId="29">
      <pivotArea type="origin" dataOnly="0" labelOnly="1" outline="0" fieldPosition="0"/>
    </format>
    <format dxfId="30">
      <pivotArea field="7" type="button" dataOnly="0" labelOnly="1" outline="0" axis="axisRow" fieldPosition="0"/>
    </format>
    <format dxfId="31">
      <pivotArea dataOnly="0" labelOnly="1" fieldPosition="0">
        <references count="1">
          <reference field="7" count="0"/>
        </references>
      </pivotArea>
    </format>
    <format dxfId="32">
      <pivotArea dataOnly="0" labelOnly="1" grandRow="1" outline="0" fieldPosition="0"/>
    </format>
    <format dxfId="33">
      <pivotArea dataOnly="0" labelOnly="1" fieldPosition="0">
        <references count="2">
          <reference field="7" count="0" selected="0"/>
          <reference field="18" count="8">
            <x v="0"/>
            <x v="1"/>
            <x v="2"/>
            <x v="3"/>
            <x v="4"/>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65F13B-02D0-4C13-959C-CDED7CA60334}" name="PivotTable1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X14" firstHeaderRow="1" firstDataRow="2" firstDataCol="1"/>
  <pivotFields count="40">
    <pivotField showAll="0"/>
    <pivotField showAll="0"/>
    <pivotField showAll="0"/>
    <pivotField showAll="0"/>
    <pivotField showAll="0"/>
    <pivotField showAll="0"/>
    <pivotField showAll="0"/>
    <pivotField axis="axisRow" showAll="0">
      <items count="8">
        <item h="1" x="0"/>
        <item h="1" x="4"/>
        <item h="1" x="1"/>
        <item h="1" x="3"/>
        <item x="2"/>
        <item h="1" x="5"/>
        <item h="1" x="6"/>
        <item t="default"/>
      </items>
    </pivotField>
    <pivotField showAll="0"/>
    <pivotField showAll="0"/>
    <pivotField showAll="0"/>
    <pivotField axis="axisCol" dataField="1" showAll="0">
      <items count="4">
        <item x="1"/>
        <item x="0"/>
        <item h="1" x="2"/>
        <item t="default"/>
      </items>
    </pivotField>
    <pivotField showAll="0"/>
    <pivotField showAll="0"/>
    <pivotField showAll="0"/>
    <pivotField showAll="0"/>
    <pivotField showAll="0"/>
    <pivotField showAll="0"/>
    <pivotField axis="axisRow" showAll="0" sortType="descending">
      <items count="12">
        <item x="2"/>
        <item x="6"/>
        <item x="9"/>
        <item x="5"/>
        <item x="0"/>
        <item x="7"/>
        <item x="8"/>
        <item x="1"/>
        <item x="4"/>
        <item x="3"/>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7"/>
    <field x="18"/>
  </rowFields>
  <rowItems count="10">
    <i>
      <x v="4"/>
    </i>
    <i r="1">
      <x/>
    </i>
    <i r="1">
      <x v="9"/>
    </i>
    <i r="1">
      <x v="7"/>
    </i>
    <i r="1">
      <x v="8"/>
    </i>
    <i r="1">
      <x v="1"/>
    </i>
    <i r="1">
      <x v="2"/>
    </i>
    <i r="1">
      <x v="4"/>
    </i>
    <i r="1">
      <x v="3"/>
    </i>
    <i t="grand">
      <x/>
    </i>
  </rowItems>
  <colFields count="1">
    <field x="11"/>
  </colFields>
  <colItems count="3">
    <i>
      <x/>
    </i>
    <i>
      <x v="1"/>
    </i>
    <i t="grand">
      <x/>
    </i>
  </colItems>
  <dataFields count="1">
    <dataField name="Count of Device Type" fld="11" subtotal="count" baseField="0" baseItem="0"/>
  </dataFields>
  <formats count="17">
    <format dxfId="61">
      <pivotArea type="all" dataOnly="0" outline="0" fieldPosition="0"/>
    </format>
    <format dxfId="62">
      <pivotArea outline="0" collapsedLevelsAreSubtotals="1" fieldPosition="0"/>
    </format>
    <format dxfId="63">
      <pivotArea type="origin" dataOnly="0" labelOnly="1" outline="0" fieldPosition="0"/>
    </format>
    <format dxfId="64">
      <pivotArea field="11" type="button" dataOnly="0" labelOnly="1" outline="0" axis="axisCol" fieldPosition="0"/>
    </format>
    <format dxfId="65">
      <pivotArea type="topRight" dataOnly="0" labelOnly="1" outline="0" fieldPosition="0"/>
    </format>
    <format dxfId="66">
      <pivotArea field="7" type="button" dataOnly="0" labelOnly="1" outline="0" axis="axisRow" fieldPosition="0"/>
    </format>
    <format dxfId="67">
      <pivotArea dataOnly="0" labelOnly="1" fieldPosition="0">
        <references count="1">
          <reference field="7" count="0"/>
        </references>
      </pivotArea>
    </format>
    <format dxfId="68">
      <pivotArea dataOnly="0" labelOnly="1" grandRow="1" outline="0" fieldPosition="0"/>
    </format>
    <format dxfId="69">
      <pivotArea dataOnly="0" labelOnly="1" fieldPosition="0">
        <references count="2">
          <reference field="7" count="0" selected="0"/>
          <reference field="18" count="4">
            <x v="0"/>
            <x v="4"/>
            <x v="7"/>
            <x v="8"/>
          </reference>
        </references>
      </pivotArea>
    </format>
    <format dxfId="70">
      <pivotArea dataOnly="0" labelOnly="1" fieldPosition="0">
        <references count="1">
          <reference field="11" count="0"/>
        </references>
      </pivotArea>
    </format>
    <format dxfId="71">
      <pivotArea dataOnly="0" labelOnly="1" grandCol="1" outline="0" fieldPosition="0"/>
    </format>
    <format dxfId="72">
      <pivotArea dataOnly="0" labelOnly="1" fieldPosition="0">
        <references count="2">
          <reference field="7" count="0" selected="0"/>
          <reference field="18" count="6">
            <x v="0"/>
            <x v="3"/>
            <x v="4"/>
            <x v="6"/>
            <x v="7"/>
            <x v="10"/>
          </reference>
        </references>
      </pivotArea>
    </format>
    <format dxfId="43">
      <pivotArea type="origin" dataOnly="0" labelOnly="1" outline="0" fieldPosition="0"/>
    </format>
    <format dxfId="41">
      <pivotArea field="7" type="button" dataOnly="0" labelOnly="1" outline="0" axis="axisRow" fieldPosition="0"/>
    </format>
    <format dxfId="39">
      <pivotArea dataOnly="0" labelOnly="1" fieldPosition="0">
        <references count="1">
          <reference field="7" count="0"/>
        </references>
      </pivotArea>
    </format>
    <format dxfId="37">
      <pivotArea dataOnly="0" labelOnly="1" grandRow="1" outline="0" fieldPosition="0"/>
    </format>
    <format dxfId="35">
      <pivotArea dataOnly="0" labelOnly="1" fieldPosition="0">
        <references count="2">
          <reference field="7" count="0" selected="0"/>
          <reference field="18" count="8">
            <x v="0"/>
            <x v="1"/>
            <x v="2"/>
            <x v="3"/>
            <x v="4"/>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3E1D77-DFDD-4542-94C5-B2ACCF105DD9}" name="PivotTable1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S10" firstHeaderRow="1" firstDataRow="2" firstDataCol="1"/>
  <pivotFields count="40">
    <pivotField showAll="0"/>
    <pivotField showAll="0"/>
    <pivotField showAll="0"/>
    <pivotField showAll="0"/>
    <pivotField showAll="0"/>
    <pivotField showAll="0"/>
    <pivotField showAll="0"/>
    <pivotField axis="axisRow" showAll="0">
      <items count="8">
        <item h="1" x="0"/>
        <item h="1" x="4"/>
        <item h="1" x="1"/>
        <item x="3"/>
        <item h="1" x="2"/>
        <item h="1" x="5"/>
        <item h="1" x="6"/>
        <item t="default"/>
      </items>
    </pivotField>
    <pivotField showAll="0"/>
    <pivotField showAll="0"/>
    <pivotField showAll="0"/>
    <pivotField axis="axisCol" dataField="1" showAll="0">
      <items count="4">
        <item x="1"/>
        <item x="0"/>
        <item h="1" x="2"/>
        <item t="default"/>
      </items>
    </pivotField>
    <pivotField showAll="0"/>
    <pivotField showAll="0"/>
    <pivotField showAll="0"/>
    <pivotField showAll="0"/>
    <pivotField showAll="0"/>
    <pivotField showAll="0"/>
    <pivotField axis="axisRow" showAll="0" sortType="descending">
      <items count="12">
        <item x="2"/>
        <item x="6"/>
        <item x="9"/>
        <item x="5"/>
        <item x="0"/>
        <item x="7"/>
        <item x="8"/>
        <item x="1"/>
        <item x="4"/>
        <item x="3"/>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7"/>
    <field x="18"/>
  </rowFields>
  <rowItems count="6">
    <i>
      <x v="3"/>
    </i>
    <i r="1">
      <x v="4"/>
    </i>
    <i r="1">
      <x/>
    </i>
    <i r="1">
      <x v="7"/>
    </i>
    <i r="1">
      <x v="8"/>
    </i>
    <i t="grand">
      <x/>
    </i>
  </rowItems>
  <colFields count="1">
    <field x="11"/>
  </colFields>
  <colItems count="3">
    <i>
      <x/>
    </i>
    <i>
      <x v="1"/>
    </i>
    <i t="grand">
      <x/>
    </i>
  </colItems>
  <dataFields count="1">
    <dataField name="Count of Device Type" fld="11" subtotal="count" baseField="0" baseItem="0"/>
  </dataFields>
  <formats count="17">
    <format dxfId="90">
      <pivotArea type="all" dataOnly="0" outline="0" fieldPosition="0"/>
    </format>
    <format dxfId="91">
      <pivotArea outline="0" collapsedLevelsAreSubtotals="1" fieldPosition="0"/>
    </format>
    <format dxfId="92">
      <pivotArea type="origin" dataOnly="0" labelOnly="1" outline="0" fieldPosition="0"/>
    </format>
    <format dxfId="93">
      <pivotArea field="11" type="button" dataOnly="0" labelOnly="1" outline="0" axis="axisCol" fieldPosition="0"/>
    </format>
    <format dxfId="94">
      <pivotArea type="topRight" dataOnly="0" labelOnly="1" outline="0" fieldPosition="0"/>
    </format>
    <format dxfId="95">
      <pivotArea field="7" type="button" dataOnly="0" labelOnly="1" outline="0" axis="axisRow" fieldPosition="0"/>
    </format>
    <format dxfId="96">
      <pivotArea dataOnly="0" labelOnly="1" fieldPosition="0">
        <references count="1">
          <reference field="7" count="0"/>
        </references>
      </pivotArea>
    </format>
    <format dxfId="97">
      <pivotArea dataOnly="0" labelOnly="1" grandRow="1" outline="0" fieldPosition="0"/>
    </format>
    <format dxfId="98">
      <pivotArea dataOnly="0" labelOnly="1" fieldPosition="0">
        <references count="2">
          <reference field="7" count="0" selected="0"/>
          <reference field="18" count="4">
            <x v="0"/>
            <x v="4"/>
            <x v="7"/>
            <x v="8"/>
          </reference>
        </references>
      </pivotArea>
    </format>
    <format dxfId="99">
      <pivotArea dataOnly="0" labelOnly="1" fieldPosition="0">
        <references count="1">
          <reference field="11" count="0"/>
        </references>
      </pivotArea>
    </format>
    <format dxfId="100">
      <pivotArea dataOnly="0" labelOnly="1" grandCol="1" outline="0" fieldPosition="0"/>
    </format>
    <format dxfId="101">
      <pivotArea dataOnly="0" labelOnly="1" fieldPosition="0">
        <references count="2">
          <reference field="7" count="0" selected="0"/>
          <reference field="18" count="4">
            <x v="0"/>
            <x v="4"/>
            <x v="7"/>
            <x v="8"/>
          </reference>
        </references>
      </pivotArea>
    </format>
    <format dxfId="102">
      <pivotArea type="origin" dataOnly="0" labelOnly="1" outline="0" fieldPosition="0"/>
    </format>
    <format dxfId="103">
      <pivotArea field="7" type="button" dataOnly="0" labelOnly="1" outline="0" axis="axisRow" fieldPosition="0"/>
    </format>
    <format dxfId="104">
      <pivotArea dataOnly="0" labelOnly="1" fieldPosition="0">
        <references count="1">
          <reference field="7" count="0"/>
        </references>
      </pivotArea>
    </format>
    <format dxfId="105">
      <pivotArea dataOnly="0" labelOnly="1" grandRow="1" outline="0" fieldPosition="0"/>
    </format>
    <format dxfId="106">
      <pivotArea dataOnly="0" labelOnly="1" fieldPosition="0">
        <references count="2">
          <reference field="7" count="0" selected="0"/>
          <reference field="18" count="6">
            <x v="0"/>
            <x v="3"/>
            <x v="4"/>
            <x v="6"/>
            <x v="7"/>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C422DB-94A2-4F9C-A4B3-69FEBCAA72AA}" name="PivotTable1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N9" firstHeaderRow="1" firstDataRow="2" firstDataCol="1"/>
  <pivotFields count="40">
    <pivotField showAll="0"/>
    <pivotField showAll="0"/>
    <pivotField showAll="0"/>
    <pivotField showAll="0"/>
    <pivotField showAll="0"/>
    <pivotField showAll="0"/>
    <pivotField showAll="0"/>
    <pivotField axis="axisRow" showAll="0">
      <items count="8">
        <item h="1" x="0"/>
        <item h="1" x="4"/>
        <item x="1"/>
        <item h="1" x="3"/>
        <item h="1" x="2"/>
        <item h="1" x="5"/>
        <item h="1" x="6"/>
        <item t="default"/>
      </items>
    </pivotField>
    <pivotField showAll="0"/>
    <pivotField showAll="0"/>
    <pivotField showAll="0"/>
    <pivotField axis="axisCol" dataField="1" showAll="0">
      <items count="4">
        <item x="1"/>
        <item x="0"/>
        <item h="1" x="2"/>
        <item t="default"/>
      </items>
    </pivotField>
    <pivotField showAll="0"/>
    <pivotField showAll="0"/>
    <pivotField showAll="0"/>
    <pivotField showAll="0"/>
    <pivotField showAll="0"/>
    <pivotField showAll="0"/>
    <pivotField axis="axisRow" showAll="0" sortType="descending">
      <items count="12">
        <item x="2"/>
        <item x="6"/>
        <item x="9"/>
        <item x="5"/>
        <item x="0"/>
        <item x="7"/>
        <item x="8"/>
        <item x="1"/>
        <item x="4"/>
        <item x="3"/>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7"/>
    <field x="18"/>
  </rowFields>
  <rowItems count="5">
    <i>
      <x v="2"/>
    </i>
    <i r="1">
      <x v="4"/>
    </i>
    <i r="1">
      <x v="5"/>
    </i>
    <i r="1">
      <x/>
    </i>
    <i t="grand">
      <x/>
    </i>
  </rowItems>
  <colFields count="1">
    <field x="11"/>
  </colFields>
  <colItems count="3">
    <i>
      <x/>
    </i>
    <i>
      <x v="1"/>
    </i>
    <i t="grand">
      <x/>
    </i>
  </colItems>
  <dataFields count="1">
    <dataField name="Count of Device Type" fld="11" subtotal="count" baseField="0" baseItem="0"/>
  </dataFields>
  <formats count="17">
    <format dxfId="124">
      <pivotArea type="all" dataOnly="0" outline="0" fieldPosition="0"/>
    </format>
    <format dxfId="125">
      <pivotArea outline="0" collapsedLevelsAreSubtotals="1" fieldPosition="0"/>
    </format>
    <format dxfId="126">
      <pivotArea type="origin" dataOnly="0" labelOnly="1" outline="0" fieldPosition="0"/>
    </format>
    <format dxfId="127">
      <pivotArea field="11" type="button" dataOnly="0" labelOnly="1" outline="0" axis="axisCol" fieldPosition="0"/>
    </format>
    <format dxfId="128">
      <pivotArea type="topRight" dataOnly="0" labelOnly="1" outline="0" fieldPosition="0"/>
    </format>
    <format dxfId="129">
      <pivotArea field="7" type="button" dataOnly="0" labelOnly="1" outline="0" axis="axisRow" fieldPosition="0"/>
    </format>
    <format dxfId="130">
      <pivotArea dataOnly="0" labelOnly="1" fieldPosition="0">
        <references count="1">
          <reference field="7" count="0"/>
        </references>
      </pivotArea>
    </format>
    <format dxfId="131">
      <pivotArea dataOnly="0" labelOnly="1" grandRow="1" outline="0" fieldPosition="0"/>
    </format>
    <format dxfId="132">
      <pivotArea dataOnly="0" labelOnly="1" fieldPosition="0">
        <references count="2">
          <reference field="7" count="0" selected="0"/>
          <reference field="18" count="4">
            <x v="0"/>
            <x v="4"/>
            <x v="7"/>
            <x v="8"/>
          </reference>
        </references>
      </pivotArea>
    </format>
    <format dxfId="133">
      <pivotArea dataOnly="0" labelOnly="1" fieldPosition="0">
        <references count="1">
          <reference field="11" count="0"/>
        </references>
      </pivotArea>
    </format>
    <format dxfId="134">
      <pivotArea dataOnly="0" labelOnly="1" grandCol="1" outline="0" fieldPosition="0"/>
    </format>
    <format dxfId="135">
      <pivotArea dataOnly="0" labelOnly="1" fieldPosition="0">
        <references count="2">
          <reference field="7" count="0" selected="0"/>
          <reference field="18" count="4">
            <x v="0"/>
            <x v="4"/>
            <x v="7"/>
            <x v="8"/>
          </reference>
        </references>
      </pivotArea>
    </format>
    <format dxfId="136">
      <pivotArea type="origin" dataOnly="0" labelOnly="1" outline="0" fieldPosition="0"/>
    </format>
    <format dxfId="137">
      <pivotArea field="7" type="button" dataOnly="0" labelOnly="1" outline="0" axis="axisRow" fieldPosition="0"/>
    </format>
    <format dxfId="138">
      <pivotArea dataOnly="0" labelOnly="1" fieldPosition="0">
        <references count="1">
          <reference field="7" count="0"/>
        </references>
      </pivotArea>
    </format>
    <format dxfId="139">
      <pivotArea dataOnly="0" labelOnly="1" grandRow="1" outline="0" fieldPosition="0"/>
    </format>
    <format dxfId="140">
      <pivotArea dataOnly="0" labelOnly="1" fieldPosition="0">
        <references count="2">
          <reference field="7" count="0" selected="0"/>
          <reference field="18" count="6">
            <x v="0"/>
            <x v="3"/>
            <x v="4"/>
            <x v="6"/>
            <x v="7"/>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F6B54C-8FDE-4087-BA8F-27D259561E26}" name="PivotTable1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I12" firstHeaderRow="1" firstDataRow="2" firstDataCol="1"/>
  <pivotFields count="40">
    <pivotField showAll="0"/>
    <pivotField showAll="0"/>
    <pivotField showAll="0"/>
    <pivotField showAll="0"/>
    <pivotField showAll="0"/>
    <pivotField showAll="0"/>
    <pivotField showAll="0"/>
    <pivotField axis="axisRow" showAll="0">
      <items count="8">
        <item h="1" x="0"/>
        <item x="4"/>
        <item h="1" x="1"/>
        <item h="1" x="3"/>
        <item h="1" x="2"/>
        <item h="1" x="5"/>
        <item h="1" x="6"/>
        <item t="default"/>
      </items>
    </pivotField>
    <pivotField showAll="0"/>
    <pivotField showAll="0"/>
    <pivotField showAll="0"/>
    <pivotField axis="axisCol" dataField="1" showAll="0">
      <items count="4">
        <item x="1"/>
        <item x="0"/>
        <item h="1" x="2"/>
        <item t="default"/>
      </items>
    </pivotField>
    <pivotField showAll="0"/>
    <pivotField showAll="0"/>
    <pivotField showAll="0"/>
    <pivotField showAll="0"/>
    <pivotField showAll="0"/>
    <pivotField showAll="0"/>
    <pivotField axis="axisRow" showAll="0" sortType="descending">
      <items count="12">
        <item x="2"/>
        <item x="6"/>
        <item x="9"/>
        <item x="5"/>
        <item x="0"/>
        <item x="7"/>
        <item x="8"/>
        <item x="1"/>
        <item x="4"/>
        <item x="3"/>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7"/>
    <field x="18"/>
  </rowFields>
  <rowItems count="8">
    <i>
      <x v="1"/>
    </i>
    <i r="1">
      <x v="4"/>
    </i>
    <i r="1">
      <x/>
    </i>
    <i r="1">
      <x v="7"/>
    </i>
    <i r="1">
      <x v="3"/>
    </i>
    <i r="1">
      <x v="6"/>
    </i>
    <i r="1">
      <x v="10"/>
    </i>
    <i t="grand">
      <x/>
    </i>
  </rowItems>
  <colFields count="1">
    <field x="11"/>
  </colFields>
  <colItems count="3">
    <i>
      <x/>
    </i>
    <i>
      <x v="1"/>
    </i>
    <i t="grand">
      <x/>
    </i>
  </colItems>
  <dataFields count="1">
    <dataField name="Count of Device Type" fld="11" subtotal="count" baseField="0" baseItem="0"/>
  </dataFields>
  <formats count="17">
    <format dxfId="166">
      <pivotArea type="all" dataOnly="0" outline="0" fieldPosition="0"/>
    </format>
    <format dxfId="167">
      <pivotArea outline="0" collapsedLevelsAreSubtotals="1" fieldPosition="0"/>
    </format>
    <format dxfId="168">
      <pivotArea type="origin" dataOnly="0" labelOnly="1" outline="0" fieldPosition="0"/>
    </format>
    <format dxfId="169">
      <pivotArea field="11" type="button" dataOnly="0" labelOnly="1" outline="0" axis="axisCol" fieldPosition="0"/>
    </format>
    <format dxfId="170">
      <pivotArea type="topRight" dataOnly="0" labelOnly="1" outline="0" fieldPosition="0"/>
    </format>
    <format dxfId="171">
      <pivotArea field="7" type="button" dataOnly="0" labelOnly="1" outline="0" axis="axisRow" fieldPosition="0"/>
    </format>
    <format dxfId="172">
      <pivotArea dataOnly="0" labelOnly="1" fieldPosition="0">
        <references count="1">
          <reference field="7" count="0"/>
        </references>
      </pivotArea>
    </format>
    <format dxfId="173">
      <pivotArea dataOnly="0" labelOnly="1" grandRow="1" outline="0" fieldPosition="0"/>
    </format>
    <format dxfId="174">
      <pivotArea dataOnly="0" labelOnly="1" fieldPosition="0">
        <references count="2">
          <reference field="7" count="0" selected="0"/>
          <reference field="18" count="4">
            <x v="0"/>
            <x v="4"/>
            <x v="7"/>
            <x v="8"/>
          </reference>
        </references>
      </pivotArea>
    </format>
    <format dxfId="175">
      <pivotArea dataOnly="0" labelOnly="1" fieldPosition="0">
        <references count="1">
          <reference field="11" count="0"/>
        </references>
      </pivotArea>
    </format>
    <format dxfId="176">
      <pivotArea dataOnly="0" labelOnly="1" grandCol="1" outline="0" fieldPosition="0"/>
    </format>
    <format dxfId="177">
      <pivotArea dataOnly="0" labelOnly="1" fieldPosition="0">
        <references count="2">
          <reference field="7" count="0" selected="0"/>
          <reference field="18" count="4">
            <x v="0"/>
            <x v="4"/>
            <x v="7"/>
            <x v="8"/>
          </reference>
        </references>
      </pivotArea>
    </format>
    <format dxfId="149">
      <pivotArea type="origin" dataOnly="0" labelOnly="1" outline="0" fieldPosition="0"/>
    </format>
    <format dxfId="147">
      <pivotArea field="7" type="button" dataOnly="0" labelOnly="1" outline="0" axis="axisRow" fieldPosition="0"/>
    </format>
    <format dxfId="145">
      <pivotArea dataOnly="0" labelOnly="1" fieldPosition="0">
        <references count="1">
          <reference field="7" count="0"/>
        </references>
      </pivotArea>
    </format>
    <format dxfId="143">
      <pivotArea dataOnly="0" labelOnly="1" grandRow="1" outline="0" fieldPosition="0"/>
    </format>
    <format dxfId="141">
      <pivotArea dataOnly="0" labelOnly="1" fieldPosition="0">
        <references count="2">
          <reference field="7" count="0" selected="0"/>
          <reference field="18" count="6">
            <x v="0"/>
            <x v="3"/>
            <x v="4"/>
            <x v="6"/>
            <x v="7"/>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1ABC02-89B6-4618-96D4-49531CEE827E}" name="PivotTable1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40">
    <pivotField showAll="0"/>
    <pivotField showAll="0"/>
    <pivotField showAll="0"/>
    <pivotField showAll="0"/>
    <pivotField showAll="0"/>
    <pivotField showAll="0"/>
    <pivotField showAll="0"/>
    <pivotField axis="axisRow" showAll="0">
      <items count="8">
        <item x="0"/>
        <item h="1" x="4"/>
        <item h="1" x="1"/>
        <item h="1" x="3"/>
        <item h="1" x="2"/>
        <item h="1" x="5"/>
        <item h="1" x="6"/>
        <item t="default"/>
      </items>
    </pivotField>
    <pivotField showAll="0"/>
    <pivotField showAll="0"/>
    <pivotField showAll="0"/>
    <pivotField axis="axisCol" dataField="1" showAll="0">
      <items count="4">
        <item x="1"/>
        <item x="0"/>
        <item h="1" x="2"/>
        <item t="default"/>
      </items>
    </pivotField>
    <pivotField showAll="0"/>
    <pivotField showAll="0"/>
    <pivotField showAll="0"/>
    <pivotField showAll="0"/>
    <pivotField showAll="0"/>
    <pivotField showAll="0"/>
    <pivotField axis="axisRow" showAll="0" sortType="descending">
      <items count="12">
        <item x="2"/>
        <item x="6"/>
        <item x="9"/>
        <item x="5"/>
        <item x="0"/>
        <item x="7"/>
        <item x="8"/>
        <item x="1"/>
        <item x="4"/>
        <item x="3"/>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7"/>
    <field x="18"/>
  </rowFields>
  <rowItems count="6">
    <i>
      <x/>
    </i>
    <i r="1">
      <x v="4"/>
    </i>
    <i r="1">
      <x v="7"/>
    </i>
    <i r="1">
      <x/>
    </i>
    <i r="1">
      <x v="8"/>
    </i>
    <i t="grand">
      <x/>
    </i>
  </rowItems>
  <colFields count="1">
    <field x="11"/>
  </colFields>
  <colItems count="3">
    <i>
      <x/>
    </i>
    <i>
      <x v="1"/>
    </i>
    <i t="grand">
      <x/>
    </i>
  </colItems>
  <dataFields count="1">
    <dataField name="Count of Device Type" fld="11" subtotal="count" baseField="0" baseItem="0"/>
  </dataFields>
  <formats count="16">
    <format dxfId="209">
      <pivotArea type="all" dataOnly="0" outline="0" fieldPosition="0"/>
    </format>
    <format dxfId="208">
      <pivotArea outline="0" collapsedLevelsAreSubtotals="1" fieldPosition="0"/>
    </format>
    <format dxfId="207">
      <pivotArea type="origin" dataOnly="0" labelOnly="1" outline="0" fieldPosition="0"/>
    </format>
    <format dxfId="206">
      <pivotArea field="11" type="button" dataOnly="0" labelOnly="1" outline="0" axis="axisCol" fieldPosition="0"/>
    </format>
    <format dxfId="205">
      <pivotArea type="topRight" dataOnly="0" labelOnly="1" outline="0" fieldPosition="0"/>
    </format>
    <format dxfId="204">
      <pivotArea field="7" type="button" dataOnly="0" labelOnly="1" outline="0" axis="axisRow" fieldPosition="0"/>
    </format>
    <format dxfId="203">
      <pivotArea dataOnly="0" labelOnly="1" fieldPosition="0">
        <references count="1">
          <reference field="7" count="0"/>
        </references>
      </pivotArea>
    </format>
    <format dxfId="202">
      <pivotArea dataOnly="0" labelOnly="1" grandRow="1" outline="0" fieldPosition="0"/>
    </format>
    <format dxfId="201">
      <pivotArea dataOnly="0" labelOnly="1" fieldPosition="0">
        <references count="2">
          <reference field="7" count="0" selected="0"/>
          <reference field="18" count="4">
            <x v="0"/>
            <x v="4"/>
            <x v="7"/>
            <x v="8"/>
          </reference>
        </references>
      </pivotArea>
    </format>
    <format dxfId="200">
      <pivotArea dataOnly="0" labelOnly="1" fieldPosition="0">
        <references count="1">
          <reference field="11" count="0"/>
        </references>
      </pivotArea>
    </format>
    <format dxfId="199">
      <pivotArea dataOnly="0" labelOnly="1" grandCol="1" outline="0" fieldPosition="0"/>
    </format>
    <format dxfId="198">
      <pivotArea type="origin" dataOnly="0" labelOnly="1" outline="0" fieldPosition="0"/>
    </format>
    <format dxfId="197">
      <pivotArea field="7" type="button" dataOnly="0" labelOnly="1" outline="0" axis="axisRow" fieldPosition="0"/>
    </format>
    <format dxfId="196">
      <pivotArea dataOnly="0" labelOnly="1" fieldPosition="0">
        <references count="1">
          <reference field="7" count="0"/>
        </references>
      </pivotArea>
    </format>
    <format dxfId="195">
      <pivotArea dataOnly="0" labelOnly="1" grandRow="1" outline="0" fieldPosition="0"/>
    </format>
    <format dxfId="194">
      <pivotArea dataOnly="0" labelOnly="1" fieldPosition="0">
        <references count="2">
          <reference field="7" count="0" selected="0"/>
          <reference field="18" count="4">
            <x v="0"/>
            <x v="4"/>
            <x v="7"/>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8A2A28-A960-4EFB-AED4-F46C5EF82A76}"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2:F155" firstHeaderRow="1" firstDataRow="2" firstDataCol="1"/>
  <pivotFields count="4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defaultSubtotal="0">
      <items count="151">
        <item x="72"/>
        <item x="142"/>
        <item x="140"/>
        <item x="149"/>
        <item x="87"/>
        <item x="81"/>
        <item x="86"/>
        <item x="36"/>
        <item x="150"/>
        <item x="82"/>
        <item x="137"/>
        <item x="120"/>
        <item x="130"/>
        <item x="0"/>
        <item x="10"/>
        <item x="16"/>
        <item x="119"/>
        <item x="129"/>
        <item x="1"/>
        <item x="56"/>
        <item x="131"/>
        <item x="66"/>
        <item x="134"/>
        <item x="7"/>
        <item x="55"/>
        <item x="54"/>
        <item x="57"/>
        <item x="8"/>
        <item x="65"/>
        <item x="133"/>
        <item x="17"/>
        <item x="76"/>
        <item x="15"/>
        <item x="14"/>
        <item x="132"/>
        <item x="122"/>
        <item x="121"/>
        <item x="63"/>
        <item x="53"/>
        <item x="4"/>
        <item x="5"/>
        <item x="111"/>
        <item x="13"/>
        <item x="27"/>
        <item x="28"/>
        <item x="136"/>
        <item x="138"/>
        <item x="9"/>
        <item x="112"/>
        <item x="143"/>
        <item x="62"/>
        <item x="6"/>
        <item x="110"/>
        <item x="135"/>
        <item x="139"/>
        <item x="26"/>
        <item x="64"/>
        <item x="25"/>
        <item x="12"/>
        <item x="52"/>
        <item x="68"/>
        <item x="35"/>
        <item x="41"/>
        <item x="73"/>
        <item x="51"/>
        <item x="18"/>
        <item x="147"/>
        <item x="148"/>
        <item x="69"/>
        <item x="33"/>
        <item x="46"/>
        <item x="24"/>
        <item x="115"/>
        <item x="114"/>
        <item x="146"/>
        <item x="34"/>
        <item x="32"/>
        <item x="124"/>
        <item x="20"/>
        <item x="42"/>
        <item x="11"/>
        <item x="94"/>
        <item x="93"/>
        <item x="128"/>
        <item x="49"/>
        <item x="103"/>
        <item x="58"/>
        <item x="88"/>
        <item x="141"/>
        <item x="105"/>
        <item x="102"/>
        <item x="44"/>
        <item x="96"/>
        <item x="79"/>
        <item x="109"/>
        <item x="70"/>
        <item x="85"/>
        <item x="48"/>
        <item x="99"/>
        <item x="43"/>
        <item x="84"/>
        <item x="47"/>
        <item x="80"/>
        <item x="78"/>
        <item x="95"/>
        <item x="118"/>
        <item x="107"/>
        <item x="90"/>
        <item x="19"/>
        <item x="83"/>
        <item x="91"/>
        <item x="45"/>
        <item x="127"/>
        <item x="77"/>
        <item x="40"/>
        <item x="89"/>
        <item x="67"/>
        <item x="145"/>
        <item x="106"/>
        <item x="2"/>
        <item x="75"/>
        <item x="108"/>
        <item x="104"/>
        <item x="100"/>
        <item x="61"/>
        <item x="50"/>
        <item x="98"/>
        <item x="74"/>
        <item x="92"/>
        <item x="71"/>
        <item x="97"/>
        <item x="101"/>
        <item x="60"/>
        <item x="123"/>
        <item x="23"/>
        <item x="117"/>
        <item x="144"/>
        <item x="125"/>
        <item x="59"/>
        <item x="30"/>
        <item x="126"/>
        <item x="37"/>
        <item x="21"/>
        <item x="39"/>
        <item x="113"/>
        <item x="116"/>
        <item x="38"/>
        <item x="31"/>
        <item x="3"/>
        <item x="22"/>
        <item x="29"/>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items count="11">
        <item x="2"/>
        <item x="6"/>
        <item x="9"/>
        <item x="5"/>
        <item x="0"/>
        <item x="7"/>
        <item x="8"/>
        <item x="1"/>
        <item x="4"/>
        <item x="3"/>
        <item x="10"/>
      </items>
    </pivotField>
    <pivotField compact="0" outline="0" showAll="0"/>
    <pivotField compact="0" outline="0" showAll="0"/>
    <pivotField compact="0" numFmtId="22"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dataField="1" compact="0" numFmtId="3" outline="0" showAll="0"/>
    <pivotField dataField="1" compact="0" numFmtId="2" outline="0" showAll="0"/>
    <pivotField dataField="1" compact="0" numFmtId="3" outline="0" showAll="0"/>
    <pivotField dataField="1" compact="0" numFmtId="2" outline="0" showAll="0"/>
  </pivotFields>
  <rowFields count="1">
    <field x="9"/>
  </rowFields>
  <rowItems count="1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t="grand">
      <x/>
    </i>
  </rowItems>
  <colFields count="1">
    <field x="-2"/>
  </colFields>
  <colItems count="4">
    <i>
      <x/>
    </i>
    <i i="1">
      <x v="1"/>
    </i>
    <i i="2">
      <x v="2"/>
    </i>
    <i i="3">
      <x v="3"/>
    </i>
  </colItems>
  <dataFields count="4">
    <dataField name="Sum of Proactive Uptime Mins" fld="36" baseField="0" baseItem="0" numFmtId="3"/>
    <dataField name="Average of Proactive -Uptime%" fld="37" subtotal="average" baseField="18" baseItem="10" numFmtId="2"/>
    <dataField name="Sum of JFL -Uptime Mins" fld="38" baseField="0" baseItem="0" numFmtId="3"/>
    <dataField name="Average of JFL -Uptime %" fld="39" subtotal="average" baseField="18" baseItem="10" numFmtId="2"/>
  </dataFields>
  <formats count="4">
    <format dxfId="537">
      <pivotArea outline="0" collapsedLevelsAreSubtotals="1" fieldPosition="0"/>
    </format>
    <format dxfId="536">
      <pivotArea field="-2" type="button" dataOnly="0" labelOnly="1" outline="0" axis="axisCol" fieldPosition="0"/>
    </format>
    <format dxfId="535">
      <pivotArea type="topRight" dataOnly="0" labelOnly="1" outline="0" fieldPosition="0"/>
    </format>
    <format dxfId="53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8F5428-EA80-41AB-9CCE-44C62E27CB00}" name="PivotTable1"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D185" firstHeaderRow="1" firstDataRow="2" firstDataCol="2"/>
  <pivotFields count="6">
    <pivotField compact="0" outline="0" showAll="0"/>
    <pivotField axis="axisRow" compact="0" outline="0" showAll="0" defaultSubtotal="0">
      <items count="8">
        <item x="7"/>
        <item h="1" x="5"/>
        <item h="1" x="0"/>
        <item h="1" x="2"/>
        <item h="1" x="1"/>
        <item h="1" x="4"/>
        <item h="1" x="3"/>
        <item h="1" x="6"/>
      </items>
    </pivotField>
    <pivotField axis="axisRow" compact="0" outline="0" showAll="0" sortType="ascending">
      <items count="435">
        <item x="187"/>
        <item x="175"/>
        <item x="170"/>
        <item x="155"/>
        <item x="147"/>
        <item x="146"/>
        <item x="142"/>
        <item x="156"/>
        <item x="158"/>
        <item x="141"/>
        <item x="153"/>
        <item x="157"/>
        <item x="160"/>
        <item x="168"/>
        <item x="150"/>
        <item x="159"/>
        <item x="164"/>
        <item x="54"/>
        <item x="53"/>
        <item x="52"/>
        <item x="55"/>
        <item x="57"/>
        <item x="51"/>
        <item x="50"/>
        <item x="165"/>
        <item x="167"/>
        <item x="184"/>
        <item x="183"/>
        <item x="223"/>
        <item x="222"/>
        <item x="213"/>
        <item x="220"/>
        <item x="214"/>
        <item x="219"/>
        <item x="191"/>
        <item x="210"/>
        <item x="209"/>
        <item x="225"/>
        <item x="227"/>
        <item x="189"/>
        <item x="207"/>
        <item x="224"/>
        <item x="197"/>
        <item x="211"/>
        <item x="195"/>
        <item x="192"/>
        <item x="218"/>
        <item x="190"/>
        <item x="188"/>
        <item x="221"/>
        <item x="212"/>
        <item x="198"/>
        <item x="215"/>
        <item x="202"/>
        <item x="200"/>
        <item x="193"/>
        <item x="196"/>
        <item x="201"/>
        <item x="204"/>
        <item x="199"/>
        <item x="208"/>
        <item x="203"/>
        <item x="194"/>
        <item x="216"/>
        <item x="206"/>
        <item x="217"/>
        <item x="226"/>
        <item x="205"/>
        <item x="140"/>
        <item x="139"/>
        <item x="138"/>
        <item x="135"/>
        <item x="136"/>
        <item x="137"/>
        <item x="163"/>
        <item x="162"/>
        <item x="144"/>
        <item x="148"/>
        <item x="145"/>
        <item x="154"/>
        <item x="143"/>
        <item x="149"/>
        <item x="56"/>
        <item x="166"/>
        <item x="151"/>
        <item x="171"/>
        <item x="172"/>
        <item x="174"/>
        <item x="152"/>
        <item x="169"/>
        <item x="173"/>
        <item x="176"/>
        <item x="177"/>
        <item x="178"/>
        <item x="182"/>
        <item x="179"/>
        <item x="180"/>
        <item x="181"/>
        <item x="229"/>
        <item x="251"/>
        <item x="228"/>
        <item x="236"/>
        <item x="250"/>
        <item x="234"/>
        <item x="232"/>
        <item x="233"/>
        <item x="231"/>
        <item x="230"/>
        <item x="237"/>
        <item x="235"/>
        <item x="249"/>
        <item x="246"/>
        <item x="247"/>
        <item x="245"/>
        <item x="241"/>
        <item x="242"/>
        <item x="244"/>
        <item x="239"/>
        <item x="240"/>
        <item x="248"/>
        <item x="238"/>
        <item x="243"/>
        <item x="161"/>
        <item x="252"/>
        <item x="253"/>
        <item x="254"/>
        <item x="255"/>
        <item x="256"/>
        <item x="257"/>
        <item x="258"/>
        <item x="259"/>
        <item x="260"/>
        <item x="261"/>
        <item x="272"/>
        <item x="262"/>
        <item x="263"/>
        <item x="264"/>
        <item x="265"/>
        <item x="266"/>
        <item x="267"/>
        <item x="268"/>
        <item x="269"/>
        <item x="270"/>
        <item x="271"/>
        <item x="290"/>
        <item x="273"/>
        <item x="274"/>
        <item x="275"/>
        <item x="276"/>
        <item x="277"/>
        <item x="278"/>
        <item x="279"/>
        <item x="280"/>
        <item x="281"/>
        <item x="282"/>
        <item x="283"/>
        <item x="284"/>
        <item x="285"/>
        <item x="286"/>
        <item x="287"/>
        <item x="288"/>
        <item x="289"/>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402"/>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4"/>
        <item x="405"/>
        <item x="406"/>
        <item x="407"/>
        <item x="403"/>
        <item x="58"/>
        <item x="59"/>
        <item x="5"/>
        <item x="60"/>
        <item x="61"/>
        <item x="62"/>
        <item x="63"/>
        <item x="64"/>
        <item x="65"/>
        <item x="40"/>
        <item x="66"/>
        <item x="67"/>
        <item x="68"/>
        <item x="6"/>
        <item x="41"/>
        <item x="42"/>
        <item x="24"/>
        <item x="25"/>
        <item x="26"/>
        <item x="69"/>
        <item x="70"/>
        <item x="71"/>
        <item x="72"/>
        <item x="7"/>
        <item x="0"/>
        <item x="8"/>
        <item x="9"/>
        <item x="73"/>
        <item x="27"/>
        <item x="74"/>
        <item x="75"/>
        <item x="10"/>
        <item x="28"/>
        <item x="76"/>
        <item x="77"/>
        <item x="78"/>
        <item x="79"/>
        <item x="80"/>
        <item x="29"/>
        <item x="81"/>
        <item x="82"/>
        <item x="83"/>
        <item x="11"/>
        <item x="84"/>
        <item x="85"/>
        <item x="86"/>
        <item x="87"/>
        <item x="88"/>
        <item x="89"/>
        <item x="90"/>
        <item x="12"/>
        <item x="91"/>
        <item x="92"/>
        <item x="93"/>
        <item x="94"/>
        <item x="30"/>
        <item x="13"/>
        <item x="95"/>
        <item x="96"/>
        <item x="14"/>
        <item x="97"/>
        <item x="98"/>
        <item x="99"/>
        <item x="100"/>
        <item x="101"/>
        <item x="102"/>
        <item x="103"/>
        <item x="15"/>
        <item x="104"/>
        <item x="16"/>
        <item x="105"/>
        <item x="106"/>
        <item x="17"/>
        <item x="31"/>
        <item x="107"/>
        <item x="32"/>
        <item x="33"/>
        <item x="1"/>
        <item x="108"/>
        <item x="109"/>
        <item x="110"/>
        <item x="111"/>
        <item x="34"/>
        <item x="112"/>
        <item x="113"/>
        <item x="114"/>
        <item x="18"/>
        <item x="115"/>
        <item x="116"/>
        <item x="117"/>
        <item x="118"/>
        <item x="43"/>
        <item x="119"/>
        <item x="120"/>
        <item x="35"/>
        <item x="121"/>
        <item x="122"/>
        <item x="408"/>
        <item x="409"/>
        <item x="410"/>
        <item x="411"/>
        <item x="412"/>
        <item x="413"/>
        <item x="414"/>
        <item x="415"/>
        <item x="416"/>
        <item x="417"/>
        <item x="418"/>
        <item x="419"/>
        <item x="420"/>
        <item x="421"/>
        <item x="422"/>
        <item x="423"/>
        <item x="424"/>
        <item x="425"/>
        <item x="426"/>
        <item x="427"/>
        <item x="428"/>
        <item x="429"/>
        <item x="430"/>
        <item x="431"/>
        <item x="432"/>
        <item x="433"/>
        <item x="123"/>
        <item x="44"/>
        <item x="124"/>
        <item x="125"/>
        <item x="19"/>
        <item x="126"/>
        <item x="127"/>
        <item x="128"/>
        <item x="129"/>
        <item x="45"/>
        <item x="20"/>
        <item x="130"/>
        <item x="131"/>
        <item x="36"/>
        <item x="37"/>
        <item x="2"/>
        <item x="21"/>
        <item x="132"/>
        <item x="3"/>
        <item x="4"/>
        <item x="22"/>
        <item x="46"/>
        <item x="47"/>
        <item x="48"/>
        <item x="23"/>
        <item x="49"/>
        <item x="38"/>
        <item x="39"/>
        <item x="133"/>
        <item x="134"/>
        <item x="185"/>
        <item x="186"/>
        <item t="default"/>
      </items>
      <autoSortScope>
        <pivotArea dataOnly="0" outline="0" fieldPosition="0">
          <references count="1">
            <reference field="4294967294" count="1" selected="0">
              <x v="1"/>
            </reference>
          </references>
        </pivotArea>
      </autoSortScope>
    </pivotField>
    <pivotField compact="0" outline="0" showAll="0"/>
    <pivotField dataField="1" compact="0" outline="0" showAll="0"/>
    <pivotField dataField="1" compact="0" outline="0" showAll="0"/>
  </pivotFields>
  <rowFields count="2">
    <field x="1"/>
    <field x="2"/>
  </rowFields>
  <rowItems count="183">
    <i>
      <x/>
      <x v="163"/>
    </i>
    <i r="1">
      <x v="137"/>
    </i>
    <i r="1">
      <x v="213"/>
    </i>
    <i r="1">
      <x v="266"/>
    </i>
    <i r="1">
      <x v="124"/>
    </i>
    <i r="1">
      <x v="249"/>
    </i>
    <i r="1">
      <x v="215"/>
    </i>
    <i r="1">
      <x v="233"/>
    </i>
    <i r="1">
      <x v="138"/>
    </i>
    <i r="1">
      <x v="197"/>
    </i>
    <i r="1">
      <x v="271"/>
    </i>
    <i r="1">
      <x v="391"/>
    </i>
    <i r="1">
      <x v="155"/>
    </i>
    <i r="1">
      <x v="154"/>
    </i>
    <i r="1">
      <x v="142"/>
    </i>
    <i r="1">
      <x v="148"/>
    </i>
    <i r="1">
      <x v="160"/>
    </i>
    <i r="1">
      <x v="259"/>
    </i>
    <i r="1">
      <x v="236"/>
    </i>
    <i r="1">
      <x v="190"/>
    </i>
    <i r="1">
      <x v="386"/>
    </i>
    <i r="1">
      <x v="179"/>
    </i>
    <i r="1">
      <x v="182"/>
    </i>
    <i r="1">
      <x v="156"/>
    </i>
    <i r="1">
      <x v="143"/>
    </i>
    <i r="1">
      <x v="161"/>
    </i>
    <i r="1">
      <x v="245"/>
    </i>
    <i r="1">
      <x v="170"/>
    </i>
    <i r="1">
      <x v="222"/>
    </i>
    <i r="1">
      <x v="145"/>
    </i>
    <i r="1">
      <x v="151"/>
    </i>
    <i r="1">
      <x v="136"/>
    </i>
    <i r="1">
      <x v="132"/>
    </i>
    <i r="1">
      <x v="269"/>
    </i>
    <i r="1">
      <x v="212"/>
    </i>
    <i r="1">
      <x v="152"/>
    </i>
    <i r="1">
      <x v="227"/>
    </i>
    <i r="1">
      <x v="158"/>
    </i>
    <i r="1">
      <x v="202"/>
    </i>
    <i r="1">
      <x v="239"/>
    </i>
    <i r="1">
      <x v="134"/>
    </i>
    <i r="1">
      <x v="208"/>
    </i>
    <i r="1">
      <x v="168"/>
    </i>
    <i r="1">
      <x v="167"/>
    </i>
    <i r="1">
      <x v="223"/>
    </i>
    <i r="1">
      <x v="247"/>
    </i>
    <i r="1">
      <x v="232"/>
    </i>
    <i r="1">
      <x v="211"/>
    </i>
    <i r="1">
      <x v="240"/>
    </i>
    <i r="1">
      <x v="217"/>
    </i>
    <i r="1">
      <x v="238"/>
    </i>
    <i r="1">
      <x v="164"/>
    </i>
    <i r="1">
      <x v="174"/>
    </i>
    <i r="1">
      <x v="165"/>
    </i>
    <i r="1">
      <x v="176"/>
    </i>
    <i r="1">
      <x v="241"/>
    </i>
    <i r="1">
      <x v="178"/>
    </i>
    <i r="1">
      <x v="242"/>
    </i>
    <i r="1">
      <x v="180"/>
    </i>
    <i r="1">
      <x v="243"/>
    </i>
    <i r="1">
      <x v="139"/>
    </i>
    <i r="1">
      <x v="244"/>
    </i>
    <i r="1">
      <x v="184"/>
    </i>
    <i r="1">
      <x v="166"/>
    </i>
    <i r="1">
      <x v="186"/>
    </i>
    <i r="1">
      <x v="246"/>
    </i>
    <i r="1">
      <x v="188"/>
    </i>
    <i r="1">
      <x v="147"/>
    </i>
    <i r="1">
      <x v="140"/>
    </i>
    <i r="1">
      <x v="248"/>
    </i>
    <i r="1">
      <x v="192"/>
    </i>
    <i r="1">
      <x v="128"/>
    </i>
    <i r="1">
      <x v="194"/>
    </i>
    <i r="1">
      <x v="250"/>
    </i>
    <i r="1">
      <x v="196"/>
    </i>
    <i r="1">
      <x v="251"/>
    </i>
    <i r="1">
      <x v="198"/>
    </i>
    <i r="1">
      <x v="252"/>
    </i>
    <i r="1">
      <x v="200"/>
    </i>
    <i r="1">
      <x v="253"/>
    </i>
    <i r="1">
      <x v="141"/>
    </i>
    <i r="1">
      <x v="254"/>
    </i>
    <i r="1">
      <x v="204"/>
    </i>
    <i r="1">
      <x v="255"/>
    </i>
    <i r="1">
      <x v="206"/>
    </i>
    <i r="1">
      <x v="256"/>
    </i>
    <i r="1">
      <x v="135"/>
    </i>
    <i r="1">
      <x v="257"/>
    </i>
    <i r="1">
      <x v="210"/>
    </i>
    <i r="1">
      <x v="258"/>
    </i>
    <i r="1">
      <x v="157"/>
    </i>
    <i r="1">
      <x v="131"/>
    </i>
    <i r="1">
      <x v="214"/>
    </i>
    <i r="1">
      <x v="260"/>
    </i>
    <i r="1">
      <x v="216"/>
    </i>
    <i r="1">
      <x v="261"/>
    </i>
    <i r="1">
      <x v="218"/>
    </i>
    <i r="1">
      <x v="262"/>
    </i>
    <i r="1">
      <x v="220"/>
    </i>
    <i r="1">
      <x v="263"/>
    </i>
    <i r="1">
      <x v="144"/>
    </i>
    <i r="1">
      <x v="264"/>
    </i>
    <i r="1">
      <x v="224"/>
    </i>
    <i r="1">
      <x v="265"/>
    </i>
    <i r="1">
      <x v="226"/>
    </i>
    <i r="1">
      <x v="129"/>
    </i>
    <i r="1">
      <x v="228"/>
    </i>
    <i r="1">
      <x v="267"/>
    </i>
    <i r="1">
      <x v="230"/>
    </i>
    <i r="1">
      <x v="268"/>
    </i>
    <i r="1">
      <x v="146"/>
    </i>
    <i r="1">
      <x v="169"/>
    </i>
    <i r="1">
      <x v="234"/>
    </i>
    <i r="1">
      <x v="270"/>
    </i>
    <i r="1">
      <x v="125"/>
    </i>
    <i r="1">
      <x v="149"/>
    </i>
    <i r="1">
      <x v="173"/>
    </i>
    <i r="1">
      <x v="272"/>
    </i>
    <i r="1">
      <x v="177"/>
    </i>
    <i r="1">
      <x v="273"/>
    </i>
    <i r="1">
      <x v="181"/>
    </i>
    <i r="1">
      <x v="274"/>
    </i>
    <i r="1">
      <x v="185"/>
    </i>
    <i r="1">
      <x v="275"/>
    </i>
    <i r="1">
      <x v="189"/>
    </i>
    <i r="1">
      <x v="276"/>
    </i>
    <i r="1">
      <x v="193"/>
    </i>
    <i r="1">
      <x v="277"/>
    </i>
    <i r="1">
      <x v="153"/>
    </i>
    <i r="1">
      <x v="278"/>
    </i>
    <i r="1">
      <x v="201"/>
    </i>
    <i r="1">
      <x v="376"/>
    </i>
    <i r="1">
      <x v="205"/>
    </i>
    <i r="1">
      <x v="377"/>
    </i>
    <i r="1">
      <x v="209"/>
    </i>
    <i r="1">
      <x v="378"/>
    </i>
    <i r="1">
      <x v="123"/>
    </i>
    <i r="1">
      <x v="379"/>
    </i>
    <i r="1">
      <x v="130"/>
    </i>
    <i r="1">
      <x v="380"/>
    </i>
    <i r="1">
      <x v="221"/>
    </i>
    <i r="1">
      <x v="381"/>
    </i>
    <i r="1">
      <x v="225"/>
    </i>
    <i r="1">
      <x v="382"/>
    </i>
    <i r="1">
      <x v="229"/>
    </i>
    <i r="1">
      <x v="383"/>
    </i>
    <i r="1">
      <x v="162"/>
    </i>
    <i r="1">
      <x v="384"/>
    </i>
    <i r="1">
      <x v="237"/>
    </i>
    <i r="1">
      <x v="385"/>
    </i>
    <i r="1">
      <x v="150"/>
    </i>
    <i r="1">
      <x v="171"/>
    </i>
    <i r="1">
      <x v="187"/>
    </i>
    <i r="1">
      <x v="387"/>
    </i>
    <i r="1">
      <x v="195"/>
    </i>
    <i r="1">
      <x v="388"/>
    </i>
    <i r="1">
      <x v="203"/>
    </i>
    <i r="1">
      <x v="389"/>
    </i>
    <i r="1">
      <x v="133"/>
    </i>
    <i r="1">
      <x v="390"/>
    </i>
    <i r="1">
      <x v="219"/>
    </i>
    <i r="1">
      <x v="172"/>
    </i>
    <i r="1">
      <x v="127"/>
    </i>
    <i r="1">
      <x v="392"/>
    </i>
    <i r="1">
      <x v="235"/>
    </i>
    <i r="1">
      <x v="393"/>
    </i>
    <i r="1">
      <x v="183"/>
    </i>
    <i r="1">
      <x v="394"/>
    </i>
    <i r="1">
      <x v="199"/>
    </i>
    <i r="1">
      <x v="395"/>
    </i>
    <i r="1">
      <x v="126"/>
    </i>
    <i r="1">
      <x v="396"/>
    </i>
    <i r="1">
      <x v="231"/>
    </i>
    <i r="1">
      <x v="397"/>
    </i>
    <i r="1">
      <x v="191"/>
    </i>
    <i r="1">
      <x v="398"/>
    </i>
    <i r="1">
      <x v="159"/>
    </i>
    <i r="1">
      <x v="399"/>
    </i>
    <i r="1">
      <x v="207"/>
    </i>
    <i r="1">
      <x v="400"/>
    </i>
    <i r="1">
      <x v="175"/>
    </i>
    <i r="1">
      <x v="401"/>
    </i>
    <i t="grand">
      <x/>
    </i>
  </rowItems>
  <colFields count="1">
    <field x="-2"/>
  </colFields>
  <colItems count="2">
    <i>
      <x/>
    </i>
    <i i="1">
      <x v="1"/>
    </i>
  </colItems>
  <dataFields count="2">
    <dataField name="Average of Average of Proactive -Uptime%" fld="4" subtotal="average" baseField="1" baseItem="0" numFmtId="2"/>
    <dataField name="Average of Average of JFL -Uptime %" fld="5" subtotal="average" baseField="1" baseItem="0" numFmtId="2"/>
  </dataFields>
  <formats count="14">
    <format dxfId="533">
      <pivotArea type="all" dataOnly="0" outline="0" fieldPosition="0"/>
    </format>
    <format dxfId="532">
      <pivotArea outline="0" collapsedLevelsAreSubtotals="1" fieldPosition="0"/>
    </format>
    <format dxfId="531">
      <pivotArea type="origin" dataOnly="0" labelOnly="1" outline="0" fieldPosition="0"/>
    </format>
    <format dxfId="530">
      <pivotArea field="-2" type="button" dataOnly="0" labelOnly="1" outline="0" axis="axisCol" fieldPosition="0"/>
    </format>
    <format dxfId="529">
      <pivotArea type="topRight" dataOnly="0" labelOnly="1" outline="0" fieldPosition="0"/>
    </format>
    <format dxfId="528">
      <pivotArea field="1" type="button" dataOnly="0" labelOnly="1" outline="0" axis="axisRow" fieldPosition="0"/>
    </format>
    <format dxfId="527">
      <pivotArea field="2" type="button" dataOnly="0" labelOnly="1" outline="0" axis="axisRow" fieldPosition="1"/>
    </format>
    <format dxfId="526">
      <pivotArea dataOnly="0" labelOnly="1" outline="0" fieldPosition="0">
        <references count="1">
          <reference field="1" count="0"/>
        </references>
      </pivotArea>
    </format>
    <format dxfId="525">
      <pivotArea dataOnly="0" labelOnly="1" grandRow="1" outline="0" fieldPosition="0"/>
    </format>
    <format dxfId="524">
      <pivotArea dataOnly="0" labelOnly="1" outline="0" fieldPosition="0">
        <references count="2">
          <reference field="1" count="0" selected="0"/>
          <reference field="2" count="50">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reference>
        </references>
      </pivotArea>
    </format>
    <format dxfId="523">
      <pivotArea dataOnly="0" labelOnly="1" outline="0" fieldPosition="0">
        <references count="2">
          <reference field="1" count="0" selected="0"/>
          <reference field="2" count="50">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reference>
        </references>
      </pivotArea>
    </format>
    <format dxfId="522">
      <pivotArea dataOnly="0" labelOnly="1" outline="0" fieldPosition="0">
        <references count="2">
          <reference field="1" count="0" selected="0"/>
          <reference field="2" count="50">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reference>
        </references>
      </pivotArea>
    </format>
    <format dxfId="521">
      <pivotArea dataOnly="0" labelOnly="1" outline="0" fieldPosition="0">
        <references count="2">
          <reference field="1" count="0" selected="0"/>
          <reference field="2" count="32">
            <x v="273"/>
            <x v="274"/>
            <x v="275"/>
            <x v="276"/>
            <x v="277"/>
            <x v="278"/>
            <x v="376"/>
            <x v="377"/>
            <x v="378"/>
            <x v="379"/>
            <x v="380"/>
            <x v="381"/>
            <x v="382"/>
            <x v="383"/>
            <x v="384"/>
            <x v="385"/>
            <x v="386"/>
            <x v="387"/>
            <x v="388"/>
            <x v="389"/>
            <x v="390"/>
            <x v="391"/>
            <x v="392"/>
            <x v="393"/>
            <x v="394"/>
            <x v="395"/>
            <x v="396"/>
            <x v="397"/>
            <x v="398"/>
            <x v="399"/>
            <x v="400"/>
            <x v="401"/>
          </reference>
        </references>
      </pivotArea>
    </format>
    <format dxfId="52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4C9C94-F766-46D7-A486-E35C61289569}" name="PivotTable2"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D116" firstHeaderRow="1" firstDataRow="2" firstDataCol="2"/>
  <pivotFields count="6">
    <pivotField compact="0" outline="0" showAll="0"/>
    <pivotField axis="axisRow" compact="0" outline="0" showAll="0" defaultSubtotal="0">
      <items count="8">
        <item h="1" x="7"/>
        <item x="5"/>
        <item h="1" x="0"/>
        <item h="1" x="2"/>
        <item h="1" x="1"/>
        <item h="1" x="4"/>
        <item h="1" x="3"/>
        <item h="1" x="6"/>
      </items>
    </pivotField>
    <pivotField axis="axisRow" compact="0" outline="0" showAll="0" sortType="ascending">
      <items count="435">
        <item x="187"/>
        <item x="175"/>
        <item x="170"/>
        <item x="155"/>
        <item x="147"/>
        <item x="146"/>
        <item x="142"/>
        <item x="156"/>
        <item x="158"/>
        <item x="141"/>
        <item x="153"/>
        <item x="157"/>
        <item x="160"/>
        <item x="168"/>
        <item x="150"/>
        <item x="159"/>
        <item x="164"/>
        <item x="54"/>
        <item x="53"/>
        <item x="52"/>
        <item x="55"/>
        <item x="57"/>
        <item x="51"/>
        <item x="50"/>
        <item x="165"/>
        <item x="167"/>
        <item x="184"/>
        <item x="183"/>
        <item x="223"/>
        <item x="222"/>
        <item x="213"/>
        <item x="220"/>
        <item x="214"/>
        <item x="219"/>
        <item x="191"/>
        <item x="210"/>
        <item x="209"/>
        <item x="225"/>
        <item x="227"/>
        <item x="189"/>
        <item x="207"/>
        <item x="224"/>
        <item x="197"/>
        <item x="211"/>
        <item x="195"/>
        <item x="192"/>
        <item x="218"/>
        <item x="190"/>
        <item x="188"/>
        <item x="221"/>
        <item x="212"/>
        <item x="198"/>
        <item x="215"/>
        <item x="202"/>
        <item x="200"/>
        <item x="193"/>
        <item x="196"/>
        <item x="201"/>
        <item x="204"/>
        <item x="199"/>
        <item x="208"/>
        <item x="203"/>
        <item x="194"/>
        <item x="216"/>
        <item x="206"/>
        <item x="217"/>
        <item x="226"/>
        <item x="205"/>
        <item x="140"/>
        <item x="139"/>
        <item x="138"/>
        <item x="135"/>
        <item x="136"/>
        <item x="137"/>
        <item x="163"/>
        <item x="162"/>
        <item x="144"/>
        <item x="148"/>
        <item x="145"/>
        <item x="154"/>
        <item x="143"/>
        <item x="149"/>
        <item x="56"/>
        <item x="166"/>
        <item x="151"/>
        <item x="171"/>
        <item x="172"/>
        <item x="174"/>
        <item x="152"/>
        <item x="169"/>
        <item x="173"/>
        <item x="176"/>
        <item x="177"/>
        <item x="178"/>
        <item x="182"/>
        <item x="179"/>
        <item x="180"/>
        <item x="181"/>
        <item x="229"/>
        <item x="251"/>
        <item x="228"/>
        <item x="236"/>
        <item x="250"/>
        <item x="234"/>
        <item x="232"/>
        <item x="233"/>
        <item x="231"/>
        <item x="230"/>
        <item x="237"/>
        <item x="235"/>
        <item x="249"/>
        <item x="246"/>
        <item x="247"/>
        <item x="245"/>
        <item x="241"/>
        <item x="242"/>
        <item x="244"/>
        <item x="239"/>
        <item x="240"/>
        <item x="248"/>
        <item x="238"/>
        <item x="243"/>
        <item x="161"/>
        <item x="252"/>
        <item x="253"/>
        <item x="254"/>
        <item x="255"/>
        <item x="256"/>
        <item x="257"/>
        <item x="258"/>
        <item x="259"/>
        <item x="260"/>
        <item x="261"/>
        <item x="272"/>
        <item x="262"/>
        <item x="263"/>
        <item x="264"/>
        <item x="265"/>
        <item x="266"/>
        <item x="267"/>
        <item x="268"/>
        <item x="269"/>
        <item x="270"/>
        <item x="271"/>
        <item x="290"/>
        <item x="273"/>
        <item x="274"/>
        <item x="275"/>
        <item x="276"/>
        <item x="277"/>
        <item x="278"/>
        <item x="279"/>
        <item x="280"/>
        <item x="281"/>
        <item x="282"/>
        <item x="283"/>
        <item x="284"/>
        <item x="285"/>
        <item x="286"/>
        <item x="287"/>
        <item x="288"/>
        <item x="289"/>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402"/>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4"/>
        <item x="405"/>
        <item x="406"/>
        <item x="407"/>
        <item x="403"/>
        <item x="58"/>
        <item x="59"/>
        <item x="5"/>
        <item x="60"/>
        <item x="61"/>
        <item x="62"/>
        <item x="63"/>
        <item x="64"/>
        <item x="65"/>
        <item x="40"/>
        <item x="66"/>
        <item x="67"/>
        <item x="68"/>
        <item x="6"/>
        <item x="41"/>
        <item x="42"/>
        <item x="24"/>
        <item x="25"/>
        <item x="26"/>
        <item x="69"/>
        <item x="70"/>
        <item x="71"/>
        <item x="72"/>
        <item x="7"/>
        <item x="0"/>
        <item x="8"/>
        <item x="9"/>
        <item x="73"/>
        <item x="27"/>
        <item x="74"/>
        <item x="75"/>
        <item x="10"/>
        <item x="28"/>
        <item x="76"/>
        <item x="77"/>
        <item x="78"/>
        <item x="79"/>
        <item x="80"/>
        <item x="29"/>
        <item x="81"/>
        <item x="82"/>
        <item x="83"/>
        <item x="11"/>
        <item x="84"/>
        <item x="85"/>
        <item x="86"/>
        <item x="87"/>
        <item x="88"/>
        <item x="89"/>
        <item x="90"/>
        <item x="12"/>
        <item x="91"/>
        <item x="92"/>
        <item x="93"/>
        <item x="94"/>
        <item x="30"/>
        <item x="13"/>
        <item x="95"/>
        <item x="96"/>
        <item x="14"/>
        <item x="97"/>
        <item x="98"/>
        <item x="99"/>
        <item x="100"/>
        <item x="101"/>
        <item x="102"/>
        <item x="103"/>
        <item x="15"/>
        <item x="104"/>
        <item x="16"/>
        <item x="105"/>
        <item x="106"/>
        <item x="17"/>
        <item x="31"/>
        <item x="107"/>
        <item x="32"/>
        <item x="33"/>
        <item x="1"/>
        <item x="108"/>
        <item x="109"/>
        <item x="110"/>
        <item x="111"/>
        <item x="34"/>
        <item x="112"/>
        <item x="113"/>
        <item x="114"/>
        <item x="18"/>
        <item x="115"/>
        <item x="116"/>
        <item x="117"/>
        <item x="118"/>
        <item x="43"/>
        <item x="119"/>
        <item x="120"/>
        <item x="35"/>
        <item x="121"/>
        <item x="122"/>
        <item x="408"/>
        <item x="409"/>
        <item x="410"/>
        <item x="411"/>
        <item x="412"/>
        <item x="413"/>
        <item x="414"/>
        <item x="415"/>
        <item x="416"/>
        <item x="417"/>
        <item x="418"/>
        <item x="419"/>
        <item x="420"/>
        <item x="421"/>
        <item x="422"/>
        <item x="423"/>
        <item x="424"/>
        <item x="425"/>
        <item x="426"/>
        <item x="427"/>
        <item x="428"/>
        <item x="429"/>
        <item x="430"/>
        <item x="431"/>
        <item x="432"/>
        <item x="433"/>
        <item x="123"/>
        <item x="44"/>
        <item x="124"/>
        <item x="125"/>
        <item x="19"/>
        <item x="126"/>
        <item x="127"/>
        <item x="128"/>
        <item x="129"/>
        <item x="45"/>
        <item x="20"/>
        <item x="130"/>
        <item x="131"/>
        <item x="36"/>
        <item x="37"/>
        <item x="2"/>
        <item x="21"/>
        <item x="132"/>
        <item x="3"/>
        <item x="4"/>
        <item x="22"/>
        <item x="46"/>
        <item x="47"/>
        <item x="48"/>
        <item x="23"/>
        <item x="49"/>
        <item x="38"/>
        <item x="39"/>
        <item x="133"/>
        <item x="134"/>
        <item x="185"/>
        <item x="186"/>
        <item t="default"/>
      </items>
      <autoSortScope>
        <pivotArea dataOnly="0" outline="0" fieldPosition="0">
          <references count="1">
            <reference field="4294967294" count="1" selected="0">
              <x v="1"/>
            </reference>
          </references>
        </pivotArea>
      </autoSortScope>
    </pivotField>
    <pivotField compact="0" outline="0" showAll="0"/>
    <pivotField dataField="1" compact="0" outline="0" showAll="0"/>
    <pivotField dataField="1" compact="0" outline="0" showAll="0"/>
  </pivotFields>
  <rowFields count="2">
    <field x="1"/>
    <field x="2"/>
  </rowFields>
  <rowItems count="114">
    <i>
      <x v="1"/>
      <x v="283"/>
    </i>
    <i r="1">
      <x v="347"/>
    </i>
    <i r="1">
      <x v="122"/>
    </i>
    <i r="1">
      <x v="7"/>
    </i>
    <i r="1">
      <x v="4"/>
    </i>
    <i r="1">
      <x v="75"/>
    </i>
    <i r="1">
      <x v="289"/>
    </i>
    <i r="1">
      <x v="279"/>
    </i>
    <i r="1">
      <x v="291"/>
    </i>
    <i r="1">
      <x v="333"/>
    </i>
    <i r="1">
      <x v="73"/>
    </i>
    <i r="1">
      <x v="336"/>
    </i>
    <i r="1">
      <x v="299"/>
    </i>
    <i r="1">
      <x v="286"/>
    </i>
    <i r="1">
      <x v="287"/>
    </i>
    <i r="1">
      <x v="323"/>
    </i>
    <i r="1">
      <x v="290"/>
    </i>
    <i r="1">
      <x v="327"/>
    </i>
    <i r="1">
      <x v="284"/>
    </i>
    <i r="1">
      <x v="430"/>
    </i>
    <i r="1">
      <x v="431"/>
    </i>
    <i r="1">
      <x v="312"/>
    </i>
    <i r="1">
      <x v="280"/>
    </i>
    <i r="1">
      <x v="331"/>
    </i>
    <i r="1">
      <x v="363"/>
    </i>
    <i r="1">
      <x v="405"/>
    </i>
    <i r="1">
      <x v="328"/>
    </i>
    <i r="1">
      <x v="81"/>
    </i>
    <i r="1">
      <x v="345"/>
    </i>
    <i r="1">
      <x v="350"/>
    </i>
    <i r="1">
      <x v="362"/>
    </i>
    <i r="1">
      <x v="318"/>
    </i>
    <i r="1">
      <x v="369"/>
    </i>
    <i r="1">
      <x v="343"/>
    </i>
    <i r="1">
      <x v="332"/>
    </i>
    <i r="1">
      <x v="325"/>
    </i>
    <i r="1">
      <x v="300"/>
    </i>
    <i r="1">
      <x v="326"/>
    </i>
    <i r="1">
      <x v="337"/>
    </i>
    <i r="1">
      <x v="315"/>
    </i>
    <i r="1">
      <x v="339"/>
    </i>
    <i r="1">
      <x v="301"/>
    </i>
    <i r="1">
      <x v="285"/>
    </i>
    <i r="1">
      <x v="15"/>
    </i>
    <i r="1">
      <x v="324"/>
    </i>
    <i r="1">
      <x v="316"/>
    </i>
    <i r="1">
      <x v="349"/>
    </i>
    <i r="1">
      <x v="342"/>
    </i>
    <i r="1">
      <x v="407"/>
    </i>
    <i r="1">
      <x v="374"/>
    </i>
    <i r="1">
      <x v="314"/>
    </i>
    <i r="1">
      <x v="12"/>
    </i>
    <i r="1">
      <x v="13"/>
    </i>
    <i r="1">
      <x v="308"/>
    </i>
    <i r="1">
      <x v="14"/>
    </i>
    <i r="1">
      <x v="72"/>
    </i>
    <i r="1">
      <x v="5"/>
    </i>
    <i r="1">
      <x v="2"/>
    </i>
    <i r="1">
      <x v="353"/>
    </i>
    <i r="1">
      <x v="74"/>
    </i>
    <i r="1">
      <x v="357"/>
    </i>
    <i r="1">
      <x v="319"/>
    </i>
    <i r="1">
      <x v="358"/>
    </i>
    <i r="1">
      <x v="322"/>
    </i>
    <i r="1">
      <x v="359"/>
    </i>
    <i r="1">
      <x v="77"/>
    </i>
    <i r="1">
      <x v="360"/>
    </i>
    <i r="1">
      <x v="79"/>
    </i>
    <i r="1">
      <x v="16"/>
    </i>
    <i r="1">
      <x v="8"/>
    </i>
    <i r="1">
      <x v="24"/>
    </i>
    <i r="1">
      <x v="83"/>
    </i>
    <i r="1">
      <x v="364"/>
    </i>
    <i r="1">
      <x v="88"/>
    </i>
    <i r="1">
      <x v="366"/>
    </i>
    <i r="1">
      <x v="9"/>
    </i>
    <i r="1">
      <x v="367"/>
    </i>
    <i r="1">
      <x v="340"/>
    </i>
    <i r="1">
      <x v="368"/>
    </i>
    <i r="1">
      <x v="11"/>
    </i>
    <i r="1">
      <x v="25"/>
    </i>
    <i r="1">
      <x v="344"/>
    </i>
    <i r="1">
      <x v="371"/>
    </i>
    <i r="1">
      <x v="309"/>
    </i>
    <i r="1">
      <x v="372"/>
    </i>
    <i r="1">
      <x v="6"/>
    </i>
    <i r="1">
      <x v="68"/>
    </i>
    <i r="1">
      <x v="320"/>
    </i>
    <i r="1">
      <x v="375"/>
    </i>
    <i r="1">
      <x v="78"/>
    </i>
    <i r="1">
      <x v="402"/>
    </i>
    <i r="1">
      <x v="330"/>
    </i>
    <i r="1">
      <x v="404"/>
    </i>
    <i r="1">
      <x v="89"/>
    </i>
    <i r="1">
      <x v="298"/>
    </i>
    <i r="1">
      <x v="341"/>
    </i>
    <i r="1">
      <x v="69"/>
    </i>
    <i r="1">
      <x v="306"/>
    </i>
    <i r="1">
      <x v="408"/>
    </i>
    <i r="1">
      <x v="3"/>
    </i>
    <i r="1">
      <x v="409"/>
    </i>
    <i r="1">
      <x v="80"/>
    </i>
    <i r="1">
      <x v="410"/>
    </i>
    <i r="1">
      <x v="10"/>
    </i>
    <i r="1">
      <x v="413"/>
    </i>
    <i r="1">
      <x v="313"/>
    </i>
    <i r="1">
      <x v="414"/>
    </i>
    <i r="1">
      <x v="84"/>
    </i>
    <i r="1">
      <x v="419"/>
    </i>
    <i r="1">
      <x v="76"/>
    </i>
    <i r="1">
      <x v="70"/>
    </i>
    <i r="1">
      <x v="282"/>
    </i>
    <i r="1">
      <x v="71"/>
    </i>
    <i t="grand">
      <x/>
    </i>
  </rowItems>
  <colFields count="1">
    <field x="-2"/>
  </colFields>
  <colItems count="2">
    <i>
      <x/>
    </i>
    <i i="1">
      <x v="1"/>
    </i>
  </colItems>
  <dataFields count="2">
    <dataField name="Average of Average of Proactive -Uptime%" fld="4" subtotal="average" baseField="1" baseItem="0" numFmtId="2"/>
    <dataField name="Average of Average of JFL -Uptime %" fld="5" subtotal="average" baseField="1" baseItem="0" numFmtId="2"/>
  </dataFields>
  <formats count="14">
    <format dxfId="506">
      <pivotArea type="all" dataOnly="0" outline="0" fieldPosition="0"/>
    </format>
    <format dxfId="507">
      <pivotArea outline="0" collapsedLevelsAreSubtotals="1" fieldPosition="0"/>
    </format>
    <format dxfId="508">
      <pivotArea type="origin" dataOnly="0" labelOnly="1" outline="0" fieldPosition="0"/>
    </format>
    <format dxfId="509">
      <pivotArea field="-2" type="button" dataOnly="0" labelOnly="1" outline="0" axis="axisCol" fieldPosition="0"/>
    </format>
    <format dxfId="510">
      <pivotArea type="topRight" dataOnly="0" labelOnly="1" outline="0" fieldPosition="0"/>
    </format>
    <format dxfId="511">
      <pivotArea field="1" type="button" dataOnly="0" labelOnly="1" outline="0" axis="axisRow" fieldPosition="0"/>
    </format>
    <format dxfId="512">
      <pivotArea field="2" type="button" dataOnly="0" labelOnly="1" outline="0" axis="axisRow" fieldPosition="1"/>
    </format>
    <format dxfId="513">
      <pivotArea dataOnly="0" labelOnly="1" outline="0" fieldPosition="0">
        <references count="1">
          <reference field="1" count="0"/>
        </references>
      </pivotArea>
    </format>
    <format dxfId="514">
      <pivotArea dataOnly="0" labelOnly="1" grandRow="1" outline="0" fieldPosition="0"/>
    </format>
    <format dxfId="515">
      <pivotArea dataOnly="0" labelOnly="1" outline="0" fieldPosition="0">
        <references count="2">
          <reference field="1" count="0" selected="0"/>
          <reference field="2" count="50">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reference>
        </references>
      </pivotArea>
    </format>
    <format dxfId="516">
      <pivotArea dataOnly="0" labelOnly="1" outline="0" fieldPosition="0">
        <references count="2">
          <reference field="1" count="0" selected="0"/>
          <reference field="2" count="50">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reference>
        </references>
      </pivotArea>
    </format>
    <format dxfId="517">
      <pivotArea dataOnly="0" labelOnly="1" outline="0" fieldPosition="0">
        <references count="2">
          <reference field="1" count="0" selected="0"/>
          <reference field="2" count="50">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reference>
        </references>
      </pivotArea>
    </format>
    <format dxfId="518">
      <pivotArea dataOnly="0" labelOnly="1" outline="0" fieldPosition="0">
        <references count="2">
          <reference field="1" count="0" selected="0"/>
          <reference field="2" count="32">
            <x v="273"/>
            <x v="274"/>
            <x v="275"/>
            <x v="276"/>
            <x v="277"/>
            <x v="278"/>
            <x v="376"/>
            <x v="377"/>
            <x v="378"/>
            <x v="379"/>
            <x v="380"/>
            <x v="381"/>
            <x v="382"/>
            <x v="383"/>
            <x v="384"/>
            <x v="385"/>
            <x v="386"/>
            <x v="387"/>
            <x v="388"/>
            <x v="389"/>
            <x v="390"/>
            <x v="391"/>
            <x v="392"/>
            <x v="393"/>
            <x v="394"/>
            <x v="395"/>
            <x v="396"/>
            <x v="397"/>
            <x v="398"/>
            <x v="399"/>
            <x v="400"/>
            <x v="401"/>
          </reference>
        </references>
      </pivotArea>
    </format>
    <format dxfId="51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CB75DD-E26F-40AA-9FB9-EFABD2D5EF12}" name="PivotTable3"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D8" firstHeaderRow="1" firstDataRow="2" firstDataCol="2"/>
  <pivotFields count="6">
    <pivotField compact="0" outline="0" showAll="0"/>
    <pivotField axis="axisRow" compact="0" outline="0" showAll="0" defaultSubtotal="0">
      <items count="8">
        <item h="1" x="7"/>
        <item h="1" x="5"/>
        <item x="0"/>
        <item h="1" x="2"/>
        <item h="1" x="1"/>
        <item h="1" x="4"/>
        <item h="1" x="3"/>
        <item h="1" x="6"/>
      </items>
    </pivotField>
    <pivotField axis="axisRow" compact="0" outline="0" showAll="0" sortType="ascending">
      <items count="435">
        <item x="187"/>
        <item x="175"/>
        <item x="170"/>
        <item x="155"/>
        <item x="147"/>
        <item x="146"/>
        <item x="142"/>
        <item x="156"/>
        <item x="158"/>
        <item x="141"/>
        <item x="153"/>
        <item x="157"/>
        <item x="160"/>
        <item x="168"/>
        <item x="150"/>
        <item x="159"/>
        <item x="164"/>
        <item x="54"/>
        <item x="53"/>
        <item x="52"/>
        <item x="55"/>
        <item x="57"/>
        <item x="51"/>
        <item x="50"/>
        <item x="165"/>
        <item x="167"/>
        <item x="184"/>
        <item x="183"/>
        <item x="223"/>
        <item x="222"/>
        <item x="213"/>
        <item x="220"/>
        <item x="214"/>
        <item x="219"/>
        <item x="191"/>
        <item x="210"/>
        <item x="209"/>
        <item x="225"/>
        <item x="227"/>
        <item x="189"/>
        <item x="207"/>
        <item x="224"/>
        <item x="197"/>
        <item x="211"/>
        <item x="195"/>
        <item x="192"/>
        <item x="218"/>
        <item x="190"/>
        <item x="188"/>
        <item x="221"/>
        <item x="212"/>
        <item x="198"/>
        <item x="215"/>
        <item x="202"/>
        <item x="200"/>
        <item x="193"/>
        <item x="196"/>
        <item x="201"/>
        <item x="204"/>
        <item x="199"/>
        <item x="208"/>
        <item x="203"/>
        <item x="194"/>
        <item x="216"/>
        <item x="206"/>
        <item x="217"/>
        <item x="226"/>
        <item x="205"/>
        <item x="140"/>
        <item x="139"/>
        <item x="138"/>
        <item x="135"/>
        <item x="136"/>
        <item x="137"/>
        <item x="163"/>
        <item x="162"/>
        <item x="144"/>
        <item x="148"/>
        <item x="145"/>
        <item x="154"/>
        <item x="143"/>
        <item x="149"/>
        <item x="56"/>
        <item x="166"/>
        <item x="151"/>
        <item x="171"/>
        <item x="172"/>
        <item x="174"/>
        <item x="152"/>
        <item x="169"/>
        <item x="173"/>
        <item x="176"/>
        <item x="177"/>
        <item x="178"/>
        <item x="182"/>
        <item x="179"/>
        <item x="180"/>
        <item x="181"/>
        <item x="229"/>
        <item x="251"/>
        <item x="228"/>
        <item x="236"/>
        <item x="250"/>
        <item x="234"/>
        <item x="232"/>
        <item x="233"/>
        <item x="231"/>
        <item x="230"/>
        <item x="237"/>
        <item x="235"/>
        <item x="249"/>
        <item x="246"/>
        <item x="247"/>
        <item x="245"/>
        <item x="241"/>
        <item x="242"/>
        <item x="244"/>
        <item x="239"/>
        <item x="240"/>
        <item x="248"/>
        <item x="238"/>
        <item x="243"/>
        <item x="161"/>
        <item x="252"/>
        <item x="253"/>
        <item x="254"/>
        <item x="255"/>
        <item x="256"/>
        <item x="257"/>
        <item x="258"/>
        <item x="259"/>
        <item x="260"/>
        <item x="261"/>
        <item x="272"/>
        <item x="262"/>
        <item x="263"/>
        <item x="264"/>
        <item x="265"/>
        <item x="266"/>
        <item x="267"/>
        <item x="268"/>
        <item x="269"/>
        <item x="270"/>
        <item x="271"/>
        <item x="290"/>
        <item x="273"/>
        <item x="274"/>
        <item x="275"/>
        <item x="276"/>
        <item x="277"/>
        <item x="278"/>
        <item x="279"/>
        <item x="280"/>
        <item x="281"/>
        <item x="282"/>
        <item x="283"/>
        <item x="284"/>
        <item x="285"/>
        <item x="286"/>
        <item x="287"/>
        <item x="288"/>
        <item x="289"/>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402"/>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4"/>
        <item x="405"/>
        <item x="406"/>
        <item x="407"/>
        <item x="403"/>
        <item x="58"/>
        <item x="59"/>
        <item x="5"/>
        <item x="60"/>
        <item x="61"/>
        <item x="62"/>
        <item x="63"/>
        <item x="64"/>
        <item x="65"/>
        <item x="40"/>
        <item x="66"/>
        <item x="67"/>
        <item x="68"/>
        <item x="6"/>
        <item x="41"/>
        <item x="42"/>
        <item x="24"/>
        <item x="25"/>
        <item x="26"/>
        <item x="69"/>
        <item x="70"/>
        <item x="71"/>
        <item x="72"/>
        <item x="7"/>
        <item x="0"/>
        <item x="8"/>
        <item x="9"/>
        <item x="73"/>
        <item x="27"/>
        <item x="74"/>
        <item x="75"/>
        <item x="10"/>
        <item x="28"/>
        <item x="76"/>
        <item x="77"/>
        <item x="78"/>
        <item x="79"/>
        <item x="80"/>
        <item x="29"/>
        <item x="81"/>
        <item x="82"/>
        <item x="83"/>
        <item x="11"/>
        <item x="84"/>
        <item x="85"/>
        <item x="86"/>
        <item x="87"/>
        <item x="88"/>
        <item x="89"/>
        <item x="90"/>
        <item x="12"/>
        <item x="91"/>
        <item x="92"/>
        <item x="93"/>
        <item x="94"/>
        <item x="30"/>
        <item x="13"/>
        <item x="95"/>
        <item x="96"/>
        <item x="14"/>
        <item x="97"/>
        <item x="98"/>
        <item x="99"/>
        <item x="100"/>
        <item x="101"/>
        <item x="102"/>
        <item x="103"/>
        <item x="15"/>
        <item x="104"/>
        <item x="16"/>
        <item x="105"/>
        <item x="106"/>
        <item x="17"/>
        <item x="31"/>
        <item x="107"/>
        <item x="32"/>
        <item x="33"/>
        <item x="1"/>
        <item x="108"/>
        <item x="109"/>
        <item x="110"/>
        <item x="111"/>
        <item x="34"/>
        <item x="112"/>
        <item x="113"/>
        <item x="114"/>
        <item x="18"/>
        <item x="115"/>
        <item x="116"/>
        <item x="117"/>
        <item x="118"/>
        <item x="43"/>
        <item x="119"/>
        <item x="120"/>
        <item x="35"/>
        <item x="121"/>
        <item x="122"/>
        <item x="408"/>
        <item x="409"/>
        <item x="410"/>
        <item x="411"/>
        <item x="412"/>
        <item x="413"/>
        <item x="414"/>
        <item x="415"/>
        <item x="416"/>
        <item x="417"/>
        <item x="418"/>
        <item x="419"/>
        <item x="420"/>
        <item x="421"/>
        <item x="422"/>
        <item x="423"/>
        <item x="424"/>
        <item x="425"/>
        <item x="426"/>
        <item x="427"/>
        <item x="428"/>
        <item x="429"/>
        <item x="430"/>
        <item x="431"/>
        <item x="432"/>
        <item x="433"/>
        <item x="123"/>
        <item x="44"/>
        <item x="124"/>
        <item x="125"/>
        <item x="19"/>
        <item x="126"/>
        <item x="127"/>
        <item x="128"/>
        <item x="129"/>
        <item x="45"/>
        <item x="20"/>
        <item x="130"/>
        <item x="131"/>
        <item x="36"/>
        <item x="37"/>
        <item x="2"/>
        <item x="21"/>
        <item x="132"/>
        <item x="3"/>
        <item x="4"/>
        <item x="22"/>
        <item x="46"/>
        <item x="47"/>
        <item x="48"/>
        <item x="23"/>
        <item x="49"/>
        <item x="38"/>
        <item x="39"/>
        <item x="133"/>
        <item x="134"/>
        <item x="185"/>
        <item x="186"/>
        <item t="default"/>
      </items>
      <autoSortScope>
        <pivotArea dataOnly="0" outline="0" fieldPosition="0">
          <references count="1">
            <reference field="4294967294" count="1" selected="0">
              <x v="1"/>
            </reference>
          </references>
        </pivotArea>
      </autoSortScope>
    </pivotField>
    <pivotField compact="0" outline="0" showAll="0"/>
    <pivotField dataField="1" compact="0" outline="0" showAll="0"/>
    <pivotField dataField="1" compact="0" outline="0" showAll="0"/>
  </pivotFields>
  <rowFields count="2">
    <field x="1"/>
    <field x="2"/>
  </rowFields>
  <rowItems count="6">
    <i>
      <x v="2"/>
      <x v="420"/>
    </i>
    <i r="1">
      <x v="421"/>
    </i>
    <i r="1">
      <x v="303"/>
    </i>
    <i r="1">
      <x v="356"/>
    </i>
    <i r="1">
      <x v="417"/>
    </i>
    <i t="grand">
      <x/>
    </i>
  </rowItems>
  <colFields count="1">
    <field x="-2"/>
  </colFields>
  <colItems count="2">
    <i>
      <x/>
    </i>
    <i i="1">
      <x v="1"/>
    </i>
  </colItems>
  <dataFields count="2">
    <dataField name="Average of Average of Proactive -Uptime%" fld="4" subtotal="average" baseField="1" baseItem="0" numFmtId="2"/>
    <dataField name="Average of Average of JFL -Uptime %" fld="5" subtotal="average" baseField="1" baseItem="0" numFmtId="2"/>
  </dataFields>
  <formats count="14">
    <format dxfId="492">
      <pivotArea type="all" dataOnly="0" outline="0" fieldPosition="0"/>
    </format>
    <format dxfId="493">
      <pivotArea outline="0" collapsedLevelsAreSubtotals="1" fieldPosition="0"/>
    </format>
    <format dxfId="494">
      <pivotArea type="origin" dataOnly="0" labelOnly="1" outline="0" fieldPosition="0"/>
    </format>
    <format dxfId="495">
      <pivotArea field="-2" type="button" dataOnly="0" labelOnly="1" outline="0" axis="axisCol" fieldPosition="0"/>
    </format>
    <format dxfId="496">
      <pivotArea type="topRight" dataOnly="0" labelOnly="1" outline="0" fieldPosition="0"/>
    </format>
    <format dxfId="497">
      <pivotArea field="1" type="button" dataOnly="0" labelOnly="1" outline="0" axis="axisRow" fieldPosition="0"/>
    </format>
    <format dxfId="498">
      <pivotArea field="2" type="button" dataOnly="0" labelOnly="1" outline="0" axis="axisRow" fieldPosition="1"/>
    </format>
    <format dxfId="499">
      <pivotArea dataOnly="0" labelOnly="1" outline="0" fieldPosition="0">
        <references count="1">
          <reference field="1" count="0"/>
        </references>
      </pivotArea>
    </format>
    <format dxfId="500">
      <pivotArea dataOnly="0" labelOnly="1" grandRow="1" outline="0" fieldPosition="0"/>
    </format>
    <format dxfId="501">
      <pivotArea dataOnly="0" labelOnly="1" outline="0" fieldPosition="0">
        <references count="2">
          <reference field="1" count="0" selected="0"/>
          <reference field="2" count="50">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reference>
        </references>
      </pivotArea>
    </format>
    <format dxfId="502">
      <pivotArea dataOnly="0" labelOnly="1" outline="0" fieldPosition="0">
        <references count="2">
          <reference field="1" count="0" selected="0"/>
          <reference field="2" count="50">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reference>
        </references>
      </pivotArea>
    </format>
    <format dxfId="503">
      <pivotArea dataOnly="0" labelOnly="1" outline="0" fieldPosition="0">
        <references count="2">
          <reference field="1" count="0" selected="0"/>
          <reference field="2" count="50">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reference>
        </references>
      </pivotArea>
    </format>
    <format dxfId="504">
      <pivotArea dataOnly="0" labelOnly="1" outline="0" fieldPosition="0">
        <references count="2">
          <reference field="1" count="0" selected="0"/>
          <reference field="2" count="32">
            <x v="273"/>
            <x v="274"/>
            <x v="275"/>
            <x v="276"/>
            <x v="277"/>
            <x v="278"/>
            <x v="376"/>
            <x v="377"/>
            <x v="378"/>
            <x v="379"/>
            <x v="380"/>
            <x v="381"/>
            <x v="382"/>
            <x v="383"/>
            <x v="384"/>
            <x v="385"/>
            <x v="386"/>
            <x v="387"/>
            <x v="388"/>
            <x v="389"/>
            <x v="390"/>
            <x v="391"/>
            <x v="392"/>
            <x v="393"/>
            <x v="394"/>
            <x v="395"/>
            <x v="396"/>
            <x v="397"/>
            <x v="398"/>
            <x v="399"/>
            <x v="400"/>
            <x v="401"/>
          </reference>
        </references>
      </pivotArea>
    </format>
    <format dxfId="50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2CC8CB-942D-4048-B5AF-220DDA38FF52}" name="PivotTable4"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D19" firstHeaderRow="1" firstDataRow="2" firstDataCol="2"/>
  <pivotFields count="6">
    <pivotField compact="0" outline="0" showAll="0"/>
    <pivotField axis="axisRow" compact="0" outline="0" showAll="0" defaultSubtotal="0">
      <items count="8">
        <item h="1" x="7"/>
        <item h="1" x="5"/>
        <item h="1" x="0"/>
        <item x="2"/>
        <item h="1" x="1"/>
        <item h="1" x="4"/>
        <item h="1" x="3"/>
        <item h="1" x="6"/>
      </items>
    </pivotField>
    <pivotField axis="axisRow" compact="0" outline="0" showAll="0">
      <items count="435">
        <item x="187"/>
        <item x="175"/>
        <item x="170"/>
        <item x="155"/>
        <item x="147"/>
        <item x="146"/>
        <item x="142"/>
        <item x="156"/>
        <item x="158"/>
        <item x="141"/>
        <item x="153"/>
        <item x="157"/>
        <item x="160"/>
        <item x="168"/>
        <item x="150"/>
        <item x="159"/>
        <item x="164"/>
        <item x="54"/>
        <item x="53"/>
        <item x="52"/>
        <item x="55"/>
        <item x="57"/>
        <item x="51"/>
        <item x="50"/>
        <item x="165"/>
        <item x="167"/>
        <item x="184"/>
        <item x="183"/>
        <item x="223"/>
        <item x="222"/>
        <item x="213"/>
        <item x="220"/>
        <item x="214"/>
        <item x="219"/>
        <item x="191"/>
        <item x="210"/>
        <item x="209"/>
        <item x="225"/>
        <item x="227"/>
        <item x="189"/>
        <item x="207"/>
        <item x="224"/>
        <item x="197"/>
        <item x="211"/>
        <item x="195"/>
        <item x="192"/>
        <item x="218"/>
        <item x="190"/>
        <item x="188"/>
        <item x="221"/>
        <item x="212"/>
        <item x="198"/>
        <item x="215"/>
        <item x="202"/>
        <item x="200"/>
        <item x="193"/>
        <item x="196"/>
        <item x="201"/>
        <item x="204"/>
        <item x="199"/>
        <item x="208"/>
        <item x="203"/>
        <item x="194"/>
        <item x="216"/>
        <item x="206"/>
        <item x="217"/>
        <item x="226"/>
        <item x="205"/>
        <item x="140"/>
        <item x="139"/>
        <item x="138"/>
        <item x="135"/>
        <item x="136"/>
        <item x="137"/>
        <item x="163"/>
        <item x="162"/>
        <item x="144"/>
        <item x="148"/>
        <item x="145"/>
        <item x="154"/>
        <item x="143"/>
        <item x="149"/>
        <item x="56"/>
        <item x="166"/>
        <item x="151"/>
        <item x="171"/>
        <item x="172"/>
        <item x="174"/>
        <item x="152"/>
        <item x="169"/>
        <item x="173"/>
        <item x="176"/>
        <item x="177"/>
        <item x="178"/>
        <item x="182"/>
        <item x="179"/>
        <item x="180"/>
        <item x="181"/>
        <item x="229"/>
        <item x="251"/>
        <item x="228"/>
        <item x="236"/>
        <item x="250"/>
        <item x="234"/>
        <item x="232"/>
        <item x="233"/>
        <item x="231"/>
        <item x="230"/>
        <item x="237"/>
        <item x="235"/>
        <item x="249"/>
        <item x="246"/>
        <item x="247"/>
        <item x="245"/>
        <item x="241"/>
        <item x="242"/>
        <item x="244"/>
        <item x="239"/>
        <item x="240"/>
        <item x="248"/>
        <item x="238"/>
        <item x="243"/>
        <item x="161"/>
        <item x="252"/>
        <item x="253"/>
        <item x="254"/>
        <item x="255"/>
        <item x="256"/>
        <item x="257"/>
        <item x="258"/>
        <item x="259"/>
        <item x="260"/>
        <item x="261"/>
        <item x="272"/>
        <item x="262"/>
        <item x="263"/>
        <item x="264"/>
        <item x="265"/>
        <item x="266"/>
        <item x="267"/>
        <item x="268"/>
        <item x="269"/>
        <item x="270"/>
        <item x="271"/>
        <item x="290"/>
        <item x="273"/>
        <item x="274"/>
        <item x="275"/>
        <item x="276"/>
        <item x="277"/>
        <item x="278"/>
        <item x="279"/>
        <item x="280"/>
        <item x="281"/>
        <item x="282"/>
        <item x="283"/>
        <item x="284"/>
        <item x="285"/>
        <item x="286"/>
        <item x="287"/>
        <item x="288"/>
        <item x="289"/>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402"/>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4"/>
        <item x="405"/>
        <item x="406"/>
        <item x="407"/>
        <item x="403"/>
        <item x="58"/>
        <item x="59"/>
        <item x="5"/>
        <item x="60"/>
        <item x="61"/>
        <item x="62"/>
        <item x="63"/>
        <item x="64"/>
        <item x="65"/>
        <item x="40"/>
        <item x="66"/>
        <item x="67"/>
        <item x="68"/>
        <item x="6"/>
        <item x="41"/>
        <item x="42"/>
        <item x="24"/>
        <item x="25"/>
        <item x="26"/>
        <item x="69"/>
        <item x="70"/>
        <item x="71"/>
        <item x="72"/>
        <item x="7"/>
        <item x="0"/>
        <item x="8"/>
        <item x="9"/>
        <item x="73"/>
        <item x="27"/>
        <item x="74"/>
        <item x="75"/>
        <item x="10"/>
        <item x="28"/>
        <item x="76"/>
        <item x="77"/>
        <item x="78"/>
        <item x="79"/>
        <item x="80"/>
        <item x="29"/>
        <item x="81"/>
        <item x="82"/>
        <item x="83"/>
        <item x="11"/>
        <item x="84"/>
        <item x="85"/>
        <item x="86"/>
        <item x="87"/>
        <item x="88"/>
        <item x="89"/>
        <item x="90"/>
        <item x="12"/>
        <item x="91"/>
        <item x="92"/>
        <item x="93"/>
        <item x="94"/>
        <item x="30"/>
        <item x="13"/>
        <item x="95"/>
        <item x="96"/>
        <item x="14"/>
        <item x="97"/>
        <item x="98"/>
        <item x="99"/>
        <item x="100"/>
        <item x="101"/>
        <item x="102"/>
        <item x="103"/>
        <item x="15"/>
        <item x="104"/>
        <item x="16"/>
        <item x="105"/>
        <item x="106"/>
        <item x="17"/>
        <item x="31"/>
        <item x="107"/>
        <item x="32"/>
        <item x="33"/>
        <item x="1"/>
        <item x="108"/>
        <item x="109"/>
        <item x="110"/>
        <item x="111"/>
        <item x="34"/>
        <item x="112"/>
        <item x="113"/>
        <item x="114"/>
        <item x="18"/>
        <item x="115"/>
        <item x="116"/>
        <item x="117"/>
        <item x="118"/>
        <item x="43"/>
        <item x="119"/>
        <item x="120"/>
        <item x="35"/>
        <item x="121"/>
        <item x="122"/>
        <item x="408"/>
        <item x="409"/>
        <item x="410"/>
        <item x="411"/>
        <item x="412"/>
        <item x="413"/>
        <item x="414"/>
        <item x="415"/>
        <item x="416"/>
        <item x="417"/>
        <item x="418"/>
        <item x="419"/>
        <item x="420"/>
        <item x="421"/>
        <item x="422"/>
        <item x="423"/>
        <item x="424"/>
        <item x="425"/>
        <item x="426"/>
        <item x="427"/>
        <item x="428"/>
        <item x="429"/>
        <item x="430"/>
        <item x="431"/>
        <item x="432"/>
        <item x="433"/>
        <item x="123"/>
        <item x="44"/>
        <item x="124"/>
        <item x="125"/>
        <item x="19"/>
        <item x="126"/>
        <item x="127"/>
        <item x="128"/>
        <item x="129"/>
        <item x="45"/>
        <item x="20"/>
        <item x="130"/>
        <item x="131"/>
        <item x="36"/>
        <item x="37"/>
        <item x="2"/>
        <item x="21"/>
        <item x="132"/>
        <item x="3"/>
        <item x="4"/>
        <item x="22"/>
        <item x="46"/>
        <item x="47"/>
        <item x="48"/>
        <item x="23"/>
        <item x="49"/>
        <item x="38"/>
        <item x="39"/>
        <item x="133"/>
        <item x="134"/>
        <item x="185"/>
        <item x="186"/>
        <item t="default"/>
      </items>
    </pivotField>
    <pivotField compact="0" outline="0" showAll="0"/>
    <pivotField dataField="1" compact="0" outline="0" showAll="0"/>
    <pivotField dataField="1" compact="0" outline="0" showAll="0"/>
  </pivotFields>
  <rowFields count="2">
    <field x="1"/>
    <field x="2"/>
  </rowFields>
  <rowItems count="17">
    <i>
      <x v="3"/>
      <x v="295"/>
    </i>
    <i r="1">
      <x v="296"/>
    </i>
    <i r="1">
      <x v="297"/>
    </i>
    <i r="1">
      <x v="307"/>
    </i>
    <i r="1">
      <x v="311"/>
    </i>
    <i r="1">
      <x v="317"/>
    </i>
    <i r="1">
      <x v="334"/>
    </i>
    <i r="1">
      <x v="352"/>
    </i>
    <i r="1">
      <x v="354"/>
    </i>
    <i r="1">
      <x v="355"/>
    </i>
    <i r="1">
      <x v="361"/>
    </i>
    <i r="1">
      <x v="373"/>
    </i>
    <i r="1">
      <x v="415"/>
    </i>
    <i r="1">
      <x v="416"/>
    </i>
    <i r="1">
      <x v="428"/>
    </i>
    <i r="1">
      <x v="429"/>
    </i>
    <i t="grand">
      <x/>
    </i>
  </rowItems>
  <colFields count="1">
    <field x="-2"/>
  </colFields>
  <colItems count="2">
    <i>
      <x/>
    </i>
    <i i="1">
      <x v="1"/>
    </i>
  </colItems>
  <dataFields count="2">
    <dataField name="Average of Average of Proactive -Uptime%" fld="4" subtotal="average" baseField="1" baseItem="0" numFmtId="2"/>
    <dataField name="Average of Average of JFL -Uptime %" fld="5" subtotal="average" baseField="1" baseItem="0" numFmtId="2"/>
  </dataFields>
  <formats count="14">
    <format dxfId="478">
      <pivotArea type="all" dataOnly="0" outline="0" fieldPosition="0"/>
    </format>
    <format dxfId="479">
      <pivotArea outline="0" collapsedLevelsAreSubtotals="1" fieldPosition="0"/>
    </format>
    <format dxfId="480">
      <pivotArea type="origin" dataOnly="0" labelOnly="1" outline="0" fieldPosition="0"/>
    </format>
    <format dxfId="481">
      <pivotArea field="-2" type="button" dataOnly="0" labelOnly="1" outline="0" axis="axisCol" fieldPosition="0"/>
    </format>
    <format dxfId="482">
      <pivotArea type="topRight" dataOnly="0" labelOnly="1" outline="0" fieldPosition="0"/>
    </format>
    <format dxfId="483">
      <pivotArea field="1" type="button" dataOnly="0" labelOnly="1" outline="0" axis="axisRow" fieldPosition="0"/>
    </format>
    <format dxfId="484">
      <pivotArea field="2" type="button" dataOnly="0" labelOnly="1" outline="0" axis="axisRow" fieldPosition="1"/>
    </format>
    <format dxfId="485">
      <pivotArea dataOnly="0" labelOnly="1" outline="0" fieldPosition="0">
        <references count="1">
          <reference field="1" count="0"/>
        </references>
      </pivotArea>
    </format>
    <format dxfId="486">
      <pivotArea dataOnly="0" labelOnly="1" grandRow="1" outline="0" fieldPosition="0"/>
    </format>
    <format dxfId="487">
      <pivotArea dataOnly="0" labelOnly="1" outline="0" fieldPosition="0">
        <references count="2">
          <reference field="1" count="0" selected="0"/>
          <reference field="2" count="50">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reference>
        </references>
      </pivotArea>
    </format>
    <format dxfId="488">
      <pivotArea dataOnly="0" labelOnly="1" outline="0" fieldPosition="0">
        <references count="2">
          <reference field="1" count="0" selected="0"/>
          <reference field="2" count="50">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reference>
        </references>
      </pivotArea>
    </format>
    <format dxfId="489">
      <pivotArea dataOnly="0" labelOnly="1" outline="0" fieldPosition="0">
        <references count="2">
          <reference field="1" count="0" selected="0"/>
          <reference field="2" count="50">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reference>
        </references>
      </pivotArea>
    </format>
    <format dxfId="490">
      <pivotArea dataOnly="0" labelOnly="1" outline="0" fieldPosition="0">
        <references count="2">
          <reference field="1" count="0" selected="0"/>
          <reference field="2" count="32">
            <x v="273"/>
            <x v="274"/>
            <x v="275"/>
            <x v="276"/>
            <x v="277"/>
            <x v="278"/>
            <x v="376"/>
            <x v="377"/>
            <x v="378"/>
            <x v="379"/>
            <x v="380"/>
            <x v="381"/>
            <x v="382"/>
            <x v="383"/>
            <x v="384"/>
            <x v="385"/>
            <x v="386"/>
            <x v="387"/>
            <x v="388"/>
            <x v="389"/>
            <x v="390"/>
            <x v="391"/>
            <x v="392"/>
            <x v="393"/>
            <x v="394"/>
            <x v="395"/>
            <x v="396"/>
            <x v="397"/>
            <x v="398"/>
            <x v="399"/>
            <x v="400"/>
            <x v="401"/>
          </reference>
        </references>
      </pivotArea>
    </format>
    <format dxfId="49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8F7186-DEC6-4B5D-83CA-68D332E0F920}" name="PivotTable5"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D22" firstHeaderRow="1" firstDataRow="2" firstDataCol="2"/>
  <pivotFields count="6">
    <pivotField compact="0" outline="0" showAll="0"/>
    <pivotField axis="axisRow" compact="0" outline="0" showAll="0" defaultSubtotal="0">
      <items count="8">
        <item h="1" x="7"/>
        <item h="1" x="5"/>
        <item h="1" x="0"/>
        <item h="1" x="2"/>
        <item x="1"/>
        <item h="1" x="4"/>
        <item h="1" x="3"/>
        <item h="1" x="6"/>
      </items>
    </pivotField>
    <pivotField axis="axisRow" compact="0" outline="0" showAll="0" sortType="ascending">
      <items count="435">
        <item x="187"/>
        <item x="175"/>
        <item x="170"/>
        <item x="155"/>
        <item x="147"/>
        <item x="146"/>
        <item x="142"/>
        <item x="156"/>
        <item x="158"/>
        <item x="141"/>
        <item x="153"/>
        <item x="157"/>
        <item x="160"/>
        <item x="168"/>
        <item x="150"/>
        <item x="159"/>
        <item x="164"/>
        <item x="54"/>
        <item x="53"/>
        <item x="52"/>
        <item x="55"/>
        <item x="57"/>
        <item x="51"/>
        <item x="50"/>
        <item x="165"/>
        <item x="167"/>
        <item x="184"/>
        <item x="183"/>
        <item x="223"/>
        <item x="222"/>
        <item x="213"/>
        <item x="220"/>
        <item x="214"/>
        <item x="219"/>
        <item x="191"/>
        <item x="210"/>
        <item x="209"/>
        <item x="225"/>
        <item x="227"/>
        <item x="189"/>
        <item x="207"/>
        <item x="224"/>
        <item x="197"/>
        <item x="211"/>
        <item x="195"/>
        <item x="192"/>
        <item x="218"/>
        <item x="190"/>
        <item x="188"/>
        <item x="221"/>
        <item x="212"/>
        <item x="198"/>
        <item x="215"/>
        <item x="202"/>
        <item x="200"/>
        <item x="193"/>
        <item x="196"/>
        <item x="201"/>
        <item x="204"/>
        <item x="199"/>
        <item x="208"/>
        <item x="203"/>
        <item x="194"/>
        <item x="216"/>
        <item x="206"/>
        <item x="217"/>
        <item x="226"/>
        <item x="205"/>
        <item x="140"/>
        <item x="139"/>
        <item x="138"/>
        <item x="135"/>
        <item x="136"/>
        <item x="137"/>
        <item x="163"/>
        <item x="162"/>
        <item x="144"/>
        <item x="148"/>
        <item x="145"/>
        <item x="154"/>
        <item x="143"/>
        <item x="149"/>
        <item x="56"/>
        <item x="166"/>
        <item x="151"/>
        <item x="171"/>
        <item x="172"/>
        <item x="174"/>
        <item x="152"/>
        <item x="169"/>
        <item x="173"/>
        <item x="176"/>
        <item x="177"/>
        <item x="178"/>
        <item x="182"/>
        <item x="179"/>
        <item x="180"/>
        <item x="181"/>
        <item x="229"/>
        <item x="251"/>
        <item x="228"/>
        <item x="236"/>
        <item x="250"/>
        <item x="234"/>
        <item x="232"/>
        <item x="233"/>
        <item x="231"/>
        <item x="230"/>
        <item x="237"/>
        <item x="235"/>
        <item x="249"/>
        <item x="246"/>
        <item x="247"/>
        <item x="245"/>
        <item x="241"/>
        <item x="242"/>
        <item x="244"/>
        <item x="239"/>
        <item x="240"/>
        <item x="248"/>
        <item x="238"/>
        <item x="243"/>
        <item x="161"/>
        <item x="252"/>
        <item x="253"/>
        <item x="254"/>
        <item x="255"/>
        <item x="256"/>
        <item x="257"/>
        <item x="258"/>
        <item x="259"/>
        <item x="260"/>
        <item x="261"/>
        <item x="272"/>
        <item x="262"/>
        <item x="263"/>
        <item x="264"/>
        <item x="265"/>
        <item x="266"/>
        <item x="267"/>
        <item x="268"/>
        <item x="269"/>
        <item x="270"/>
        <item x="271"/>
        <item x="290"/>
        <item x="273"/>
        <item x="274"/>
        <item x="275"/>
        <item x="276"/>
        <item x="277"/>
        <item x="278"/>
        <item x="279"/>
        <item x="280"/>
        <item x="281"/>
        <item x="282"/>
        <item x="283"/>
        <item x="284"/>
        <item x="285"/>
        <item x="286"/>
        <item x="287"/>
        <item x="288"/>
        <item x="289"/>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402"/>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4"/>
        <item x="405"/>
        <item x="406"/>
        <item x="407"/>
        <item x="403"/>
        <item x="58"/>
        <item x="59"/>
        <item x="5"/>
        <item x="60"/>
        <item x="61"/>
        <item x="62"/>
        <item x="63"/>
        <item x="64"/>
        <item x="65"/>
        <item x="40"/>
        <item x="66"/>
        <item x="67"/>
        <item x="68"/>
        <item x="6"/>
        <item x="41"/>
        <item x="42"/>
        <item x="24"/>
        <item x="25"/>
        <item x="26"/>
        <item x="69"/>
        <item x="70"/>
        <item x="71"/>
        <item x="72"/>
        <item x="7"/>
        <item x="0"/>
        <item x="8"/>
        <item x="9"/>
        <item x="73"/>
        <item x="27"/>
        <item x="74"/>
        <item x="75"/>
        <item x="10"/>
        <item x="28"/>
        <item x="76"/>
        <item x="77"/>
        <item x="78"/>
        <item x="79"/>
        <item x="80"/>
        <item x="29"/>
        <item x="81"/>
        <item x="82"/>
        <item x="83"/>
        <item x="11"/>
        <item x="84"/>
        <item x="85"/>
        <item x="86"/>
        <item x="87"/>
        <item x="88"/>
        <item x="89"/>
        <item x="90"/>
        <item x="12"/>
        <item x="91"/>
        <item x="92"/>
        <item x="93"/>
        <item x="94"/>
        <item x="30"/>
        <item x="13"/>
        <item x="95"/>
        <item x="96"/>
        <item x="14"/>
        <item x="97"/>
        <item x="98"/>
        <item x="99"/>
        <item x="100"/>
        <item x="101"/>
        <item x="102"/>
        <item x="103"/>
        <item x="15"/>
        <item x="104"/>
        <item x="16"/>
        <item x="105"/>
        <item x="106"/>
        <item x="17"/>
        <item x="31"/>
        <item x="107"/>
        <item x="32"/>
        <item x="33"/>
        <item x="1"/>
        <item x="108"/>
        <item x="109"/>
        <item x="110"/>
        <item x="111"/>
        <item x="34"/>
        <item x="112"/>
        <item x="113"/>
        <item x="114"/>
        <item x="18"/>
        <item x="115"/>
        <item x="116"/>
        <item x="117"/>
        <item x="118"/>
        <item x="43"/>
        <item x="119"/>
        <item x="120"/>
        <item x="35"/>
        <item x="121"/>
        <item x="122"/>
        <item x="408"/>
        <item x="409"/>
        <item x="410"/>
        <item x="411"/>
        <item x="412"/>
        <item x="413"/>
        <item x="414"/>
        <item x="415"/>
        <item x="416"/>
        <item x="417"/>
        <item x="418"/>
        <item x="419"/>
        <item x="420"/>
        <item x="421"/>
        <item x="422"/>
        <item x="423"/>
        <item x="424"/>
        <item x="425"/>
        <item x="426"/>
        <item x="427"/>
        <item x="428"/>
        <item x="429"/>
        <item x="430"/>
        <item x="431"/>
        <item x="432"/>
        <item x="433"/>
        <item x="123"/>
        <item x="44"/>
        <item x="124"/>
        <item x="125"/>
        <item x="19"/>
        <item x="126"/>
        <item x="127"/>
        <item x="128"/>
        <item x="129"/>
        <item x="45"/>
        <item x="20"/>
        <item x="130"/>
        <item x="131"/>
        <item x="36"/>
        <item x="37"/>
        <item x="2"/>
        <item x="21"/>
        <item x="132"/>
        <item x="3"/>
        <item x="4"/>
        <item x="22"/>
        <item x="46"/>
        <item x="47"/>
        <item x="48"/>
        <item x="23"/>
        <item x="49"/>
        <item x="38"/>
        <item x="39"/>
        <item x="133"/>
        <item x="134"/>
        <item x="185"/>
        <item x="186"/>
        <item t="default"/>
      </items>
      <autoSortScope>
        <pivotArea dataOnly="0" outline="0" fieldPosition="0">
          <references count="1">
            <reference field="4294967294" count="1" selected="0">
              <x v="1"/>
            </reference>
          </references>
        </pivotArea>
      </autoSortScope>
    </pivotField>
    <pivotField compact="0" outline="0" showAll="0"/>
    <pivotField dataField="1" compact="0" outline="0" showAll="0"/>
    <pivotField dataField="1" compact="0" outline="0" showAll="0"/>
  </pivotFields>
  <rowFields count="2">
    <field x="1"/>
    <field x="2"/>
  </rowFields>
  <rowItems count="20">
    <i>
      <x v="4"/>
      <x v="305"/>
    </i>
    <i r="1">
      <x v="412"/>
    </i>
    <i r="1">
      <x v="329"/>
    </i>
    <i r="1">
      <x v="422"/>
    </i>
    <i r="1">
      <x v="348"/>
    </i>
    <i r="1">
      <x v="310"/>
    </i>
    <i r="1">
      <x v="304"/>
    </i>
    <i r="1">
      <x v="321"/>
    </i>
    <i r="1">
      <x v="346"/>
    </i>
    <i r="1">
      <x v="281"/>
    </i>
    <i r="1">
      <x v="406"/>
    </i>
    <i r="1">
      <x v="302"/>
    </i>
    <i r="1">
      <x v="365"/>
    </i>
    <i r="1">
      <x v="351"/>
    </i>
    <i r="1">
      <x v="418"/>
    </i>
    <i r="1">
      <x v="338"/>
    </i>
    <i r="1">
      <x v="292"/>
    </i>
    <i r="1">
      <x v="335"/>
    </i>
    <i r="1">
      <x v="426"/>
    </i>
    <i t="grand">
      <x/>
    </i>
  </rowItems>
  <colFields count="1">
    <field x="-2"/>
  </colFields>
  <colItems count="2">
    <i>
      <x/>
    </i>
    <i i="1">
      <x v="1"/>
    </i>
  </colItems>
  <dataFields count="2">
    <dataField name="Average of Average of Proactive -Uptime%" fld="4" subtotal="average" baseField="1" baseItem="0" numFmtId="2"/>
    <dataField name="Average of Average of JFL -Uptime %" fld="5" subtotal="average" baseField="1" baseItem="0" numFmtId="2"/>
  </dataFields>
  <formats count="14">
    <format dxfId="464">
      <pivotArea type="all" dataOnly="0" outline="0" fieldPosition="0"/>
    </format>
    <format dxfId="465">
      <pivotArea outline="0" collapsedLevelsAreSubtotals="1" fieldPosition="0"/>
    </format>
    <format dxfId="466">
      <pivotArea type="origin" dataOnly="0" labelOnly="1" outline="0" fieldPosition="0"/>
    </format>
    <format dxfId="467">
      <pivotArea field="-2" type="button" dataOnly="0" labelOnly="1" outline="0" axis="axisCol" fieldPosition="0"/>
    </format>
    <format dxfId="468">
      <pivotArea type="topRight" dataOnly="0" labelOnly="1" outline="0" fieldPosition="0"/>
    </format>
    <format dxfId="469">
      <pivotArea field="1" type="button" dataOnly="0" labelOnly="1" outline="0" axis="axisRow" fieldPosition="0"/>
    </format>
    <format dxfId="470">
      <pivotArea field="2" type="button" dataOnly="0" labelOnly="1" outline="0" axis="axisRow" fieldPosition="1"/>
    </format>
    <format dxfId="471">
      <pivotArea dataOnly="0" labelOnly="1" outline="0" fieldPosition="0">
        <references count="1">
          <reference field="1" count="0"/>
        </references>
      </pivotArea>
    </format>
    <format dxfId="472">
      <pivotArea dataOnly="0" labelOnly="1" grandRow="1" outline="0" fieldPosition="0"/>
    </format>
    <format dxfId="473">
      <pivotArea dataOnly="0" labelOnly="1" outline="0" fieldPosition="0">
        <references count="2">
          <reference field="1" count="0" selected="0"/>
          <reference field="2" count="50">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reference>
        </references>
      </pivotArea>
    </format>
    <format dxfId="474">
      <pivotArea dataOnly="0" labelOnly="1" outline="0" fieldPosition="0">
        <references count="2">
          <reference field="1" count="0" selected="0"/>
          <reference field="2" count="50">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reference>
        </references>
      </pivotArea>
    </format>
    <format dxfId="475">
      <pivotArea dataOnly="0" labelOnly="1" outline="0" fieldPosition="0">
        <references count="2">
          <reference field="1" count="0" selected="0"/>
          <reference field="2" count="50">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reference>
        </references>
      </pivotArea>
    </format>
    <format dxfId="476">
      <pivotArea dataOnly="0" labelOnly="1" outline="0" fieldPosition="0">
        <references count="2">
          <reference field="1" count="0" selected="0"/>
          <reference field="2" count="32">
            <x v="273"/>
            <x v="274"/>
            <x v="275"/>
            <x v="276"/>
            <x v="277"/>
            <x v="278"/>
            <x v="376"/>
            <x v="377"/>
            <x v="378"/>
            <x v="379"/>
            <x v="380"/>
            <x v="381"/>
            <x v="382"/>
            <x v="383"/>
            <x v="384"/>
            <x v="385"/>
            <x v="386"/>
            <x v="387"/>
            <x v="388"/>
            <x v="389"/>
            <x v="390"/>
            <x v="391"/>
            <x v="392"/>
            <x v="393"/>
            <x v="394"/>
            <x v="395"/>
            <x v="396"/>
            <x v="397"/>
            <x v="398"/>
            <x v="399"/>
            <x v="400"/>
            <x v="401"/>
          </reference>
        </references>
      </pivotArea>
    </format>
    <format dxfId="47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890281-5CF9-4EDB-8973-2A967B2BAC1E}" name="PivotTable6"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D11" firstHeaderRow="1" firstDataRow="2" firstDataCol="2"/>
  <pivotFields count="6">
    <pivotField compact="0" outline="0" showAll="0"/>
    <pivotField axis="axisRow" compact="0" outline="0" showAll="0" defaultSubtotal="0">
      <items count="8">
        <item h="1" x="7"/>
        <item h="1" x="5"/>
        <item h="1" x="0"/>
        <item h="1" x="2"/>
        <item h="1" x="1"/>
        <item x="4"/>
        <item h="1" x="3"/>
        <item h="1" x="6"/>
      </items>
    </pivotField>
    <pivotField axis="axisRow" compact="0" outline="0" showAll="0">
      <items count="435">
        <item x="187"/>
        <item x="175"/>
        <item x="170"/>
        <item x="155"/>
        <item x="147"/>
        <item x="146"/>
        <item x="142"/>
        <item x="156"/>
        <item x="158"/>
        <item x="141"/>
        <item x="153"/>
        <item x="157"/>
        <item x="160"/>
        <item x="168"/>
        <item x="150"/>
        <item x="159"/>
        <item x="164"/>
        <item x="54"/>
        <item x="53"/>
        <item x="52"/>
        <item x="55"/>
        <item x="57"/>
        <item x="51"/>
        <item x="50"/>
        <item x="165"/>
        <item x="167"/>
        <item x="184"/>
        <item x="183"/>
        <item x="223"/>
        <item x="222"/>
        <item x="213"/>
        <item x="220"/>
        <item x="214"/>
        <item x="219"/>
        <item x="191"/>
        <item x="210"/>
        <item x="209"/>
        <item x="225"/>
        <item x="227"/>
        <item x="189"/>
        <item x="207"/>
        <item x="224"/>
        <item x="197"/>
        <item x="211"/>
        <item x="195"/>
        <item x="192"/>
        <item x="218"/>
        <item x="190"/>
        <item x="188"/>
        <item x="221"/>
        <item x="212"/>
        <item x="198"/>
        <item x="215"/>
        <item x="202"/>
        <item x="200"/>
        <item x="193"/>
        <item x="196"/>
        <item x="201"/>
        <item x="204"/>
        <item x="199"/>
        <item x="208"/>
        <item x="203"/>
        <item x="194"/>
        <item x="216"/>
        <item x="206"/>
        <item x="217"/>
        <item x="226"/>
        <item x="205"/>
        <item x="140"/>
        <item x="139"/>
        <item x="138"/>
        <item x="135"/>
        <item x="136"/>
        <item x="137"/>
        <item x="163"/>
        <item x="162"/>
        <item x="144"/>
        <item x="148"/>
        <item x="145"/>
        <item x="154"/>
        <item x="143"/>
        <item x="149"/>
        <item x="56"/>
        <item x="166"/>
        <item x="151"/>
        <item x="171"/>
        <item x="172"/>
        <item x="174"/>
        <item x="152"/>
        <item x="169"/>
        <item x="173"/>
        <item x="176"/>
        <item x="177"/>
        <item x="178"/>
        <item x="182"/>
        <item x="179"/>
        <item x="180"/>
        <item x="181"/>
        <item x="229"/>
        <item x="251"/>
        <item x="228"/>
        <item x="236"/>
        <item x="250"/>
        <item x="234"/>
        <item x="232"/>
        <item x="233"/>
        <item x="231"/>
        <item x="230"/>
        <item x="237"/>
        <item x="235"/>
        <item x="249"/>
        <item x="246"/>
        <item x="247"/>
        <item x="245"/>
        <item x="241"/>
        <item x="242"/>
        <item x="244"/>
        <item x="239"/>
        <item x="240"/>
        <item x="248"/>
        <item x="238"/>
        <item x="243"/>
        <item x="161"/>
        <item x="252"/>
        <item x="253"/>
        <item x="254"/>
        <item x="255"/>
        <item x="256"/>
        <item x="257"/>
        <item x="258"/>
        <item x="259"/>
        <item x="260"/>
        <item x="261"/>
        <item x="272"/>
        <item x="262"/>
        <item x="263"/>
        <item x="264"/>
        <item x="265"/>
        <item x="266"/>
        <item x="267"/>
        <item x="268"/>
        <item x="269"/>
        <item x="270"/>
        <item x="271"/>
        <item x="290"/>
        <item x="273"/>
        <item x="274"/>
        <item x="275"/>
        <item x="276"/>
        <item x="277"/>
        <item x="278"/>
        <item x="279"/>
        <item x="280"/>
        <item x="281"/>
        <item x="282"/>
        <item x="283"/>
        <item x="284"/>
        <item x="285"/>
        <item x="286"/>
        <item x="287"/>
        <item x="288"/>
        <item x="289"/>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402"/>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4"/>
        <item x="405"/>
        <item x="406"/>
        <item x="407"/>
        <item x="403"/>
        <item x="58"/>
        <item x="59"/>
        <item x="5"/>
        <item x="60"/>
        <item x="61"/>
        <item x="62"/>
        <item x="63"/>
        <item x="64"/>
        <item x="65"/>
        <item x="40"/>
        <item x="66"/>
        <item x="67"/>
        <item x="68"/>
        <item x="6"/>
        <item x="41"/>
        <item x="42"/>
        <item x="24"/>
        <item x="25"/>
        <item x="26"/>
        <item x="69"/>
        <item x="70"/>
        <item x="71"/>
        <item x="72"/>
        <item x="7"/>
        <item x="0"/>
        <item x="8"/>
        <item x="9"/>
        <item x="73"/>
        <item x="27"/>
        <item x="74"/>
        <item x="75"/>
        <item x="10"/>
        <item x="28"/>
        <item x="76"/>
        <item x="77"/>
        <item x="78"/>
        <item x="79"/>
        <item x="80"/>
        <item x="29"/>
        <item x="81"/>
        <item x="82"/>
        <item x="83"/>
        <item x="11"/>
        <item x="84"/>
        <item x="85"/>
        <item x="86"/>
        <item x="87"/>
        <item x="88"/>
        <item x="89"/>
        <item x="90"/>
        <item x="12"/>
        <item x="91"/>
        <item x="92"/>
        <item x="93"/>
        <item x="94"/>
        <item x="30"/>
        <item x="13"/>
        <item x="95"/>
        <item x="96"/>
        <item x="14"/>
        <item x="97"/>
        <item x="98"/>
        <item x="99"/>
        <item x="100"/>
        <item x="101"/>
        <item x="102"/>
        <item x="103"/>
        <item x="15"/>
        <item x="104"/>
        <item x="16"/>
        <item x="105"/>
        <item x="106"/>
        <item x="17"/>
        <item x="31"/>
        <item x="107"/>
        <item x="32"/>
        <item x="33"/>
        <item x="1"/>
        <item x="108"/>
        <item x="109"/>
        <item x="110"/>
        <item x="111"/>
        <item x="34"/>
        <item x="112"/>
        <item x="113"/>
        <item x="114"/>
        <item x="18"/>
        <item x="115"/>
        <item x="116"/>
        <item x="117"/>
        <item x="118"/>
        <item x="43"/>
        <item x="119"/>
        <item x="120"/>
        <item x="35"/>
        <item x="121"/>
        <item x="122"/>
        <item x="408"/>
        <item x="409"/>
        <item x="410"/>
        <item x="411"/>
        <item x="412"/>
        <item x="413"/>
        <item x="414"/>
        <item x="415"/>
        <item x="416"/>
        <item x="417"/>
        <item x="418"/>
        <item x="419"/>
        <item x="420"/>
        <item x="421"/>
        <item x="422"/>
        <item x="423"/>
        <item x="424"/>
        <item x="425"/>
        <item x="426"/>
        <item x="427"/>
        <item x="428"/>
        <item x="429"/>
        <item x="430"/>
        <item x="431"/>
        <item x="432"/>
        <item x="433"/>
        <item x="123"/>
        <item x="44"/>
        <item x="124"/>
        <item x="125"/>
        <item x="19"/>
        <item x="126"/>
        <item x="127"/>
        <item x="128"/>
        <item x="129"/>
        <item x="45"/>
        <item x="20"/>
        <item x="130"/>
        <item x="131"/>
        <item x="36"/>
        <item x="37"/>
        <item x="2"/>
        <item x="21"/>
        <item x="132"/>
        <item x="3"/>
        <item x="4"/>
        <item x="22"/>
        <item x="46"/>
        <item x="47"/>
        <item x="48"/>
        <item x="23"/>
        <item x="49"/>
        <item x="38"/>
        <item x="39"/>
        <item x="133"/>
        <item x="134"/>
        <item x="185"/>
        <item x="186"/>
        <item t="default"/>
      </items>
    </pivotField>
    <pivotField compact="0" outline="0" showAll="0"/>
    <pivotField dataField="1" compact="0" outline="0" showAll="0"/>
    <pivotField dataField="1" compact="0" outline="0" showAll="0"/>
  </pivotFields>
  <rowFields count="2">
    <field x="1"/>
    <field x="2"/>
  </rowFields>
  <rowItems count="9">
    <i>
      <x v="5"/>
      <x v="17"/>
    </i>
    <i r="1">
      <x v="18"/>
    </i>
    <i r="1">
      <x v="19"/>
    </i>
    <i r="1">
      <x v="20"/>
    </i>
    <i r="1">
      <x v="21"/>
    </i>
    <i r="1">
      <x v="22"/>
    </i>
    <i r="1">
      <x v="23"/>
    </i>
    <i r="1">
      <x v="82"/>
    </i>
    <i t="grand">
      <x/>
    </i>
  </rowItems>
  <colFields count="1">
    <field x="-2"/>
  </colFields>
  <colItems count="2">
    <i>
      <x/>
    </i>
    <i i="1">
      <x v="1"/>
    </i>
  </colItems>
  <dataFields count="2">
    <dataField name="Average of Average of Proactive -Uptime%" fld="4" subtotal="average" baseField="1" baseItem="0" numFmtId="2"/>
    <dataField name="Average of Average of JFL -Uptime %" fld="5" subtotal="average" baseField="1" baseItem="0" numFmtId="2"/>
  </dataFields>
  <formats count="14">
    <format dxfId="450">
      <pivotArea type="all" dataOnly="0" outline="0" fieldPosition="0"/>
    </format>
    <format dxfId="451">
      <pivotArea outline="0" collapsedLevelsAreSubtotals="1" fieldPosition="0"/>
    </format>
    <format dxfId="452">
      <pivotArea type="origin" dataOnly="0" labelOnly="1" outline="0" fieldPosition="0"/>
    </format>
    <format dxfId="453">
      <pivotArea field="-2" type="button" dataOnly="0" labelOnly="1" outline="0" axis="axisCol" fieldPosition="0"/>
    </format>
    <format dxfId="454">
      <pivotArea type="topRight" dataOnly="0" labelOnly="1" outline="0" fieldPosition="0"/>
    </format>
    <format dxfId="455">
      <pivotArea field="1" type="button" dataOnly="0" labelOnly="1" outline="0" axis="axisRow" fieldPosition="0"/>
    </format>
    <format dxfId="456">
      <pivotArea field="2" type="button" dataOnly="0" labelOnly="1" outline="0" axis="axisRow" fieldPosition="1"/>
    </format>
    <format dxfId="457">
      <pivotArea dataOnly="0" labelOnly="1" outline="0" fieldPosition="0">
        <references count="1">
          <reference field="1" count="0"/>
        </references>
      </pivotArea>
    </format>
    <format dxfId="458">
      <pivotArea dataOnly="0" labelOnly="1" grandRow="1" outline="0" fieldPosition="0"/>
    </format>
    <format dxfId="459">
      <pivotArea dataOnly="0" labelOnly="1" outline="0" fieldPosition="0">
        <references count="2">
          <reference field="1" count="0" selected="0"/>
          <reference field="2" count="50">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reference>
        </references>
      </pivotArea>
    </format>
    <format dxfId="460">
      <pivotArea dataOnly="0" labelOnly="1" outline="0" fieldPosition="0">
        <references count="2">
          <reference field="1" count="0" selected="0"/>
          <reference field="2" count="50">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reference>
        </references>
      </pivotArea>
    </format>
    <format dxfId="461">
      <pivotArea dataOnly="0" labelOnly="1" outline="0" fieldPosition="0">
        <references count="2">
          <reference field="1" count="0" selected="0"/>
          <reference field="2" count="50">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reference>
        </references>
      </pivotArea>
    </format>
    <format dxfId="462">
      <pivotArea dataOnly="0" labelOnly="1" outline="0" fieldPosition="0">
        <references count="2">
          <reference field="1" count="0" selected="0"/>
          <reference field="2" count="32">
            <x v="273"/>
            <x v="274"/>
            <x v="275"/>
            <x v="276"/>
            <x v="277"/>
            <x v="278"/>
            <x v="376"/>
            <x v="377"/>
            <x v="378"/>
            <x v="379"/>
            <x v="380"/>
            <x v="381"/>
            <x v="382"/>
            <x v="383"/>
            <x v="384"/>
            <x v="385"/>
            <x v="386"/>
            <x v="387"/>
            <x v="388"/>
            <x v="389"/>
            <x v="390"/>
            <x v="391"/>
            <x v="392"/>
            <x v="393"/>
            <x v="394"/>
            <x v="395"/>
            <x v="396"/>
            <x v="397"/>
            <x v="398"/>
            <x v="399"/>
            <x v="400"/>
            <x v="401"/>
          </reference>
        </references>
      </pivotArea>
    </format>
    <format dxfId="46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5FAC7D-BD9D-4FB1-B0EC-B2B94727C569}" name="PivotTable7"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D13" firstHeaderRow="1" firstDataRow="2" firstDataCol="2"/>
  <pivotFields count="6">
    <pivotField compact="0" outline="0" showAll="0"/>
    <pivotField axis="axisRow" compact="0" outline="0" showAll="0" defaultSubtotal="0">
      <items count="8">
        <item h="1" x="7"/>
        <item h="1" x="5"/>
        <item h="1" x="0"/>
        <item h="1" x="2"/>
        <item h="1" x="1"/>
        <item h="1" x="4"/>
        <item x="3"/>
        <item h="1" x="6"/>
      </items>
    </pivotField>
    <pivotField axis="axisRow" compact="0" outline="0" showAll="0" sortType="ascending">
      <items count="435">
        <item x="187"/>
        <item x="175"/>
        <item x="170"/>
        <item x="155"/>
        <item x="147"/>
        <item x="146"/>
        <item x="142"/>
        <item x="156"/>
        <item x="158"/>
        <item x="141"/>
        <item x="153"/>
        <item x="157"/>
        <item x="160"/>
        <item x="168"/>
        <item x="150"/>
        <item x="159"/>
        <item x="164"/>
        <item x="54"/>
        <item x="53"/>
        <item x="52"/>
        <item x="55"/>
        <item x="57"/>
        <item x="51"/>
        <item x="50"/>
        <item x="165"/>
        <item x="167"/>
        <item x="184"/>
        <item x="183"/>
        <item x="223"/>
        <item x="222"/>
        <item x="213"/>
        <item x="220"/>
        <item x="214"/>
        <item x="219"/>
        <item x="191"/>
        <item x="210"/>
        <item x="209"/>
        <item x="225"/>
        <item x="227"/>
        <item x="189"/>
        <item x="207"/>
        <item x="224"/>
        <item x="197"/>
        <item x="211"/>
        <item x="195"/>
        <item x="192"/>
        <item x="218"/>
        <item x="190"/>
        <item x="188"/>
        <item x="221"/>
        <item x="212"/>
        <item x="198"/>
        <item x="215"/>
        <item x="202"/>
        <item x="200"/>
        <item x="193"/>
        <item x="196"/>
        <item x="201"/>
        <item x="204"/>
        <item x="199"/>
        <item x="208"/>
        <item x="203"/>
        <item x="194"/>
        <item x="216"/>
        <item x="206"/>
        <item x="217"/>
        <item x="226"/>
        <item x="205"/>
        <item x="140"/>
        <item x="139"/>
        <item x="138"/>
        <item x="135"/>
        <item x="136"/>
        <item x="137"/>
        <item x="163"/>
        <item x="162"/>
        <item x="144"/>
        <item x="148"/>
        <item x="145"/>
        <item x="154"/>
        <item x="143"/>
        <item x="149"/>
        <item x="56"/>
        <item x="166"/>
        <item x="151"/>
        <item x="171"/>
        <item x="172"/>
        <item x="174"/>
        <item x="152"/>
        <item x="169"/>
        <item x="173"/>
        <item x="176"/>
        <item x="177"/>
        <item x="178"/>
        <item x="182"/>
        <item x="179"/>
        <item x="180"/>
        <item x="181"/>
        <item x="229"/>
        <item x="251"/>
        <item x="228"/>
        <item x="236"/>
        <item x="250"/>
        <item x="234"/>
        <item x="232"/>
        <item x="233"/>
        <item x="231"/>
        <item x="230"/>
        <item x="237"/>
        <item x="235"/>
        <item x="249"/>
        <item x="246"/>
        <item x="247"/>
        <item x="245"/>
        <item x="241"/>
        <item x="242"/>
        <item x="244"/>
        <item x="239"/>
        <item x="240"/>
        <item x="248"/>
        <item x="238"/>
        <item x="243"/>
        <item x="161"/>
        <item x="252"/>
        <item x="253"/>
        <item x="254"/>
        <item x="255"/>
        <item x="256"/>
        <item x="257"/>
        <item x="258"/>
        <item x="259"/>
        <item x="260"/>
        <item x="261"/>
        <item x="272"/>
        <item x="262"/>
        <item x="263"/>
        <item x="264"/>
        <item x="265"/>
        <item x="266"/>
        <item x="267"/>
        <item x="268"/>
        <item x="269"/>
        <item x="270"/>
        <item x="271"/>
        <item x="290"/>
        <item x="273"/>
        <item x="274"/>
        <item x="275"/>
        <item x="276"/>
        <item x="277"/>
        <item x="278"/>
        <item x="279"/>
        <item x="280"/>
        <item x="281"/>
        <item x="282"/>
        <item x="283"/>
        <item x="284"/>
        <item x="285"/>
        <item x="286"/>
        <item x="287"/>
        <item x="288"/>
        <item x="289"/>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402"/>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4"/>
        <item x="405"/>
        <item x="406"/>
        <item x="407"/>
        <item x="403"/>
        <item x="58"/>
        <item x="59"/>
        <item x="5"/>
        <item x="60"/>
        <item x="61"/>
        <item x="62"/>
        <item x="63"/>
        <item x="64"/>
        <item x="65"/>
        <item x="40"/>
        <item x="66"/>
        <item x="67"/>
        <item x="68"/>
        <item x="6"/>
        <item x="41"/>
        <item x="42"/>
        <item x="24"/>
        <item x="25"/>
        <item x="26"/>
        <item x="69"/>
        <item x="70"/>
        <item x="71"/>
        <item x="72"/>
        <item x="7"/>
        <item x="0"/>
        <item x="8"/>
        <item x="9"/>
        <item x="73"/>
        <item x="27"/>
        <item x="74"/>
        <item x="75"/>
        <item x="10"/>
        <item x="28"/>
        <item x="76"/>
        <item x="77"/>
        <item x="78"/>
        <item x="79"/>
        <item x="80"/>
        <item x="29"/>
        <item x="81"/>
        <item x="82"/>
        <item x="83"/>
        <item x="11"/>
        <item x="84"/>
        <item x="85"/>
        <item x="86"/>
        <item x="87"/>
        <item x="88"/>
        <item x="89"/>
        <item x="90"/>
        <item x="12"/>
        <item x="91"/>
        <item x="92"/>
        <item x="93"/>
        <item x="94"/>
        <item x="30"/>
        <item x="13"/>
        <item x="95"/>
        <item x="96"/>
        <item x="14"/>
        <item x="97"/>
        <item x="98"/>
        <item x="99"/>
        <item x="100"/>
        <item x="101"/>
        <item x="102"/>
        <item x="103"/>
        <item x="15"/>
        <item x="104"/>
        <item x="16"/>
        <item x="105"/>
        <item x="106"/>
        <item x="17"/>
        <item x="31"/>
        <item x="107"/>
        <item x="32"/>
        <item x="33"/>
        <item x="1"/>
        <item x="108"/>
        <item x="109"/>
        <item x="110"/>
        <item x="111"/>
        <item x="34"/>
        <item x="112"/>
        <item x="113"/>
        <item x="114"/>
        <item x="18"/>
        <item x="115"/>
        <item x="116"/>
        <item x="117"/>
        <item x="118"/>
        <item x="43"/>
        <item x="119"/>
        <item x="120"/>
        <item x="35"/>
        <item x="121"/>
        <item x="122"/>
        <item x="408"/>
        <item x="409"/>
        <item x="410"/>
        <item x="411"/>
        <item x="412"/>
        <item x="413"/>
        <item x="414"/>
        <item x="415"/>
        <item x="416"/>
        <item x="417"/>
        <item x="418"/>
        <item x="419"/>
        <item x="420"/>
        <item x="421"/>
        <item x="422"/>
        <item x="423"/>
        <item x="424"/>
        <item x="425"/>
        <item x="426"/>
        <item x="427"/>
        <item x="428"/>
        <item x="429"/>
        <item x="430"/>
        <item x="431"/>
        <item x="432"/>
        <item x="433"/>
        <item x="123"/>
        <item x="44"/>
        <item x="124"/>
        <item x="125"/>
        <item x="19"/>
        <item x="126"/>
        <item x="127"/>
        <item x="128"/>
        <item x="129"/>
        <item x="45"/>
        <item x="20"/>
        <item x="130"/>
        <item x="131"/>
        <item x="36"/>
        <item x="37"/>
        <item x="2"/>
        <item x="21"/>
        <item x="132"/>
        <item x="3"/>
        <item x="4"/>
        <item x="22"/>
        <item x="46"/>
        <item x="47"/>
        <item x="48"/>
        <item x="23"/>
        <item x="49"/>
        <item x="38"/>
        <item x="39"/>
        <item x="133"/>
        <item x="134"/>
        <item x="185"/>
        <item x="186"/>
        <item t="default"/>
      </items>
      <autoSortScope>
        <pivotArea dataOnly="0" outline="0" fieldPosition="0">
          <references count="1">
            <reference field="4294967294" count="1" selected="0">
              <x v="1"/>
            </reference>
          </references>
        </pivotArea>
      </autoSortScope>
    </pivotField>
    <pivotField compact="0" outline="0" showAll="0"/>
    <pivotField dataField="1" compact="0" outline="0" showAll="0"/>
    <pivotField dataField="1" compact="0" outline="0" showAll="0"/>
  </pivotFields>
  <rowFields count="2">
    <field x="1"/>
    <field x="2"/>
  </rowFields>
  <rowItems count="11">
    <i>
      <x v="6"/>
      <x v="288"/>
    </i>
    <i r="1">
      <x v="427"/>
    </i>
    <i r="1">
      <x v="425"/>
    </i>
    <i r="1">
      <x v="294"/>
    </i>
    <i r="1">
      <x v="293"/>
    </i>
    <i r="1">
      <x v="403"/>
    </i>
    <i r="1">
      <x v="424"/>
    </i>
    <i r="1">
      <x v="423"/>
    </i>
    <i r="1">
      <x v="370"/>
    </i>
    <i r="1">
      <x v="411"/>
    </i>
    <i t="grand">
      <x/>
    </i>
  </rowItems>
  <colFields count="1">
    <field x="-2"/>
  </colFields>
  <colItems count="2">
    <i>
      <x/>
    </i>
    <i i="1">
      <x v="1"/>
    </i>
  </colItems>
  <dataFields count="2">
    <dataField name="Average of Average of Proactive -Uptime%" fld="4" subtotal="average" baseField="1" baseItem="0" numFmtId="2"/>
    <dataField name="Average of Average of JFL -Uptime %" fld="5" subtotal="average" baseField="1" baseItem="0" numFmtId="2"/>
  </dataFields>
  <formats count="14">
    <format dxfId="436">
      <pivotArea type="all" dataOnly="0" outline="0" fieldPosition="0"/>
    </format>
    <format dxfId="437">
      <pivotArea outline="0" collapsedLevelsAreSubtotals="1" fieldPosition="0"/>
    </format>
    <format dxfId="438">
      <pivotArea type="origin" dataOnly="0" labelOnly="1" outline="0" fieldPosition="0"/>
    </format>
    <format dxfId="439">
      <pivotArea field="-2" type="button" dataOnly="0" labelOnly="1" outline="0" axis="axisCol" fieldPosition="0"/>
    </format>
    <format dxfId="440">
      <pivotArea type="topRight" dataOnly="0" labelOnly="1" outline="0" fieldPosition="0"/>
    </format>
    <format dxfId="441">
      <pivotArea field="1" type="button" dataOnly="0" labelOnly="1" outline="0" axis="axisRow" fieldPosition="0"/>
    </format>
    <format dxfId="442">
      <pivotArea field="2" type="button" dataOnly="0" labelOnly="1" outline="0" axis="axisRow" fieldPosition="1"/>
    </format>
    <format dxfId="443">
      <pivotArea dataOnly="0" labelOnly="1" outline="0" fieldPosition="0">
        <references count="1">
          <reference field="1" count="0"/>
        </references>
      </pivotArea>
    </format>
    <format dxfId="444">
      <pivotArea dataOnly="0" labelOnly="1" grandRow="1" outline="0" fieldPosition="0"/>
    </format>
    <format dxfId="445">
      <pivotArea dataOnly="0" labelOnly="1" outline="0" fieldPosition="0">
        <references count="2">
          <reference field="1" count="0" selected="0"/>
          <reference field="2" count="50">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reference>
        </references>
      </pivotArea>
    </format>
    <format dxfId="446">
      <pivotArea dataOnly="0" labelOnly="1" outline="0" fieldPosition="0">
        <references count="2">
          <reference field="1" count="0" selected="0"/>
          <reference field="2" count="50">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reference>
        </references>
      </pivotArea>
    </format>
    <format dxfId="447">
      <pivotArea dataOnly="0" labelOnly="1" outline="0" fieldPosition="0">
        <references count="2">
          <reference field="1" count="0" selected="0"/>
          <reference field="2" count="50">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reference>
        </references>
      </pivotArea>
    </format>
    <format dxfId="448">
      <pivotArea dataOnly="0" labelOnly="1" outline="0" fieldPosition="0">
        <references count="2">
          <reference field="1" count="0" selected="0"/>
          <reference field="2" count="32">
            <x v="273"/>
            <x v="274"/>
            <x v="275"/>
            <x v="276"/>
            <x v="277"/>
            <x v="278"/>
            <x v="376"/>
            <x v="377"/>
            <x v="378"/>
            <x v="379"/>
            <x v="380"/>
            <x v="381"/>
            <x v="382"/>
            <x v="383"/>
            <x v="384"/>
            <x v="385"/>
            <x v="386"/>
            <x v="387"/>
            <x v="388"/>
            <x v="389"/>
            <x v="390"/>
            <x v="391"/>
            <x v="392"/>
            <x v="393"/>
            <x v="394"/>
            <x v="395"/>
            <x v="396"/>
            <x v="397"/>
            <x v="398"/>
            <x v="399"/>
            <x v="400"/>
            <x v="401"/>
          </reference>
        </references>
      </pivotArea>
    </format>
    <format dxfId="44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0E2C2D3-DC77-4C5C-83D7-AF2906F4B7CB}" name="PivotTable8" cacheId="1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D84" firstHeaderRow="1" firstDataRow="2" firstDataCol="2"/>
  <pivotFields count="6">
    <pivotField compact="0" outline="0" showAll="0"/>
    <pivotField axis="axisRow" compact="0" outline="0" showAll="0" defaultSubtotal="0">
      <items count="8">
        <item h="1" x="7"/>
        <item h="1" x="5"/>
        <item h="1" x="0"/>
        <item h="1" x="2"/>
        <item h="1" x="1"/>
        <item h="1" x="4"/>
        <item h="1" x="3"/>
        <item x="6"/>
      </items>
    </pivotField>
    <pivotField axis="axisRow" compact="0" outline="0" showAll="0" sortType="ascending">
      <items count="435">
        <item x="187"/>
        <item x="175"/>
        <item x="170"/>
        <item x="155"/>
        <item x="147"/>
        <item x="146"/>
        <item x="142"/>
        <item x="156"/>
        <item x="158"/>
        <item x="141"/>
        <item x="153"/>
        <item x="157"/>
        <item x="160"/>
        <item x="168"/>
        <item x="150"/>
        <item x="159"/>
        <item x="164"/>
        <item x="54"/>
        <item x="53"/>
        <item x="52"/>
        <item x="55"/>
        <item x="57"/>
        <item x="51"/>
        <item x="50"/>
        <item x="165"/>
        <item x="167"/>
        <item x="184"/>
        <item x="183"/>
        <item x="223"/>
        <item x="222"/>
        <item x="213"/>
        <item x="220"/>
        <item x="214"/>
        <item x="219"/>
        <item x="191"/>
        <item x="210"/>
        <item x="209"/>
        <item x="225"/>
        <item x="227"/>
        <item x="189"/>
        <item x="207"/>
        <item x="224"/>
        <item x="197"/>
        <item x="211"/>
        <item x="195"/>
        <item x="192"/>
        <item x="218"/>
        <item x="190"/>
        <item x="188"/>
        <item x="221"/>
        <item x="212"/>
        <item x="198"/>
        <item x="215"/>
        <item x="202"/>
        <item x="200"/>
        <item x="193"/>
        <item x="196"/>
        <item x="201"/>
        <item x="204"/>
        <item x="199"/>
        <item x="208"/>
        <item x="203"/>
        <item x="194"/>
        <item x="216"/>
        <item x="206"/>
        <item x="217"/>
        <item x="226"/>
        <item x="205"/>
        <item x="140"/>
        <item x="139"/>
        <item x="138"/>
        <item x="135"/>
        <item x="136"/>
        <item x="137"/>
        <item x="163"/>
        <item x="162"/>
        <item x="144"/>
        <item x="148"/>
        <item x="145"/>
        <item x="154"/>
        <item x="143"/>
        <item x="149"/>
        <item x="56"/>
        <item x="166"/>
        <item x="151"/>
        <item x="171"/>
        <item x="172"/>
        <item x="174"/>
        <item x="152"/>
        <item x="169"/>
        <item x="173"/>
        <item x="176"/>
        <item x="177"/>
        <item x="178"/>
        <item x="182"/>
        <item x="179"/>
        <item x="180"/>
        <item x="181"/>
        <item x="229"/>
        <item x="251"/>
        <item x="228"/>
        <item x="236"/>
        <item x="250"/>
        <item x="234"/>
        <item x="232"/>
        <item x="233"/>
        <item x="231"/>
        <item x="230"/>
        <item x="237"/>
        <item x="235"/>
        <item x="249"/>
        <item x="246"/>
        <item x="247"/>
        <item x="245"/>
        <item x="241"/>
        <item x="242"/>
        <item x="244"/>
        <item x="239"/>
        <item x="240"/>
        <item x="248"/>
        <item x="238"/>
        <item x="243"/>
        <item x="161"/>
        <item x="252"/>
        <item x="253"/>
        <item x="254"/>
        <item x="255"/>
        <item x="256"/>
        <item x="257"/>
        <item x="258"/>
        <item x="259"/>
        <item x="260"/>
        <item x="261"/>
        <item x="272"/>
        <item x="262"/>
        <item x="263"/>
        <item x="264"/>
        <item x="265"/>
        <item x="266"/>
        <item x="267"/>
        <item x="268"/>
        <item x="269"/>
        <item x="270"/>
        <item x="271"/>
        <item x="290"/>
        <item x="273"/>
        <item x="274"/>
        <item x="275"/>
        <item x="276"/>
        <item x="277"/>
        <item x="278"/>
        <item x="279"/>
        <item x="280"/>
        <item x="281"/>
        <item x="282"/>
        <item x="283"/>
        <item x="284"/>
        <item x="285"/>
        <item x="286"/>
        <item x="287"/>
        <item x="288"/>
        <item x="289"/>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402"/>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4"/>
        <item x="405"/>
        <item x="406"/>
        <item x="407"/>
        <item x="403"/>
        <item x="58"/>
        <item x="59"/>
        <item x="5"/>
        <item x="60"/>
        <item x="61"/>
        <item x="62"/>
        <item x="63"/>
        <item x="64"/>
        <item x="65"/>
        <item x="40"/>
        <item x="66"/>
        <item x="67"/>
        <item x="68"/>
        <item x="6"/>
        <item x="41"/>
        <item x="42"/>
        <item x="24"/>
        <item x="25"/>
        <item x="26"/>
        <item x="69"/>
        <item x="70"/>
        <item x="71"/>
        <item x="72"/>
        <item x="7"/>
        <item x="0"/>
        <item x="8"/>
        <item x="9"/>
        <item x="73"/>
        <item x="27"/>
        <item x="74"/>
        <item x="75"/>
        <item x="10"/>
        <item x="28"/>
        <item x="76"/>
        <item x="77"/>
        <item x="78"/>
        <item x="79"/>
        <item x="80"/>
        <item x="29"/>
        <item x="81"/>
        <item x="82"/>
        <item x="83"/>
        <item x="11"/>
        <item x="84"/>
        <item x="85"/>
        <item x="86"/>
        <item x="87"/>
        <item x="88"/>
        <item x="89"/>
        <item x="90"/>
        <item x="12"/>
        <item x="91"/>
        <item x="92"/>
        <item x="93"/>
        <item x="94"/>
        <item x="30"/>
        <item x="13"/>
        <item x="95"/>
        <item x="96"/>
        <item x="14"/>
        <item x="97"/>
        <item x="98"/>
        <item x="99"/>
        <item x="100"/>
        <item x="101"/>
        <item x="102"/>
        <item x="103"/>
        <item x="15"/>
        <item x="104"/>
        <item x="16"/>
        <item x="105"/>
        <item x="106"/>
        <item x="17"/>
        <item x="31"/>
        <item x="107"/>
        <item x="32"/>
        <item x="33"/>
        <item x="1"/>
        <item x="108"/>
        <item x="109"/>
        <item x="110"/>
        <item x="111"/>
        <item x="34"/>
        <item x="112"/>
        <item x="113"/>
        <item x="114"/>
        <item x="18"/>
        <item x="115"/>
        <item x="116"/>
        <item x="117"/>
        <item x="118"/>
        <item x="43"/>
        <item x="119"/>
        <item x="120"/>
        <item x="35"/>
        <item x="121"/>
        <item x="122"/>
        <item x="408"/>
        <item x="409"/>
        <item x="410"/>
        <item x="411"/>
        <item x="412"/>
        <item x="413"/>
        <item x="414"/>
        <item x="415"/>
        <item x="416"/>
        <item x="417"/>
        <item x="418"/>
        <item x="419"/>
        <item x="420"/>
        <item x="421"/>
        <item x="422"/>
        <item x="423"/>
        <item x="424"/>
        <item x="425"/>
        <item x="426"/>
        <item x="427"/>
        <item x="428"/>
        <item x="429"/>
        <item x="430"/>
        <item x="431"/>
        <item x="432"/>
        <item x="433"/>
        <item x="123"/>
        <item x="44"/>
        <item x="124"/>
        <item x="125"/>
        <item x="19"/>
        <item x="126"/>
        <item x="127"/>
        <item x="128"/>
        <item x="129"/>
        <item x="45"/>
        <item x="20"/>
        <item x="130"/>
        <item x="131"/>
        <item x="36"/>
        <item x="37"/>
        <item x="2"/>
        <item x="21"/>
        <item x="132"/>
        <item x="3"/>
        <item x="4"/>
        <item x="22"/>
        <item x="46"/>
        <item x="47"/>
        <item x="48"/>
        <item x="23"/>
        <item x="49"/>
        <item x="38"/>
        <item x="39"/>
        <item x="133"/>
        <item x="134"/>
        <item x="185"/>
        <item x="186"/>
        <item t="default"/>
      </items>
      <autoSortScope>
        <pivotArea dataOnly="0" outline="0" fieldPosition="0">
          <references count="1">
            <reference field="4294967294" count="1" selected="0">
              <x v="1"/>
            </reference>
          </references>
        </pivotArea>
      </autoSortScope>
    </pivotField>
    <pivotField compact="0" outline="0" showAll="0"/>
    <pivotField dataField="1" compact="0" outline="0" showAll="0"/>
    <pivotField dataField="1" compact="0" outline="0" showAll="0"/>
  </pivotFields>
  <rowFields count="2">
    <field x="1"/>
    <field x="2"/>
  </rowFields>
  <rowItems count="82">
    <i>
      <x v="7"/>
      <x v="51"/>
    </i>
    <i r="1">
      <x v="64"/>
    </i>
    <i r="1">
      <x v="65"/>
    </i>
    <i r="1">
      <x v="26"/>
    </i>
    <i r="1">
      <x v="66"/>
    </i>
    <i r="1">
      <x v="28"/>
    </i>
    <i r="1">
      <x v="67"/>
    </i>
    <i r="1">
      <x v="30"/>
    </i>
    <i r="1">
      <x v="85"/>
    </i>
    <i r="1">
      <x v="32"/>
    </i>
    <i r="1">
      <x v="86"/>
    </i>
    <i r="1">
      <x v="34"/>
    </i>
    <i r="1">
      <x v="87"/>
    </i>
    <i r="1">
      <x v="36"/>
    </i>
    <i r="1">
      <x v="90"/>
    </i>
    <i r="1">
      <x v="38"/>
    </i>
    <i r="1">
      <x v="91"/>
    </i>
    <i r="1">
      <x v="40"/>
    </i>
    <i r="1">
      <x v="92"/>
    </i>
    <i r="1">
      <x v="42"/>
    </i>
    <i r="1">
      <x v="93"/>
    </i>
    <i r="1">
      <x v="44"/>
    </i>
    <i r="1">
      <x v="94"/>
    </i>
    <i r="1">
      <x v="46"/>
    </i>
    <i r="1">
      <x v="95"/>
    </i>
    <i r="1">
      <x v="48"/>
    </i>
    <i r="1">
      <x v="96"/>
    </i>
    <i r="1">
      <x v="50"/>
    </i>
    <i r="1">
      <x v="97"/>
    </i>
    <i r="1">
      <x v="52"/>
    </i>
    <i r="1">
      <x v="98"/>
    </i>
    <i r="1">
      <x v="54"/>
    </i>
    <i r="1">
      <x v="99"/>
    </i>
    <i r="1">
      <x v="56"/>
    </i>
    <i r="1">
      <x v="100"/>
    </i>
    <i r="1">
      <x v="58"/>
    </i>
    <i r="1">
      <x v="101"/>
    </i>
    <i r="1">
      <x v="60"/>
    </i>
    <i r="1">
      <x v="102"/>
    </i>
    <i r="1">
      <x v="62"/>
    </i>
    <i r="1">
      <x v="103"/>
    </i>
    <i r="1">
      <x/>
    </i>
    <i r="1">
      <x v="104"/>
    </i>
    <i r="1">
      <x v="29"/>
    </i>
    <i r="1">
      <x v="105"/>
    </i>
    <i r="1">
      <x v="33"/>
    </i>
    <i r="1">
      <x v="106"/>
    </i>
    <i r="1">
      <x v="37"/>
    </i>
    <i r="1">
      <x v="107"/>
    </i>
    <i r="1">
      <x v="41"/>
    </i>
    <i r="1">
      <x v="108"/>
    </i>
    <i r="1">
      <x v="45"/>
    </i>
    <i r="1">
      <x v="109"/>
    </i>
    <i r="1">
      <x v="49"/>
    </i>
    <i r="1">
      <x v="110"/>
    </i>
    <i r="1">
      <x v="53"/>
    </i>
    <i r="1">
      <x v="111"/>
    </i>
    <i r="1">
      <x v="57"/>
    </i>
    <i r="1">
      <x v="112"/>
    </i>
    <i r="1">
      <x v="61"/>
    </i>
    <i r="1">
      <x v="113"/>
    </i>
    <i r="1">
      <x v="27"/>
    </i>
    <i r="1">
      <x v="114"/>
    </i>
    <i r="1">
      <x v="35"/>
    </i>
    <i r="1">
      <x v="115"/>
    </i>
    <i r="1">
      <x v="43"/>
    </i>
    <i r="1">
      <x v="116"/>
    </i>
    <i r="1">
      <x v="1"/>
    </i>
    <i r="1">
      <x v="117"/>
    </i>
    <i r="1">
      <x v="59"/>
    </i>
    <i r="1">
      <x v="118"/>
    </i>
    <i r="1">
      <x v="31"/>
    </i>
    <i r="1">
      <x v="119"/>
    </i>
    <i r="1">
      <x v="47"/>
    </i>
    <i r="1">
      <x v="120"/>
    </i>
    <i r="1">
      <x v="63"/>
    </i>
    <i r="1">
      <x v="121"/>
    </i>
    <i r="1">
      <x v="55"/>
    </i>
    <i r="1">
      <x v="432"/>
    </i>
    <i r="1">
      <x v="39"/>
    </i>
    <i r="1">
      <x v="433"/>
    </i>
    <i t="grand">
      <x/>
    </i>
  </rowItems>
  <colFields count="1">
    <field x="-2"/>
  </colFields>
  <colItems count="2">
    <i>
      <x/>
    </i>
    <i i="1">
      <x v="1"/>
    </i>
  </colItems>
  <dataFields count="2">
    <dataField name="Average of Average of Proactive -Uptime%" fld="4" subtotal="average" baseField="1" baseItem="0" numFmtId="2"/>
    <dataField name="Average of Average of JFL -Uptime %" fld="5" subtotal="average" baseField="1" baseItem="0" numFmtId="2"/>
  </dataFields>
  <formats count="14">
    <format dxfId="422">
      <pivotArea type="all" dataOnly="0" outline="0" fieldPosition="0"/>
    </format>
    <format dxfId="423">
      <pivotArea outline="0" collapsedLevelsAreSubtotals="1" fieldPosition="0"/>
    </format>
    <format dxfId="424">
      <pivotArea type="origin" dataOnly="0" labelOnly="1" outline="0" fieldPosition="0"/>
    </format>
    <format dxfId="425">
      <pivotArea field="-2" type="button" dataOnly="0" labelOnly="1" outline="0" axis="axisCol" fieldPosition="0"/>
    </format>
    <format dxfId="426">
      <pivotArea type="topRight" dataOnly="0" labelOnly="1" outline="0" fieldPosition="0"/>
    </format>
    <format dxfId="427">
      <pivotArea field="1" type="button" dataOnly="0" labelOnly="1" outline="0" axis="axisRow" fieldPosition="0"/>
    </format>
    <format dxfId="428">
      <pivotArea field="2" type="button" dataOnly="0" labelOnly="1" outline="0" axis="axisRow" fieldPosition="1"/>
    </format>
    <format dxfId="429">
      <pivotArea dataOnly="0" labelOnly="1" outline="0" fieldPosition="0">
        <references count="1">
          <reference field="1" count="0"/>
        </references>
      </pivotArea>
    </format>
    <format dxfId="430">
      <pivotArea dataOnly="0" labelOnly="1" grandRow="1" outline="0" fieldPosition="0"/>
    </format>
    <format dxfId="431">
      <pivotArea dataOnly="0" labelOnly="1" outline="0" fieldPosition="0">
        <references count="2">
          <reference field="1" count="0" selected="0"/>
          <reference field="2" count="50">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reference>
        </references>
      </pivotArea>
    </format>
    <format dxfId="432">
      <pivotArea dataOnly="0" labelOnly="1" outline="0" fieldPosition="0">
        <references count="2">
          <reference field="1" count="0" selected="0"/>
          <reference field="2" count="50">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reference>
        </references>
      </pivotArea>
    </format>
    <format dxfId="433">
      <pivotArea dataOnly="0" labelOnly="1" outline="0" fieldPosition="0">
        <references count="2">
          <reference field="1" count="0" selected="0"/>
          <reference field="2" count="50">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reference>
        </references>
      </pivotArea>
    </format>
    <format dxfId="434">
      <pivotArea dataOnly="0" labelOnly="1" outline="0" fieldPosition="0">
        <references count="2">
          <reference field="1" count="0" selected="0"/>
          <reference field="2" count="32">
            <x v="273"/>
            <x v="274"/>
            <x v="275"/>
            <x v="276"/>
            <x v="277"/>
            <x v="278"/>
            <x v="376"/>
            <x v="377"/>
            <x v="378"/>
            <x v="379"/>
            <x v="380"/>
            <x v="381"/>
            <x v="382"/>
            <x v="383"/>
            <x v="384"/>
            <x v="385"/>
            <x v="386"/>
            <x v="387"/>
            <x v="388"/>
            <x v="389"/>
            <x v="390"/>
            <x v="391"/>
            <x v="392"/>
            <x v="393"/>
            <x v="394"/>
            <x v="395"/>
            <x v="396"/>
            <x v="397"/>
            <x v="398"/>
            <x v="399"/>
            <x v="400"/>
            <x v="401"/>
          </reference>
        </references>
      </pivotArea>
    </format>
    <format dxfId="43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053F8-6255-4F0E-BE83-68640993A54A}">
  <dimension ref="A1:AN364"/>
  <sheetViews>
    <sheetView zoomScale="81" workbookViewId="0"/>
  </sheetViews>
  <sheetFormatPr defaultRowHeight="14.5" x14ac:dyDescent="0.35"/>
  <cols>
    <col min="1" max="1" width="23.453125" bestFit="1" customWidth="1"/>
    <col min="2" max="2" width="7.54296875" bestFit="1" customWidth="1"/>
    <col min="3" max="3" width="19.453125" bestFit="1" customWidth="1"/>
    <col min="4" max="4" width="13.7265625" bestFit="1" customWidth="1"/>
    <col min="5" max="5" width="40.08984375" customWidth="1"/>
    <col min="6" max="6" width="21.453125" customWidth="1"/>
    <col min="7" max="7" width="20.36328125" customWidth="1"/>
    <col min="8" max="8" width="10.81640625" customWidth="1"/>
    <col min="9" max="9" width="18.08984375" customWidth="1"/>
    <col min="10" max="10" width="18.08984375" bestFit="1" customWidth="1"/>
    <col min="11" max="11" width="11.6328125" bestFit="1" customWidth="1"/>
    <col min="12" max="12" width="12.81640625" bestFit="1" customWidth="1"/>
    <col min="13" max="13" width="32.453125" bestFit="1" customWidth="1"/>
    <col min="14" max="14" width="15.08984375" bestFit="1" customWidth="1"/>
    <col min="15" max="15" width="18.7265625" bestFit="1" customWidth="1"/>
    <col min="16" max="16" width="20.26953125" bestFit="1" customWidth="1"/>
    <col min="17" max="17" width="8.6328125" bestFit="1" customWidth="1"/>
    <col min="18" max="18" width="15.6328125" bestFit="1" customWidth="1"/>
    <col min="19" max="19" width="32.26953125" bestFit="1" customWidth="1"/>
    <col min="20" max="21" width="20.6328125" customWidth="1"/>
    <col min="22" max="22" width="13.08984375" style="4" customWidth="1"/>
    <col min="23" max="23" width="18.453125" style="4" customWidth="1"/>
    <col min="24" max="24" width="22.90625" style="4" customWidth="1"/>
    <col min="25" max="25" width="13.08984375" style="4" customWidth="1"/>
    <col min="26" max="26" width="23.453125" style="4" customWidth="1"/>
    <col min="27" max="27" width="23" style="4" customWidth="1"/>
    <col min="28" max="28" width="17.81640625" style="4" customWidth="1"/>
    <col min="29" max="30" width="13.08984375" style="4" customWidth="1"/>
    <col min="31" max="31" width="28.08984375" style="4" customWidth="1"/>
    <col min="32" max="32" width="24.08984375" style="4" customWidth="1"/>
    <col min="33" max="33" width="23.6328125" style="4" customWidth="1"/>
    <col min="34" max="34" width="18.453125" style="4" customWidth="1"/>
    <col min="35" max="35" width="13.90625" customWidth="1"/>
    <col min="36" max="36" width="31.453125" style="4" customWidth="1"/>
    <col min="37" max="37" width="21.81640625" style="4" customWidth="1"/>
    <col min="38" max="38" width="16.08984375" style="4" customWidth="1"/>
    <col min="39" max="39" width="15.26953125" customWidth="1"/>
    <col min="40" max="40" width="14.81640625" customWidth="1"/>
  </cols>
  <sheetData>
    <row r="1" spans="1:40" s="7" customFormat="1" ht="26.5" x14ac:dyDescent="0.35">
      <c r="A1" s="10" t="s">
        <v>0</v>
      </c>
      <c r="B1" s="10" t="s">
        <v>1</v>
      </c>
      <c r="C1" s="10" t="s">
        <v>2</v>
      </c>
      <c r="D1" s="10" t="s">
        <v>3</v>
      </c>
      <c r="E1" s="10" t="s">
        <v>4</v>
      </c>
      <c r="F1" s="10" t="s">
        <v>5</v>
      </c>
      <c r="G1" s="10" t="s">
        <v>6</v>
      </c>
      <c r="H1" s="10" t="s">
        <v>7</v>
      </c>
      <c r="I1" s="10" t="s">
        <v>8</v>
      </c>
      <c r="J1" s="10" t="s">
        <v>9</v>
      </c>
      <c r="K1" s="10" t="s">
        <v>10</v>
      </c>
      <c r="L1" s="11" t="s">
        <v>951</v>
      </c>
      <c r="M1" s="11" t="s">
        <v>952</v>
      </c>
      <c r="N1" s="11" t="s">
        <v>953</v>
      </c>
      <c r="O1" s="11" t="s">
        <v>954</v>
      </c>
      <c r="P1" s="10" t="s">
        <v>11</v>
      </c>
      <c r="Q1" s="10" t="s">
        <v>12</v>
      </c>
      <c r="R1" s="10" t="s">
        <v>13</v>
      </c>
      <c r="S1" s="10" t="s">
        <v>1034</v>
      </c>
      <c r="T1" s="10" t="s">
        <v>14</v>
      </c>
      <c r="U1" s="10" t="s">
        <v>15</v>
      </c>
      <c r="V1" s="17" t="s">
        <v>16</v>
      </c>
      <c r="W1" s="17" t="s">
        <v>17</v>
      </c>
      <c r="X1" s="17" t="s">
        <v>18</v>
      </c>
      <c r="Y1" s="17" t="s">
        <v>19</v>
      </c>
      <c r="Z1" s="17" t="s">
        <v>20</v>
      </c>
      <c r="AA1" s="17" t="s">
        <v>21</v>
      </c>
      <c r="AB1" s="17" t="s">
        <v>22</v>
      </c>
      <c r="AC1" s="17" t="s">
        <v>23</v>
      </c>
      <c r="AD1" s="17" t="s">
        <v>24</v>
      </c>
      <c r="AE1" s="12" t="s">
        <v>962</v>
      </c>
      <c r="AF1" s="13" t="s">
        <v>961</v>
      </c>
      <c r="AG1" s="17" t="s">
        <v>25</v>
      </c>
      <c r="AH1" s="17" t="s">
        <v>26</v>
      </c>
      <c r="AI1" s="5" t="s">
        <v>955</v>
      </c>
      <c r="AJ1" s="5" t="s">
        <v>956</v>
      </c>
      <c r="AK1" s="5" t="s">
        <v>958</v>
      </c>
      <c r="AL1" s="6" t="s">
        <v>957</v>
      </c>
      <c r="AM1" s="8" t="s">
        <v>959</v>
      </c>
      <c r="AN1" s="8" t="s">
        <v>960</v>
      </c>
    </row>
    <row r="2" spans="1:40" x14ac:dyDescent="0.35">
      <c r="A2" s="14" t="s">
        <v>27</v>
      </c>
      <c r="B2" s="14" t="s">
        <v>28</v>
      </c>
      <c r="C2" s="14" t="s">
        <v>65</v>
      </c>
      <c r="D2" s="14" t="s">
        <v>189</v>
      </c>
      <c r="E2" s="14" t="s">
        <v>31</v>
      </c>
      <c r="F2" s="14" t="s">
        <v>32</v>
      </c>
      <c r="G2" s="14" t="s">
        <v>33</v>
      </c>
      <c r="H2" s="14" t="s">
        <v>966</v>
      </c>
      <c r="I2" s="14" t="s">
        <v>191</v>
      </c>
      <c r="J2" s="14" t="s">
        <v>191</v>
      </c>
      <c r="K2" s="14" t="s">
        <v>190</v>
      </c>
      <c r="L2" s="14" t="s">
        <v>967</v>
      </c>
      <c r="M2" s="14" t="s">
        <v>190</v>
      </c>
      <c r="N2" s="14" t="s">
        <v>968</v>
      </c>
      <c r="O2" s="14" t="s">
        <v>969</v>
      </c>
      <c r="P2" s="14"/>
      <c r="Q2" s="14" t="s">
        <v>35</v>
      </c>
      <c r="R2" s="14" t="s">
        <v>36</v>
      </c>
      <c r="S2" s="14" t="s">
        <v>37</v>
      </c>
      <c r="T2" s="14" t="s">
        <v>64</v>
      </c>
      <c r="U2" s="14" t="s">
        <v>69</v>
      </c>
      <c r="V2" s="22">
        <v>46119.549178240741</v>
      </c>
      <c r="W2" s="22">
        <v>46119.682638888888</v>
      </c>
      <c r="X2" s="15">
        <v>192.18</v>
      </c>
      <c r="Y2" s="22">
        <v>46119.549189814818</v>
      </c>
      <c r="Z2" s="15">
        <v>0.02</v>
      </c>
      <c r="AA2" s="15">
        <v>30</v>
      </c>
      <c r="AB2" s="15" t="s">
        <v>40</v>
      </c>
      <c r="AC2" s="22">
        <v>46119.555104166669</v>
      </c>
      <c r="AD2" s="22">
        <v>46119.680671296293</v>
      </c>
      <c r="AE2" s="15">
        <v>180.82</v>
      </c>
      <c r="AF2" s="15">
        <v>11.37</v>
      </c>
      <c r="AG2" s="15">
        <v>120</v>
      </c>
      <c r="AH2" s="15" t="s">
        <v>40</v>
      </c>
      <c r="AI2" s="14"/>
      <c r="AJ2" s="16">
        <v>129600</v>
      </c>
      <c r="AK2" s="1">
        <f>AJ2-AF2</f>
        <v>129588.63</v>
      </c>
      <c r="AL2" s="2">
        <f>AK2/AJ2*100</f>
        <v>99.991226851851849</v>
      </c>
      <c r="AM2" s="16">
        <f>AJ2-AE2</f>
        <v>129419.18</v>
      </c>
      <c r="AN2" s="2">
        <f>AM2/AJ2*100</f>
        <v>99.860478395061719</v>
      </c>
    </row>
    <row r="3" spans="1:40" x14ac:dyDescent="0.35">
      <c r="A3" s="14" t="s">
        <v>27</v>
      </c>
      <c r="B3" s="14" t="s">
        <v>28</v>
      </c>
      <c r="C3" s="14" t="s">
        <v>65</v>
      </c>
      <c r="D3" s="14" t="s">
        <v>915</v>
      </c>
      <c r="E3" s="14" t="s">
        <v>916</v>
      </c>
      <c r="F3" s="14" t="s">
        <v>32</v>
      </c>
      <c r="G3" s="14" t="s">
        <v>312</v>
      </c>
      <c r="H3" s="14" t="s">
        <v>966</v>
      </c>
      <c r="I3" s="14"/>
      <c r="J3" s="14" t="s">
        <v>87</v>
      </c>
      <c r="K3" s="14" t="s">
        <v>970</v>
      </c>
      <c r="L3" s="14" t="s">
        <v>967</v>
      </c>
      <c r="M3" s="14" t="s">
        <v>86</v>
      </c>
      <c r="N3" s="14" t="s">
        <v>971</v>
      </c>
      <c r="O3" s="14" t="s">
        <v>969</v>
      </c>
      <c r="P3" s="14"/>
      <c r="Q3" s="14" t="s">
        <v>872</v>
      </c>
      <c r="R3" s="14" t="s">
        <v>36</v>
      </c>
      <c r="S3" s="14" t="s">
        <v>279</v>
      </c>
      <c r="T3" s="14" t="s">
        <v>917</v>
      </c>
      <c r="U3" s="14" t="s">
        <v>918</v>
      </c>
      <c r="V3" s="22">
        <v>46119.603414351855</v>
      </c>
      <c r="W3" s="22">
        <v>46119.636111111111</v>
      </c>
      <c r="X3" s="15">
        <v>47.08</v>
      </c>
      <c r="Y3" s="22">
        <v>46119.603414351855</v>
      </c>
      <c r="Z3" s="15">
        <v>0</v>
      </c>
      <c r="AA3" s="15">
        <v>30</v>
      </c>
      <c r="AB3" s="15" t="s">
        <v>40</v>
      </c>
      <c r="AC3" s="22">
        <v>46119.605023148149</v>
      </c>
      <c r="AD3" s="22">
        <v>46119.629814814813</v>
      </c>
      <c r="AE3" s="15">
        <v>35.700000000000003</v>
      </c>
      <c r="AF3" s="15">
        <v>11.38</v>
      </c>
      <c r="AG3" s="15">
        <v>2880</v>
      </c>
      <c r="AH3" s="15" t="s">
        <v>40</v>
      </c>
      <c r="AI3" s="14"/>
      <c r="AJ3" s="16">
        <v>129600</v>
      </c>
      <c r="AK3" s="1">
        <f t="shared" ref="AK3:AK66" si="0">AJ3-AF3</f>
        <v>129588.62</v>
      </c>
      <c r="AL3" s="2">
        <f t="shared" ref="AL3:AL66" si="1">AK3/AJ3*100</f>
        <v>99.991219135802467</v>
      </c>
      <c r="AM3" s="16">
        <f t="shared" ref="AM3:AM66" si="2">AJ3-AE3</f>
        <v>129564.3</v>
      </c>
      <c r="AN3" s="2">
        <f t="shared" ref="AN3:AN66" si="3">AM3/AJ3*100</f>
        <v>99.972453703703707</v>
      </c>
    </row>
    <row r="4" spans="1:40" x14ac:dyDescent="0.35">
      <c r="A4" s="14" t="s">
        <v>27</v>
      </c>
      <c r="B4" s="14" t="s">
        <v>28</v>
      </c>
      <c r="C4" s="14" t="s">
        <v>84</v>
      </c>
      <c r="D4" s="14" t="s">
        <v>415</v>
      </c>
      <c r="E4" s="14" t="s">
        <v>193</v>
      </c>
      <c r="F4" s="14" t="s">
        <v>32</v>
      </c>
      <c r="G4" s="14" t="s">
        <v>33</v>
      </c>
      <c r="H4" s="14" t="s">
        <v>972</v>
      </c>
      <c r="I4" s="14" t="s">
        <v>417</v>
      </c>
      <c r="J4" s="14" t="s">
        <v>417</v>
      </c>
      <c r="K4" s="14" t="s">
        <v>204</v>
      </c>
      <c r="L4" s="14" t="s">
        <v>973</v>
      </c>
      <c r="M4" s="14" t="s">
        <v>416</v>
      </c>
      <c r="N4" s="14" t="s">
        <v>974</v>
      </c>
      <c r="O4" s="14" t="s">
        <v>975</v>
      </c>
      <c r="P4" s="14"/>
      <c r="Q4" s="14" t="s">
        <v>196</v>
      </c>
      <c r="R4" s="14" t="s">
        <v>36</v>
      </c>
      <c r="S4" s="14" t="s">
        <v>104</v>
      </c>
      <c r="T4" s="14" t="s">
        <v>104</v>
      </c>
      <c r="U4" s="14" t="s">
        <v>418</v>
      </c>
      <c r="V4" s="22">
        <v>46119.880289351851</v>
      </c>
      <c r="W4" s="22">
        <v>46119.978472222225</v>
      </c>
      <c r="X4" s="15">
        <v>141.38</v>
      </c>
      <c r="Y4" s="22">
        <v>46119.880289351851</v>
      </c>
      <c r="Z4" s="15">
        <v>0</v>
      </c>
      <c r="AA4" s="15">
        <v>30</v>
      </c>
      <c r="AB4" s="15" t="s">
        <v>40</v>
      </c>
      <c r="AC4" s="22">
        <v>46119.881388888891</v>
      </c>
      <c r="AD4" s="22">
        <v>46119.975231481483</v>
      </c>
      <c r="AE4" s="15">
        <v>135.13</v>
      </c>
      <c r="AF4" s="15">
        <v>6.25</v>
      </c>
      <c r="AG4" s="15">
        <v>120</v>
      </c>
      <c r="AH4" s="15" t="s">
        <v>40</v>
      </c>
      <c r="AI4" s="14"/>
      <c r="AJ4" s="16">
        <v>129600</v>
      </c>
      <c r="AK4" s="1">
        <f t="shared" si="0"/>
        <v>129593.75</v>
      </c>
      <c r="AL4" s="2">
        <f t="shared" si="1"/>
        <v>99.995177469135797</v>
      </c>
      <c r="AM4" s="16">
        <f t="shared" si="2"/>
        <v>129464.87</v>
      </c>
      <c r="AN4" s="2">
        <f t="shared" si="3"/>
        <v>99.895733024691353</v>
      </c>
    </row>
    <row r="5" spans="1:40" x14ac:dyDescent="0.35">
      <c r="A5" s="14" t="s">
        <v>27</v>
      </c>
      <c r="B5" s="14" t="s">
        <v>28</v>
      </c>
      <c r="C5" s="14" t="s">
        <v>73</v>
      </c>
      <c r="D5" s="14" t="s">
        <v>476</v>
      </c>
      <c r="E5" s="14" t="s">
        <v>218</v>
      </c>
      <c r="F5" s="14" t="s">
        <v>32</v>
      </c>
      <c r="G5" s="14" t="s">
        <v>33</v>
      </c>
      <c r="H5" s="14" t="s">
        <v>963</v>
      </c>
      <c r="I5" s="14" t="s">
        <v>103</v>
      </c>
      <c r="J5" s="14" t="s">
        <v>103</v>
      </c>
      <c r="K5" s="14" t="s">
        <v>976</v>
      </c>
      <c r="L5" s="14" t="s">
        <v>967</v>
      </c>
      <c r="M5" s="14" t="s">
        <v>102</v>
      </c>
      <c r="N5" s="14" t="s">
        <v>977</v>
      </c>
      <c r="O5" s="14" t="s">
        <v>978</v>
      </c>
      <c r="P5" s="14"/>
      <c r="Q5" s="14" t="s">
        <v>196</v>
      </c>
      <c r="R5" s="14" t="s">
        <v>36</v>
      </c>
      <c r="S5" s="14" t="s">
        <v>221</v>
      </c>
      <c r="T5" s="14" t="s">
        <v>477</v>
      </c>
      <c r="U5" s="14" t="s">
        <v>478</v>
      </c>
      <c r="V5" s="22">
        <v>46120.237349537034</v>
      </c>
      <c r="W5" s="22">
        <v>46125.506249999999</v>
      </c>
      <c r="X5" s="15">
        <v>7587.22</v>
      </c>
      <c r="Y5" s="22">
        <v>46120.237361111111</v>
      </c>
      <c r="Z5" s="15">
        <v>0.02</v>
      </c>
      <c r="AA5" s="15">
        <v>30</v>
      </c>
      <c r="AB5" s="15" t="s">
        <v>40</v>
      </c>
      <c r="AC5" s="22">
        <v>46120.241956018515</v>
      </c>
      <c r="AD5" s="22">
        <v>46125.504965277774</v>
      </c>
      <c r="AE5" s="15">
        <v>7578.73</v>
      </c>
      <c r="AF5" s="15">
        <v>8.48</v>
      </c>
      <c r="AG5" s="15">
        <v>120</v>
      </c>
      <c r="AH5" s="15" t="s">
        <v>40</v>
      </c>
      <c r="AI5" s="14"/>
      <c r="AJ5" s="16">
        <v>129600</v>
      </c>
      <c r="AK5" s="1">
        <f t="shared" si="0"/>
        <v>129591.52</v>
      </c>
      <c r="AL5" s="2">
        <f t="shared" si="1"/>
        <v>99.99345679012346</v>
      </c>
      <c r="AM5" s="16">
        <f t="shared" si="2"/>
        <v>122021.27</v>
      </c>
      <c r="AN5" s="2">
        <f t="shared" si="3"/>
        <v>94.152214506172839</v>
      </c>
    </row>
    <row r="6" spans="1:40" x14ac:dyDescent="0.35">
      <c r="A6" s="14" t="s">
        <v>27</v>
      </c>
      <c r="B6" s="14" t="s">
        <v>28</v>
      </c>
      <c r="C6" s="14" t="s">
        <v>65</v>
      </c>
      <c r="D6" s="14" t="s">
        <v>370</v>
      </c>
      <c r="E6" s="14" t="s">
        <v>193</v>
      </c>
      <c r="F6" s="14" t="s">
        <v>32</v>
      </c>
      <c r="G6" s="14" t="s">
        <v>33</v>
      </c>
      <c r="H6" s="14" t="s">
        <v>966</v>
      </c>
      <c r="I6" s="14" t="s">
        <v>372</v>
      </c>
      <c r="J6" s="14" t="s">
        <v>372</v>
      </c>
      <c r="K6" s="14" t="s">
        <v>204</v>
      </c>
      <c r="L6" s="14" t="s">
        <v>973</v>
      </c>
      <c r="M6" s="14" t="s">
        <v>371</v>
      </c>
      <c r="N6" s="14" t="s">
        <v>979</v>
      </c>
      <c r="O6" s="14" t="s">
        <v>980</v>
      </c>
      <c r="P6" s="14"/>
      <c r="Q6" s="14" t="s">
        <v>196</v>
      </c>
      <c r="R6" s="14" t="s">
        <v>36</v>
      </c>
      <c r="S6" s="14" t="s">
        <v>37</v>
      </c>
      <c r="T6" s="14" t="s">
        <v>38</v>
      </c>
      <c r="U6" s="14" t="s">
        <v>288</v>
      </c>
      <c r="V6" s="22">
        <v>46120.542430555557</v>
      </c>
      <c r="W6" s="22">
        <v>46120.595833333333</v>
      </c>
      <c r="X6" s="15">
        <v>76.900000000000006</v>
      </c>
      <c r="Y6" s="22">
        <v>46120.542442129627</v>
      </c>
      <c r="Z6" s="15">
        <v>0.02</v>
      </c>
      <c r="AA6" s="15">
        <v>30</v>
      </c>
      <c r="AB6" s="15" t="s">
        <v>40</v>
      </c>
      <c r="AC6" s="22">
        <v>46120.545173611114</v>
      </c>
      <c r="AD6" s="22">
        <v>46120.594907407409</v>
      </c>
      <c r="AE6" s="15">
        <v>71.62</v>
      </c>
      <c r="AF6" s="15">
        <v>5.28</v>
      </c>
      <c r="AG6" s="15">
        <v>120</v>
      </c>
      <c r="AH6" s="15" t="s">
        <v>40</v>
      </c>
      <c r="AI6" s="14"/>
      <c r="AJ6" s="16">
        <v>129600</v>
      </c>
      <c r="AK6" s="1">
        <f t="shared" si="0"/>
        <v>129594.72</v>
      </c>
      <c r="AL6" s="2">
        <f t="shared" si="1"/>
        <v>99.995925925925917</v>
      </c>
      <c r="AM6" s="16">
        <f t="shared" si="2"/>
        <v>129528.38</v>
      </c>
      <c r="AN6" s="2">
        <f t="shared" si="3"/>
        <v>99.944737654320988</v>
      </c>
    </row>
    <row r="7" spans="1:40" x14ac:dyDescent="0.35">
      <c r="A7" s="14" t="s">
        <v>27</v>
      </c>
      <c r="B7" s="14" t="s">
        <v>28</v>
      </c>
      <c r="C7" s="14" t="s">
        <v>65</v>
      </c>
      <c r="D7" s="14" t="s">
        <v>482</v>
      </c>
      <c r="E7" s="14" t="s">
        <v>193</v>
      </c>
      <c r="F7" s="14" t="s">
        <v>32</v>
      </c>
      <c r="G7" s="14" t="s">
        <v>33</v>
      </c>
      <c r="H7" s="14" t="s">
        <v>966</v>
      </c>
      <c r="I7" s="14" t="s">
        <v>484</v>
      </c>
      <c r="J7" s="14" t="s">
        <v>484</v>
      </c>
      <c r="K7" s="14" t="s">
        <v>204</v>
      </c>
      <c r="L7" s="14" t="s">
        <v>973</v>
      </c>
      <c r="M7" s="14" t="s">
        <v>483</v>
      </c>
      <c r="N7" s="14" t="s">
        <v>979</v>
      </c>
      <c r="O7" s="14" t="s">
        <v>980</v>
      </c>
      <c r="P7" s="14"/>
      <c r="Q7" s="14" t="s">
        <v>196</v>
      </c>
      <c r="R7" s="14" t="s">
        <v>36</v>
      </c>
      <c r="S7" s="14" t="s">
        <v>37</v>
      </c>
      <c r="T7" s="14" t="s">
        <v>38</v>
      </c>
      <c r="U7" s="14" t="s">
        <v>288</v>
      </c>
      <c r="V7" s="22">
        <v>46120.542430555557</v>
      </c>
      <c r="W7" s="22">
        <v>46120.594444444447</v>
      </c>
      <c r="X7" s="15">
        <v>74.900000000000006</v>
      </c>
      <c r="Y7" s="22">
        <v>46120.542430555557</v>
      </c>
      <c r="Z7" s="15">
        <v>0</v>
      </c>
      <c r="AA7" s="15">
        <v>30</v>
      </c>
      <c r="AB7" s="15" t="s">
        <v>40</v>
      </c>
      <c r="AC7" s="22">
        <v>46120.545891203707</v>
      </c>
      <c r="AD7" s="22">
        <v>46120.593865740739</v>
      </c>
      <c r="AE7" s="15">
        <v>69.08</v>
      </c>
      <c r="AF7" s="15">
        <v>5.82</v>
      </c>
      <c r="AG7" s="15">
        <v>120</v>
      </c>
      <c r="AH7" s="15" t="s">
        <v>40</v>
      </c>
      <c r="AI7" s="14"/>
      <c r="AJ7" s="16">
        <v>129600</v>
      </c>
      <c r="AK7" s="1">
        <f t="shared" si="0"/>
        <v>129594.18</v>
      </c>
      <c r="AL7" s="2">
        <f t="shared" si="1"/>
        <v>99.995509259259251</v>
      </c>
      <c r="AM7" s="16">
        <f t="shared" si="2"/>
        <v>129530.92</v>
      </c>
      <c r="AN7" s="2">
        <f t="shared" si="3"/>
        <v>99.946697530864199</v>
      </c>
    </row>
    <row r="8" spans="1:40" x14ac:dyDescent="0.35">
      <c r="A8" s="14" t="s">
        <v>27</v>
      </c>
      <c r="B8" s="14" t="s">
        <v>28</v>
      </c>
      <c r="C8" s="14" t="s">
        <v>65</v>
      </c>
      <c r="D8" s="14" t="s">
        <v>570</v>
      </c>
      <c r="E8" s="14" t="s">
        <v>193</v>
      </c>
      <c r="F8" s="14" t="s">
        <v>32</v>
      </c>
      <c r="G8" s="14" t="s">
        <v>33</v>
      </c>
      <c r="H8" s="14" t="s">
        <v>966</v>
      </c>
      <c r="I8" s="14" t="s">
        <v>287</v>
      </c>
      <c r="J8" s="14" t="s">
        <v>287</v>
      </c>
      <c r="K8" s="14" t="s">
        <v>204</v>
      </c>
      <c r="L8" s="14" t="s">
        <v>973</v>
      </c>
      <c r="M8" s="14" t="s">
        <v>286</v>
      </c>
      <c r="N8" s="14" t="s">
        <v>979</v>
      </c>
      <c r="O8" s="14" t="s">
        <v>980</v>
      </c>
      <c r="P8" s="14"/>
      <c r="Q8" s="14" t="s">
        <v>196</v>
      </c>
      <c r="R8" s="14" t="s">
        <v>36</v>
      </c>
      <c r="S8" s="14" t="s">
        <v>37</v>
      </c>
      <c r="T8" s="14" t="s">
        <v>38</v>
      </c>
      <c r="U8" s="14" t="s">
        <v>288</v>
      </c>
      <c r="V8" s="22">
        <v>46120.54246527778</v>
      </c>
      <c r="W8" s="22">
        <v>46120.597222222219</v>
      </c>
      <c r="X8" s="15">
        <v>78.849999999999994</v>
      </c>
      <c r="Y8" s="22">
        <v>46120.54246527778</v>
      </c>
      <c r="Z8" s="15">
        <v>0</v>
      </c>
      <c r="AA8" s="15">
        <v>30</v>
      </c>
      <c r="AB8" s="15" t="s">
        <v>40</v>
      </c>
      <c r="AC8" s="22">
        <v>46120.546412037038</v>
      </c>
      <c r="AD8" s="22">
        <v>46120.596493055556</v>
      </c>
      <c r="AE8" s="15">
        <v>72.12</v>
      </c>
      <c r="AF8" s="15">
        <v>6.73</v>
      </c>
      <c r="AG8" s="15">
        <v>120</v>
      </c>
      <c r="AH8" s="15" t="s">
        <v>40</v>
      </c>
      <c r="AI8" s="14"/>
      <c r="AJ8" s="16">
        <v>129600</v>
      </c>
      <c r="AK8" s="1">
        <f t="shared" si="0"/>
        <v>129593.27</v>
      </c>
      <c r="AL8" s="2">
        <f t="shared" si="1"/>
        <v>99.994807098765435</v>
      </c>
      <c r="AM8" s="16">
        <f t="shared" si="2"/>
        <v>129527.88</v>
      </c>
      <c r="AN8" s="2">
        <f t="shared" si="3"/>
        <v>99.944351851851849</v>
      </c>
    </row>
    <row r="9" spans="1:40" x14ac:dyDescent="0.35">
      <c r="A9" s="14" t="s">
        <v>27</v>
      </c>
      <c r="B9" s="14" t="s">
        <v>28</v>
      </c>
      <c r="C9" s="14" t="s">
        <v>47</v>
      </c>
      <c r="D9" s="14" t="s">
        <v>141</v>
      </c>
      <c r="E9" s="14" t="s">
        <v>31</v>
      </c>
      <c r="F9" s="14" t="s">
        <v>32</v>
      </c>
      <c r="G9" s="14" t="s">
        <v>33</v>
      </c>
      <c r="H9" s="14" t="s">
        <v>966</v>
      </c>
      <c r="I9" s="14" t="s">
        <v>143</v>
      </c>
      <c r="J9" s="14" t="s">
        <v>143</v>
      </c>
      <c r="K9" s="14" t="s">
        <v>981</v>
      </c>
      <c r="L9" s="14" t="s">
        <v>967</v>
      </c>
      <c r="M9" s="14" t="s">
        <v>142</v>
      </c>
      <c r="N9" s="14" t="s">
        <v>971</v>
      </c>
      <c r="O9" s="14" t="s">
        <v>969</v>
      </c>
      <c r="P9" s="14"/>
      <c r="Q9" s="14" t="s">
        <v>35</v>
      </c>
      <c r="R9" s="14" t="s">
        <v>36</v>
      </c>
      <c r="S9" s="14" t="s">
        <v>37</v>
      </c>
      <c r="T9" s="14" t="s">
        <v>38</v>
      </c>
      <c r="U9" s="14" t="s">
        <v>132</v>
      </c>
      <c r="V9" s="22">
        <v>46120.543935185182</v>
      </c>
      <c r="W9" s="22">
        <v>46120.609027777777</v>
      </c>
      <c r="X9" s="15">
        <v>93.73</v>
      </c>
      <c r="Y9" s="22">
        <v>46120.543946759259</v>
      </c>
      <c r="Z9" s="15">
        <v>0.02</v>
      </c>
      <c r="AA9" s="15">
        <v>30</v>
      </c>
      <c r="AB9" s="15" t="s">
        <v>40</v>
      </c>
      <c r="AC9" s="22">
        <v>46120.546932870369</v>
      </c>
      <c r="AD9" s="22">
        <v>46120.602129629631</v>
      </c>
      <c r="AE9" s="15">
        <v>79.48</v>
      </c>
      <c r="AF9" s="15">
        <v>14.25</v>
      </c>
      <c r="AG9" s="15">
        <v>120</v>
      </c>
      <c r="AH9" s="15" t="s">
        <v>40</v>
      </c>
      <c r="AI9" s="14"/>
      <c r="AJ9" s="16">
        <v>129600</v>
      </c>
      <c r="AK9" s="1">
        <f t="shared" si="0"/>
        <v>129585.75</v>
      </c>
      <c r="AL9" s="2">
        <f t="shared" si="1"/>
        <v>99.989004629629633</v>
      </c>
      <c r="AM9" s="16">
        <f t="shared" si="2"/>
        <v>129520.52</v>
      </c>
      <c r="AN9" s="2">
        <f t="shared" si="3"/>
        <v>99.938672839506168</v>
      </c>
    </row>
    <row r="10" spans="1:40" x14ac:dyDescent="0.35">
      <c r="A10" s="14" t="s">
        <v>27</v>
      </c>
      <c r="B10" s="14" t="s">
        <v>28</v>
      </c>
      <c r="C10" s="14" t="s">
        <v>65</v>
      </c>
      <c r="D10" s="14" t="s">
        <v>137</v>
      </c>
      <c r="E10" s="14" t="s">
        <v>31</v>
      </c>
      <c r="F10" s="14" t="s">
        <v>32</v>
      </c>
      <c r="G10" s="14" t="s">
        <v>33</v>
      </c>
      <c r="H10" s="14" t="s">
        <v>966</v>
      </c>
      <c r="I10" s="14" t="s">
        <v>139</v>
      </c>
      <c r="J10" s="14" t="s">
        <v>139</v>
      </c>
      <c r="K10" s="14" t="s">
        <v>981</v>
      </c>
      <c r="L10" s="14" t="s">
        <v>967</v>
      </c>
      <c r="M10" s="14" t="s">
        <v>138</v>
      </c>
      <c r="N10" s="14" t="s">
        <v>971</v>
      </c>
      <c r="O10" s="14" t="s">
        <v>982</v>
      </c>
      <c r="P10" s="14"/>
      <c r="Q10" s="14" t="s">
        <v>35</v>
      </c>
      <c r="R10" s="14" t="s">
        <v>36</v>
      </c>
      <c r="S10" s="14" t="s">
        <v>37</v>
      </c>
      <c r="T10" s="14" t="s">
        <v>38</v>
      </c>
      <c r="U10" s="14" t="s">
        <v>69</v>
      </c>
      <c r="V10" s="22">
        <v>46120.543969907405</v>
      </c>
      <c r="W10" s="22">
        <v>46120.598611111112</v>
      </c>
      <c r="X10" s="15">
        <v>78.680000000000007</v>
      </c>
      <c r="Y10" s="22">
        <v>46120.543969907405</v>
      </c>
      <c r="Z10" s="15">
        <v>0</v>
      </c>
      <c r="AA10" s="15">
        <v>30</v>
      </c>
      <c r="AB10" s="15" t="s">
        <v>40</v>
      </c>
      <c r="AC10" s="22">
        <v>46120.547546296293</v>
      </c>
      <c r="AD10" s="22">
        <v>46120.598055555558</v>
      </c>
      <c r="AE10" s="15">
        <v>72.73</v>
      </c>
      <c r="AF10" s="15">
        <v>5.95</v>
      </c>
      <c r="AG10" s="15">
        <v>120</v>
      </c>
      <c r="AH10" s="15" t="s">
        <v>40</v>
      </c>
      <c r="AI10" s="14"/>
      <c r="AJ10" s="16">
        <v>129600</v>
      </c>
      <c r="AK10" s="1">
        <f t="shared" si="0"/>
        <v>129594.05</v>
      </c>
      <c r="AL10" s="2">
        <f t="shared" si="1"/>
        <v>99.995408950617275</v>
      </c>
      <c r="AM10" s="16">
        <f t="shared" si="2"/>
        <v>129527.27</v>
      </c>
      <c r="AN10" s="2">
        <f t="shared" si="3"/>
        <v>99.943881172839511</v>
      </c>
    </row>
    <row r="11" spans="1:40" x14ac:dyDescent="0.35">
      <c r="A11" s="14" t="s">
        <v>27</v>
      </c>
      <c r="B11" s="14" t="s">
        <v>28</v>
      </c>
      <c r="C11" s="14" t="s">
        <v>65</v>
      </c>
      <c r="D11" s="14" t="s">
        <v>533</v>
      </c>
      <c r="E11" s="14" t="s">
        <v>193</v>
      </c>
      <c r="F11" s="14" t="s">
        <v>32</v>
      </c>
      <c r="G11" s="14" t="s">
        <v>33</v>
      </c>
      <c r="H11" s="14" t="s">
        <v>966</v>
      </c>
      <c r="I11" s="14" t="s">
        <v>535</v>
      </c>
      <c r="J11" s="14" t="s">
        <v>535</v>
      </c>
      <c r="K11" s="14" t="s">
        <v>204</v>
      </c>
      <c r="L11" s="14" t="s">
        <v>973</v>
      </c>
      <c r="M11" s="14" t="s">
        <v>534</v>
      </c>
      <c r="N11" s="14" t="s">
        <v>979</v>
      </c>
      <c r="O11" s="14" t="s">
        <v>980</v>
      </c>
      <c r="P11" s="14"/>
      <c r="Q11" s="14" t="s">
        <v>196</v>
      </c>
      <c r="R11" s="14" t="s">
        <v>36</v>
      </c>
      <c r="S11" s="14" t="s">
        <v>37</v>
      </c>
      <c r="T11" s="14" t="s">
        <v>59</v>
      </c>
      <c r="U11" s="14" t="s">
        <v>536</v>
      </c>
      <c r="V11" s="22">
        <v>46120.6403125</v>
      </c>
      <c r="W11" s="22">
        <v>46120.698611111111</v>
      </c>
      <c r="X11" s="15">
        <v>83.95</v>
      </c>
      <c r="Y11" s="22">
        <v>46120.640324074076</v>
      </c>
      <c r="Z11" s="15">
        <v>0.02</v>
      </c>
      <c r="AA11" s="15">
        <v>30</v>
      </c>
      <c r="AB11" s="15" t="s">
        <v>40</v>
      </c>
      <c r="AC11" s="22">
        <v>46120.642789351848</v>
      </c>
      <c r="AD11" s="22">
        <v>46120.697847222225</v>
      </c>
      <c r="AE11" s="15">
        <v>79.28</v>
      </c>
      <c r="AF11" s="15">
        <v>4.67</v>
      </c>
      <c r="AG11" s="15">
        <v>120</v>
      </c>
      <c r="AH11" s="15" t="s">
        <v>40</v>
      </c>
      <c r="AI11" s="14"/>
      <c r="AJ11" s="16">
        <v>129600</v>
      </c>
      <c r="AK11" s="1">
        <f t="shared" si="0"/>
        <v>129595.33</v>
      </c>
      <c r="AL11" s="2">
        <f t="shared" si="1"/>
        <v>99.996396604938269</v>
      </c>
      <c r="AM11" s="16">
        <f t="shared" si="2"/>
        <v>129520.72</v>
      </c>
      <c r="AN11" s="2">
        <f t="shared" si="3"/>
        <v>99.93882716049383</v>
      </c>
    </row>
    <row r="12" spans="1:40" x14ac:dyDescent="0.35">
      <c r="A12" s="14" t="s">
        <v>27</v>
      </c>
      <c r="B12" s="14" t="s">
        <v>28</v>
      </c>
      <c r="C12" s="14" t="s">
        <v>65</v>
      </c>
      <c r="D12" s="14" t="s">
        <v>623</v>
      </c>
      <c r="E12" s="14" t="s">
        <v>193</v>
      </c>
      <c r="F12" s="14" t="s">
        <v>32</v>
      </c>
      <c r="G12" s="14" t="s">
        <v>33</v>
      </c>
      <c r="H12" s="14" t="s">
        <v>966</v>
      </c>
      <c r="I12" s="14" t="s">
        <v>372</v>
      </c>
      <c r="J12" s="14" t="s">
        <v>372</v>
      </c>
      <c r="K12" s="14" t="s">
        <v>204</v>
      </c>
      <c r="L12" s="14" t="s">
        <v>973</v>
      </c>
      <c r="M12" s="14" t="s">
        <v>371</v>
      </c>
      <c r="N12" s="14" t="s">
        <v>979</v>
      </c>
      <c r="O12" s="14" t="s">
        <v>980</v>
      </c>
      <c r="P12" s="14"/>
      <c r="Q12" s="14" t="s">
        <v>196</v>
      </c>
      <c r="R12" s="14" t="s">
        <v>36</v>
      </c>
      <c r="S12" s="14" t="s">
        <v>37</v>
      </c>
      <c r="T12" s="14" t="s">
        <v>64</v>
      </c>
      <c r="U12" s="14" t="s">
        <v>536</v>
      </c>
      <c r="V12" s="22">
        <v>46120.640324074076</v>
      </c>
      <c r="W12" s="22">
        <v>46120.694444444445</v>
      </c>
      <c r="X12" s="15">
        <v>77.930000000000007</v>
      </c>
      <c r="Y12" s="22">
        <v>46120.640324074076</v>
      </c>
      <c r="Z12" s="15">
        <v>0</v>
      </c>
      <c r="AA12" s="15">
        <v>30</v>
      </c>
      <c r="AB12" s="15" t="s">
        <v>40</v>
      </c>
      <c r="AC12" s="22">
        <v>46120.645057870373</v>
      </c>
      <c r="AD12" s="22">
        <v>46120.692789351851</v>
      </c>
      <c r="AE12" s="15">
        <v>68.73</v>
      </c>
      <c r="AF12" s="15">
        <v>9.1999999999999993</v>
      </c>
      <c r="AG12" s="15">
        <v>120</v>
      </c>
      <c r="AH12" s="15" t="s">
        <v>40</v>
      </c>
      <c r="AI12" s="14"/>
      <c r="AJ12" s="16">
        <v>129600</v>
      </c>
      <c r="AK12" s="1">
        <f t="shared" si="0"/>
        <v>129590.8</v>
      </c>
      <c r="AL12" s="2">
        <f t="shared" si="1"/>
        <v>99.992901234567896</v>
      </c>
      <c r="AM12" s="16">
        <f t="shared" si="2"/>
        <v>129531.27</v>
      </c>
      <c r="AN12" s="2">
        <f t="shared" si="3"/>
        <v>99.9469675925926</v>
      </c>
    </row>
    <row r="13" spans="1:40" x14ac:dyDescent="0.35">
      <c r="A13" s="14" t="s">
        <v>27</v>
      </c>
      <c r="B13" s="14" t="s">
        <v>28</v>
      </c>
      <c r="C13" s="14" t="s">
        <v>65</v>
      </c>
      <c r="D13" s="14" t="s">
        <v>78</v>
      </c>
      <c r="E13" s="14" t="s">
        <v>31</v>
      </c>
      <c r="F13" s="14" t="s">
        <v>32</v>
      </c>
      <c r="G13" s="14" t="s">
        <v>33</v>
      </c>
      <c r="H13" s="14" t="s">
        <v>966</v>
      </c>
      <c r="I13" s="14" t="s">
        <v>80</v>
      </c>
      <c r="J13" s="14" t="s">
        <v>80</v>
      </c>
      <c r="K13" s="14" t="s">
        <v>983</v>
      </c>
      <c r="L13" s="14" t="s">
        <v>967</v>
      </c>
      <c r="M13" s="14" t="s">
        <v>79</v>
      </c>
      <c r="N13" s="14" t="s">
        <v>971</v>
      </c>
      <c r="O13" s="14" t="s">
        <v>969</v>
      </c>
      <c r="P13" s="14"/>
      <c r="Q13" s="14" t="s">
        <v>35</v>
      </c>
      <c r="R13" s="14" t="s">
        <v>36</v>
      </c>
      <c r="S13" s="14" t="s">
        <v>37</v>
      </c>
      <c r="T13" s="14" t="s">
        <v>64</v>
      </c>
      <c r="U13" s="14" t="s">
        <v>69</v>
      </c>
      <c r="V13" s="22">
        <v>46120.64162037037</v>
      </c>
      <c r="W13" s="22">
        <v>46120.688194444447</v>
      </c>
      <c r="X13" s="15">
        <v>67.069999999999993</v>
      </c>
      <c r="Y13" s="22">
        <v>46120.641631944447</v>
      </c>
      <c r="Z13" s="15">
        <v>0.02</v>
      </c>
      <c r="AA13" s="15">
        <v>30</v>
      </c>
      <c r="AB13" s="15" t="s">
        <v>40</v>
      </c>
      <c r="AC13" s="22">
        <v>46120.643530092595</v>
      </c>
      <c r="AD13" s="22">
        <v>46120.683993055558</v>
      </c>
      <c r="AE13" s="15">
        <v>58.27</v>
      </c>
      <c r="AF13" s="15">
        <v>8.8000000000000007</v>
      </c>
      <c r="AG13" s="15">
        <v>120</v>
      </c>
      <c r="AH13" s="15" t="s">
        <v>40</v>
      </c>
      <c r="AI13" s="14"/>
      <c r="AJ13" s="16">
        <v>129600</v>
      </c>
      <c r="AK13" s="1">
        <f t="shared" si="0"/>
        <v>129591.2</v>
      </c>
      <c r="AL13" s="2">
        <f t="shared" si="1"/>
        <v>99.993209876543204</v>
      </c>
      <c r="AM13" s="16">
        <f t="shared" si="2"/>
        <v>129541.73</v>
      </c>
      <c r="AN13" s="2">
        <f t="shared" si="3"/>
        <v>99.955038580246907</v>
      </c>
    </row>
    <row r="14" spans="1:40" x14ac:dyDescent="0.35">
      <c r="A14" s="14" t="s">
        <v>27</v>
      </c>
      <c r="B14" s="14" t="s">
        <v>28</v>
      </c>
      <c r="C14" s="14" t="s">
        <v>65</v>
      </c>
      <c r="D14" s="14" t="s">
        <v>285</v>
      </c>
      <c r="E14" s="14" t="s">
        <v>193</v>
      </c>
      <c r="F14" s="14" t="s">
        <v>32</v>
      </c>
      <c r="G14" s="14" t="s">
        <v>33</v>
      </c>
      <c r="H14" s="14" t="s">
        <v>966</v>
      </c>
      <c r="I14" s="14" t="s">
        <v>287</v>
      </c>
      <c r="J14" s="14" t="s">
        <v>287</v>
      </c>
      <c r="K14" s="14" t="s">
        <v>204</v>
      </c>
      <c r="L14" s="14" t="s">
        <v>973</v>
      </c>
      <c r="M14" s="14" t="s">
        <v>286</v>
      </c>
      <c r="N14" s="14" t="s">
        <v>979</v>
      </c>
      <c r="O14" s="14" t="s">
        <v>980</v>
      </c>
      <c r="P14" s="14"/>
      <c r="Q14" s="14" t="s">
        <v>196</v>
      </c>
      <c r="R14" s="14" t="s">
        <v>36</v>
      </c>
      <c r="S14" s="14" t="s">
        <v>37</v>
      </c>
      <c r="T14" s="14" t="s">
        <v>64</v>
      </c>
      <c r="U14" s="14" t="s">
        <v>288</v>
      </c>
      <c r="V14" s="22">
        <v>46120.668969907405</v>
      </c>
      <c r="W14" s="22">
        <v>46120.712500000001</v>
      </c>
      <c r="X14" s="15">
        <v>62.68</v>
      </c>
      <c r="Y14" s="22">
        <v>46120.668981481482</v>
      </c>
      <c r="Z14" s="15">
        <v>0.02</v>
      </c>
      <c r="AA14" s="15">
        <v>30</v>
      </c>
      <c r="AB14" s="15" t="s">
        <v>40</v>
      </c>
      <c r="AC14" s="22">
        <v>46120.678472222222</v>
      </c>
      <c r="AD14" s="22">
        <v>46120.711226851854</v>
      </c>
      <c r="AE14" s="15">
        <v>47.17</v>
      </c>
      <c r="AF14" s="15">
        <v>15.52</v>
      </c>
      <c r="AG14" s="15">
        <v>120</v>
      </c>
      <c r="AH14" s="15" t="s">
        <v>40</v>
      </c>
      <c r="AI14" s="14"/>
      <c r="AJ14" s="16">
        <v>129600</v>
      </c>
      <c r="AK14" s="1">
        <f t="shared" si="0"/>
        <v>129584.48</v>
      </c>
      <c r="AL14" s="2">
        <f t="shared" si="1"/>
        <v>99.988024691358021</v>
      </c>
      <c r="AM14" s="16">
        <f t="shared" si="2"/>
        <v>129552.83</v>
      </c>
      <c r="AN14" s="2">
        <f t="shared" si="3"/>
        <v>99.963603395061725</v>
      </c>
    </row>
    <row r="15" spans="1:40" x14ac:dyDescent="0.35">
      <c r="A15" s="14" t="s">
        <v>27</v>
      </c>
      <c r="B15" s="14" t="s">
        <v>28</v>
      </c>
      <c r="C15" s="14" t="s">
        <v>65</v>
      </c>
      <c r="D15" s="14" t="s">
        <v>741</v>
      </c>
      <c r="E15" s="14" t="s">
        <v>193</v>
      </c>
      <c r="F15" s="14" t="s">
        <v>32</v>
      </c>
      <c r="G15" s="14" t="s">
        <v>33</v>
      </c>
      <c r="H15" s="14" t="s">
        <v>966</v>
      </c>
      <c r="I15" s="14" t="s">
        <v>484</v>
      </c>
      <c r="J15" s="14" t="s">
        <v>484</v>
      </c>
      <c r="K15" s="14" t="s">
        <v>204</v>
      </c>
      <c r="L15" s="14" t="s">
        <v>973</v>
      </c>
      <c r="M15" s="14" t="s">
        <v>483</v>
      </c>
      <c r="N15" s="14" t="s">
        <v>979</v>
      </c>
      <c r="O15" s="14" t="s">
        <v>980</v>
      </c>
      <c r="P15" s="14"/>
      <c r="Q15" s="14" t="s">
        <v>196</v>
      </c>
      <c r="R15" s="14" t="s">
        <v>36</v>
      </c>
      <c r="S15" s="14" t="s">
        <v>37</v>
      </c>
      <c r="T15" s="14" t="s">
        <v>64</v>
      </c>
      <c r="U15" s="14" t="s">
        <v>536</v>
      </c>
      <c r="V15" s="22">
        <v>46120.668969907405</v>
      </c>
      <c r="W15" s="22">
        <v>46120.711111111108</v>
      </c>
      <c r="X15" s="15">
        <v>60.68</v>
      </c>
      <c r="Y15" s="22">
        <v>46120.668981481482</v>
      </c>
      <c r="Z15" s="15">
        <v>0.02</v>
      </c>
      <c r="AA15" s="15">
        <v>30</v>
      </c>
      <c r="AB15" s="15" t="s">
        <v>40</v>
      </c>
      <c r="AC15" s="22">
        <v>46120.679097222222</v>
      </c>
      <c r="AD15" s="22">
        <v>46120.710347222222</v>
      </c>
      <c r="AE15" s="15">
        <v>45</v>
      </c>
      <c r="AF15" s="15">
        <v>15.68</v>
      </c>
      <c r="AG15" s="15">
        <v>120</v>
      </c>
      <c r="AH15" s="15" t="s">
        <v>40</v>
      </c>
      <c r="AI15" s="14"/>
      <c r="AJ15" s="16">
        <v>129600</v>
      </c>
      <c r="AK15" s="1">
        <f t="shared" si="0"/>
        <v>129584.32000000001</v>
      </c>
      <c r="AL15" s="2">
        <f t="shared" si="1"/>
        <v>99.987901234567914</v>
      </c>
      <c r="AM15" s="16">
        <f t="shared" si="2"/>
        <v>129555</v>
      </c>
      <c r="AN15" s="2">
        <f t="shared" si="3"/>
        <v>99.965277777777771</v>
      </c>
    </row>
    <row r="16" spans="1:40" x14ac:dyDescent="0.35">
      <c r="A16" s="14" t="s">
        <v>27</v>
      </c>
      <c r="B16" s="14" t="s">
        <v>28</v>
      </c>
      <c r="C16" s="14" t="s">
        <v>127</v>
      </c>
      <c r="D16" s="14" t="s">
        <v>576</v>
      </c>
      <c r="E16" s="14" t="s">
        <v>218</v>
      </c>
      <c r="F16" s="14" t="s">
        <v>32</v>
      </c>
      <c r="G16" s="14" t="s">
        <v>33</v>
      </c>
      <c r="H16" s="14" t="s">
        <v>963</v>
      </c>
      <c r="I16" s="14" t="s">
        <v>103</v>
      </c>
      <c r="J16" s="14" t="s">
        <v>103</v>
      </c>
      <c r="K16" s="14" t="s">
        <v>976</v>
      </c>
      <c r="L16" s="14" t="s">
        <v>967</v>
      </c>
      <c r="M16" s="14" t="s">
        <v>102</v>
      </c>
      <c r="N16" s="14" t="s">
        <v>977</v>
      </c>
      <c r="O16" s="14" t="s">
        <v>978</v>
      </c>
      <c r="P16" s="14"/>
      <c r="Q16" s="14" t="s">
        <v>196</v>
      </c>
      <c r="R16" s="14" t="s">
        <v>36</v>
      </c>
      <c r="S16" s="14" t="s">
        <v>221</v>
      </c>
      <c r="T16" s="14" t="s">
        <v>221</v>
      </c>
      <c r="U16" s="14" t="s">
        <v>577</v>
      </c>
      <c r="V16" s="22">
        <v>46122.698333333334</v>
      </c>
      <c r="W16" s="22">
        <v>46125.506944444445</v>
      </c>
      <c r="X16" s="15">
        <v>4044.4</v>
      </c>
      <c r="Y16" s="22">
        <v>46122.698344907411</v>
      </c>
      <c r="Z16" s="15">
        <v>0.02</v>
      </c>
      <c r="AA16" s="15">
        <v>30</v>
      </c>
      <c r="AB16" s="15" t="s">
        <v>40</v>
      </c>
      <c r="AC16" s="22">
        <v>46122.700520833336</v>
      </c>
      <c r="AD16" s="22">
        <v>46125.50277777778</v>
      </c>
      <c r="AE16" s="15">
        <v>4035.25</v>
      </c>
      <c r="AF16" s="15">
        <v>9.15</v>
      </c>
      <c r="AG16" s="15">
        <v>120</v>
      </c>
      <c r="AH16" s="15" t="s">
        <v>40</v>
      </c>
      <c r="AI16" s="14"/>
      <c r="AJ16" s="16">
        <v>129600</v>
      </c>
      <c r="AK16" s="1">
        <f t="shared" si="0"/>
        <v>129590.85</v>
      </c>
      <c r="AL16" s="2">
        <f t="shared" si="1"/>
        <v>99.992939814814818</v>
      </c>
      <c r="AM16" s="16">
        <f t="shared" si="2"/>
        <v>125564.75</v>
      </c>
      <c r="AN16" s="2">
        <f t="shared" si="3"/>
        <v>96.886381172839506</v>
      </c>
    </row>
    <row r="17" spans="1:40" x14ac:dyDescent="0.35">
      <c r="A17" s="14" t="s">
        <v>27</v>
      </c>
      <c r="B17" s="14" t="s">
        <v>28</v>
      </c>
      <c r="C17" s="14" t="s">
        <v>29</v>
      </c>
      <c r="D17" s="14" t="s">
        <v>224</v>
      </c>
      <c r="E17" s="14" t="s">
        <v>225</v>
      </c>
      <c r="F17" s="14" t="s">
        <v>32</v>
      </c>
      <c r="G17" s="14" t="s">
        <v>33</v>
      </c>
      <c r="H17" s="14" t="s">
        <v>984</v>
      </c>
      <c r="I17" s="14" t="s">
        <v>226</v>
      </c>
      <c r="J17" s="14" t="s">
        <v>44</v>
      </c>
      <c r="K17" s="14" t="s">
        <v>985</v>
      </c>
      <c r="L17" s="14" t="s">
        <v>967</v>
      </c>
      <c r="M17" s="14" t="s">
        <v>43</v>
      </c>
      <c r="N17" s="14" t="s">
        <v>986</v>
      </c>
      <c r="O17" s="14" t="s">
        <v>987</v>
      </c>
      <c r="P17" s="14"/>
      <c r="Q17" s="14" t="s">
        <v>196</v>
      </c>
      <c r="R17" s="14" t="s">
        <v>36</v>
      </c>
      <c r="S17" s="14" t="s">
        <v>97</v>
      </c>
      <c r="T17" s="14" t="s">
        <v>227</v>
      </c>
      <c r="U17" s="14" t="s">
        <v>228</v>
      </c>
      <c r="V17" s="22">
        <v>46124.608287037037</v>
      </c>
      <c r="W17" s="22">
        <v>46128.529166666667</v>
      </c>
      <c r="X17" s="15">
        <v>5646.07</v>
      </c>
      <c r="Y17" s="22">
        <v>46124.608287037037</v>
      </c>
      <c r="Z17" s="15">
        <v>0</v>
      </c>
      <c r="AA17" s="15">
        <v>30</v>
      </c>
      <c r="AB17" s="15" t="s">
        <v>40</v>
      </c>
      <c r="AC17" s="22">
        <v>46124.610914351855</v>
      </c>
      <c r="AD17" s="22">
        <v>46128.525289351855</v>
      </c>
      <c r="AE17" s="15">
        <v>5636.7</v>
      </c>
      <c r="AF17" s="15">
        <v>9.3699999999999992</v>
      </c>
      <c r="AG17" s="15">
        <v>120</v>
      </c>
      <c r="AH17" s="15" t="s">
        <v>40</v>
      </c>
      <c r="AI17" s="14"/>
      <c r="AJ17" s="16">
        <v>129600</v>
      </c>
      <c r="AK17" s="1">
        <f t="shared" si="0"/>
        <v>129590.63</v>
      </c>
      <c r="AL17" s="2">
        <f t="shared" si="1"/>
        <v>99.992770061728393</v>
      </c>
      <c r="AM17" s="16">
        <f t="shared" si="2"/>
        <v>123963.3</v>
      </c>
      <c r="AN17" s="2">
        <f t="shared" si="3"/>
        <v>95.650694444444454</v>
      </c>
    </row>
    <row r="18" spans="1:40" x14ac:dyDescent="0.35">
      <c r="A18" s="14" t="s">
        <v>27</v>
      </c>
      <c r="B18" s="14" t="s">
        <v>28</v>
      </c>
      <c r="C18" s="14" t="s">
        <v>73</v>
      </c>
      <c r="D18" s="14" t="s">
        <v>473</v>
      </c>
      <c r="E18" s="14" t="s">
        <v>193</v>
      </c>
      <c r="F18" s="14" t="s">
        <v>32</v>
      </c>
      <c r="G18" s="14" t="s">
        <v>33</v>
      </c>
      <c r="H18" s="14" t="s">
        <v>966</v>
      </c>
      <c r="I18" s="14" t="s">
        <v>475</v>
      </c>
      <c r="J18" s="14" t="s">
        <v>475</v>
      </c>
      <c r="K18" s="14" t="s">
        <v>204</v>
      </c>
      <c r="L18" s="14" t="s">
        <v>973</v>
      </c>
      <c r="M18" s="14" t="s">
        <v>474</v>
      </c>
      <c r="N18" s="14" t="s">
        <v>979</v>
      </c>
      <c r="O18" s="14" t="s">
        <v>980</v>
      </c>
      <c r="P18" s="14"/>
      <c r="Q18" s="14" t="s">
        <v>196</v>
      </c>
      <c r="R18" s="14" t="s">
        <v>36</v>
      </c>
      <c r="S18" s="14" t="s">
        <v>37</v>
      </c>
      <c r="T18" s="14" t="s">
        <v>77</v>
      </c>
      <c r="U18" s="14" t="s">
        <v>64</v>
      </c>
      <c r="V18" s="22">
        <v>46125.701979166668</v>
      </c>
      <c r="W18" s="22">
        <v>46125.765972222223</v>
      </c>
      <c r="X18" s="15">
        <v>92.15</v>
      </c>
      <c r="Y18" s="22">
        <v>46125.701979166668</v>
      </c>
      <c r="Z18" s="15">
        <v>0</v>
      </c>
      <c r="AA18" s="15">
        <v>30</v>
      </c>
      <c r="AB18" s="15" t="s">
        <v>40</v>
      </c>
      <c r="AC18" s="22">
        <v>46125.706087962964</v>
      </c>
      <c r="AD18" s="22">
        <v>46125.764548611114</v>
      </c>
      <c r="AE18" s="15">
        <v>84.18</v>
      </c>
      <c r="AF18" s="15">
        <v>7.97</v>
      </c>
      <c r="AG18" s="15">
        <v>120</v>
      </c>
      <c r="AH18" s="15" t="s">
        <v>40</v>
      </c>
      <c r="AI18" s="14"/>
      <c r="AJ18" s="16">
        <v>129600</v>
      </c>
      <c r="AK18" s="1">
        <f t="shared" si="0"/>
        <v>129592.03</v>
      </c>
      <c r="AL18" s="2">
        <f t="shared" si="1"/>
        <v>99.993850308641967</v>
      </c>
      <c r="AM18" s="16">
        <f t="shared" si="2"/>
        <v>129515.82</v>
      </c>
      <c r="AN18" s="2">
        <f t="shared" si="3"/>
        <v>99.935046296296306</v>
      </c>
    </row>
    <row r="19" spans="1:40" x14ac:dyDescent="0.35">
      <c r="A19" s="14" t="s">
        <v>27</v>
      </c>
      <c r="B19" s="14" t="s">
        <v>28</v>
      </c>
      <c r="C19" s="14" t="s">
        <v>73</v>
      </c>
      <c r="D19" s="14" t="s">
        <v>736</v>
      </c>
      <c r="E19" s="14" t="s">
        <v>193</v>
      </c>
      <c r="F19" s="14" t="s">
        <v>32</v>
      </c>
      <c r="G19" s="14" t="s">
        <v>33</v>
      </c>
      <c r="H19" s="14" t="s">
        <v>966</v>
      </c>
      <c r="I19" s="14" t="s">
        <v>738</v>
      </c>
      <c r="J19" s="14" t="s">
        <v>738</v>
      </c>
      <c r="K19" s="14" t="s">
        <v>204</v>
      </c>
      <c r="L19" s="14" t="s">
        <v>973</v>
      </c>
      <c r="M19" s="14" t="s">
        <v>737</v>
      </c>
      <c r="N19" s="14" t="s">
        <v>979</v>
      </c>
      <c r="O19" s="14" t="s">
        <v>980</v>
      </c>
      <c r="P19" s="14"/>
      <c r="Q19" s="14" t="s">
        <v>196</v>
      </c>
      <c r="R19" s="14" t="s">
        <v>36</v>
      </c>
      <c r="S19" s="14" t="s">
        <v>37</v>
      </c>
      <c r="T19" s="14" t="s">
        <v>77</v>
      </c>
      <c r="U19" s="14" t="s">
        <v>59</v>
      </c>
      <c r="V19" s="22">
        <v>46125.701979166668</v>
      </c>
      <c r="W19" s="22">
        <v>46125.765277777777</v>
      </c>
      <c r="X19" s="15">
        <v>91.15</v>
      </c>
      <c r="Y19" s="22">
        <v>46125.701990740738</v>
      </c>
      <c r="Z19" s="15">
        <v>0.02</v>
      </c>
      <c r="AA19" s="15">
        <v>30</v>
      </c>
      <c r="AB19" s="15" t="s">
        <v>40</v>
      </c>
      <c r="AC19" s="22">
        <v>46125.706273148149</v>
      </c>
      <c r="AD19" s="22">
        <v>46125.763958333337</v>
      </c>
      <c r="AE19" s="15">
        <v>83.07</v>
      </c>
      <c r="AF19" s="15">
        <v>8.08</v>
      </c>
      <c r="AG19" s="15">
        <v>120</v>
      </c>
      <c r="AH19" s="15" t="s">
        <v>40</v>
      </c>
      <c r="AI19" s="14"/>
      <c r="AJ19" s="16">
        <v>129600</v>
      </c>
      <c r="AK19" s="1">
        <f t="shared" si="0"/>
        <v>129591.92</v>
      </c>
      <c r="AL19" s="2">
        <f t="shared" si="1"/>
        <v>99.993765432098769</v>
      </c>
      <c r="AM19" s="16">
        <f t="shared" si="2"/>
        <v>129516.93</v>
      </c>
      <c r="AN19" s="2">
        <f t="shared" si="3"/>
        <v>99.93590277777777</v>
      </c>
    </row>
    <row r="20" spans="1:40" x14ac:dyDescent="0.35">
      <c r="A20" s="14" t="s">
        <v>27</v>
      </c>
      <c r="B20" s="14" t="s">
        <v>28</v>
      </c>
      <c r="C20" s="14" t="s">
        <v>73</v>
      </c>
      <c r="D20" s="14" t="s">
        <v>159</v>
      </c>
      <c r="E20" s="14" t="s">
        <v>31</v>
      </c>
      <c r="F20" s="14" t="s">
        <v>32</v>
      </c>
      <c r="G20" s="14" t="s">
        <v>33</v>
      </c>
      <c r="H20" s="14" t="s">
        <v>966</v>
      </c>
      <c r="I20" s="14" t="s">
        <v>161</v>
      </c>
      <c r="J20" s="14" t="s">
        <v>161</v>
      </c>
      <c r="K20" s="14" t="s">
        <v>988</v>
      </c>
      <c r="L20" s="14" t="s">
        <v>967</v>
      </c>
      <c r="M20" s="14" t="s">
        <v>160</v>
      </c>
      <c r="N20" s="14" t="s">
        <v>971</v>
      </c>
      <c r="O20" s="14" t="s">
        <v>982</v>
      </c>
      <c r="P20" s="14"/>
      <c r="Q20" s="14" t="s">
        <v>35</v>
      </c>
      <c r="R20" s="14" t="s">
        <v>36</v>
      </c>
      <c r="S20" s="14" t="s">
        <v>37</v>
      </c>
      <c r="T20" s="14" t="s">
        <v>162</v>
      </c>
      <c r="U20" s="14" t="s">
        <v>59</v>
      </c>
      <c r="V20" s="22">
        <v>46125.703310185185</v>
      </c>
      <c r="W20" s="22">
        <v>46125.76666666667</v>
      </c>
      <c r="X20" s="15">
        <v>91.23</v>
      </c>
      <c r="Y20" s="22">
        <v>46125.703310185185</v>
      </c>
      <c r="Z20" s="15">
        <v>0</v>
      </c>
      <c r="AA20" s="15">
        <v>30</v>
      </c>
      <c r="AB20" s="15" t="s">
        <v>40</v>
      </c>
      <c r="AC20" s="22">
        <v>46125.705185185187</v>
      </c>
      <c r="AD20" s="22">
        <v>46125.765266203707</v>
      </c>
      <c r="AE20" s="15">
        <v>86.52</v>
      </c>
      <c r="AF20" s="15">
        <v>4.72</v>
      </c>
      <c r="AG20" s="15">
        <v>120</v>
      </c>
      <c r="AH20" s="15" t="s">
        <v>40</v>
      </c>
      <c r="AI20" s="14"/>
      <c r="AJ20" s="16">
        <v>129600</v>
      </c>
      <c r="AK20" s="1">
        <f t="shared" si="0"/>
        <v>129595.28</v>
      </c>
      <c r="AL20" s="2">
        <f t="shared" si="1"/>
        <v>99.996358024691361</v>
      </c>
      <c r="AM20" s="16">
        <f t="shared" si="2"/>
        <v>129513.48</v>
      </c>
      <c r="AN20" s="2">
        <f t="shared" si="3"/>
        <v>99.933240740740743</v>
      </c>
    </row>
    <row r="21" spans="1:40" x14ac:dyDescent="0.35">
      <c r="A21" s="14" t="s">
        <v>27</v>
      </c>
      <c r="B21" s="14" t="s">
        <v>28</v>
      </c>
      <c r="C21" s="14" t="s">
        <v>73</v>
      </c>
      <c r="D21" s="14" t="s">
        <v>74</v>
      </c>
      <c r="E21" s="14" t="s">
        <v>31</v>
      </c>
      <c r="F21" s="14" t="s">
        <v>32</v>
      </c>
      <c r="G21" s="14" t="s">
        <v>33</v>
      </c>
      <c r="H21" s="14" t="s">
        <v>966</v>
      </c>
      <c r="I21" s="14" t="s">
        <v>76</v>
      </c>
      <c r="J21" s="14" t="s">
        <v>76</v>
      </c>
      <c r="K21" s="14" t="s">
        <v>988</v>
      </c>
      <c r="L21" s="14" t="s">
        <v>967</v>
      </c>
      <c r="M21" s="14" t="s">
        <v>75</v>
      </c>
      <c r="N21" s="14" t="s">
        <v>971</v>
      </c>
      <c r="O21" s="14" t="s">
        <v>982</v>
      </c>
      <c r="P21" s="14"/>
      <c r="Q21" s="14" t="s">
        <v>35</v>
      </c>
      <c r="R21" s="14" t="s">
        <v>36</v>
      </c>
      <c r="S21" s="14" t="s">
        <v>37</v>
      </c>
      <c r="T21" s="14" t="s">
        <v>77</v>
      </c>
      <c r="U21" s="14" t="s">
        <v>59</v>
      </c>
      <c r="V21" s="22">
        <v>46125.703425925924</v>
      </c>
      <c r="W21" s="22">
        <v>46125.767361111109</v>
      </c>
      <c r="X21" s="15">
        <v>92.07</v>
      </c>
      <c r="Y21" s="22">
        <v>46125.7034375</v>
      </c>
      <c r="Z21" s="15">
        <v>0.02</v>
      </c>
      <c r="AA21" s="15">
        <v>30</v>
      </c>
      <c r="AB21" s="15" t="s">
        <v>40</v>
      </c>
      <c r="AC21" s="22">
        <v>46125.705891203703</v>
      </c>
      <c r="AD21" s="22">
        <v>46125.765925925924</v>
      </c>
      <c r="AE21" s="15">
        <v>86.45</v>
      </c>
      <c r="AF21" s="15">
        <v>5.62</v>
      </c>
      <c r="AG21" s="15">
        <v>120</v>
      </c>
      <c r="AH21" s="15" t="s">
        <v>40</v>
      </c>
      <c r="AI21" s="14"/>
      <c r="AJ21" s="16">
        <v>129600</v>
      </c>
      <c r="AK21" s="1">
        <f t="shared" si="0"/>
        <v>129594.38</v>
      </c>
      <c r="AL21" s="2">
        <f t="shared" si="1"/>
        <v>99.995663580246912</v>
      </c>
      <c r="AM21" s="16">
        <f t="shared" si="2"/>
        <v>129513.55</v>
      </c>
      <c r="AN21" s="2">
        <f t="shared" si="3"/>
        <v>99.933294753086415</v>
      </c>
    </row>
    <row r="22" spans="1:40" x14ac:dyDescent="0.35">
      <c r="A22" s="14" t="s">
        <v>27</v>
      </c>
      <c r="B22" s="14" t="s">
        <v>28</v>
      </c>
      <c r="C22" s="14" t="s">
        <v>29</v>
      </c>
      <c r="D22" s="14" t="s">
        <v>134</v>
      </c>
      <c r="E22" s="14" t="s">
        <v>31</v>
      </c>
      <c r="F22" s="14" t="s">
        <v>32</v>
      </c>
      <c r="G22" s="14" t="s">
        <v>33</v>
      </c>
      <c r="H22" s="14" t="s">
        <v>966</v>
      </c>
      <c r="I22" s="14" t="s">
        <v>136</v>
      </c>
      <c r="J22" s="14" t="s">
        <v>136</v>
      </c>
      <c r="K22" s="14" t="s">
        <v>983</v>
      </c>
      <c r="L22" s="14" t="s">
        <v>967</v>
      </c>
      <c r="M22" s="14" t="s">
        <v>135</v>
      </c>
      <c r="N22" s="14" t="s">
        <v>971</v>
      </c>
      <c r="O22" s="14" t="s">
        <v>969</v>
      </c>
      <c r="P22" s="14"/>
      <c r="Q22" s="14" t="s">
        <v>35</v>
      </c>
      <c r="R22" s="14" t="s">
        <v>36</v>
      </c>
      <c r="S22" s="14" t="s">
        <v>37</v>
      </c>
      <c r="T22" s="14" t="s">
        <v>59</v>
      </c>
      <c r="U22" s="14" t="s">
        <v>59</v>
      </c>
      <c r="V22" s="22">
        <v>46128.319467592592</v>
      </c>
      <c r="W22" s="22">
        <v>46128.532638888886</v>
      </c>
      <c r="X22" s="15">
        <v>306.97000000000003</v>
      </c>
      <c r="Y22" s="22">
        <v>46128.319467592592</v>
      </c>
      <c r="Z22" s="15">
        <v>0</v>
      </c>
      <c r="AA22" s="15">
        <v>30</v>
      </c>
      <c r="AB22" s="15" t="s">
        <v>40</v>
      </c>
      <c r="AC22" s="22">
        <v>46128.325023148151</v>
      </c>
      <c r="AD22" s="22">
        <v>46128.531759259262</v>
      </c>
      <c r="AE22" s="15">
        <v>297.7</v>
      </c>
      <c r="AF22" s="15">
        <v>9.27</v>
      </c>
      <c r="AG22" s="15">
        <v>120</v>
      </c>
      <c r="AH22" s="15" t="s">
        <v>40</v>
      </c>
      <c r="AI22" s="14"/>
      <c r="AJ22" s="16">
        <v>129600</v>
      </c>
      <c r="AK22" s="1">
        <f t="shared" si="0"/>
        <v>129590.73</v>
      </c>
      <c r="AL22" s="2">
        <f t="shared" si="1"/>
        <v>99.99284722222221</v>
      </c>
      <c r="AM22" s="16">
        <f t="shared" si="2"/>
        <v>129302.3</v>
      </c>
      <c r="AN22" s="2">
        <f t="shared" si="3"/>
        <v>99.770293209876542</v>
      </c>
    </row>
    <row r="23" spans="1:40" x14ac:dyDescent="0.35">
      <c r="A23" s="14" t="s">
        <v>27</v>
      </c>
      <c r="B23" s="14" t="s">
        <v>28</v>
      </c>
      <c r="C23" s="14" t="s">
        <v>29</v>
      </c>
      <c r="D23" s="14" t="s">
        <v>164</v>
      </c>
      <c r="E23" s="14" t="s">
        <v>31</v>
      </c>
      <c r="F23" s="14" t="s">
        <v>32</v>
      </c>
      <c r="G23" s="14" t="s">
        <v>33</v>
      </c>
      <c r="H23" s="14" t="s">
        <v>966</v>
      </c>
      <c r="I23" s="14" t="s">
        <v>166</v>
      </c>
      <c r="J23" s="14" t="s">
        <v>166</v>
      </c>
      <c r="K23" s="14" t="s">
        <v>989</v>
      </c>
      <c r="L23" s="14" t="s">
        <v>967</v>
      </c>
      <c r="M23" s="14" t="s">
        <v>165</v>
      </c>
      <c r="N23" s="14" t="s">
        <v>971</v>
      </c>
      <c r="O23" s="14" t="s">
        <v>982</v>
      </c>
      <c r="P23" s="14"/>
      <c r="Q23" s="14" t="s">
        <v>35</v>
      </c>
      <c r="R23" s="14" t="s">
        <v>36</v>
      </c>
      <c r="S23" s="14" t="s">
        <v>37</v>
      </c>
      <c r="T23" s="14" t="s">
        <v>59</v>
      </c>
      <c r="U23" s="14" t="s">
        <v>38</v>
      </c>
      <c r="V23" s="22">
        <v>46128.319664351853</v>
      </c>
      <c r="W23" s="22">
        <v>46128.533333333333</v>
      </c>
      <c r="X23" s="15">
        <v>307.68</v>
      </c>
      <c r="Y23" s="22">
        <v>46128.319664351853</v>
      </c>
      <c r="Z23" s="15">
        <v>0</v>
      </c>
      <c r="AA23" s="15">
        <v>30</v>
      </c>
      <c r="AB23" s="15" t="s">
        <v>40</v>
      </c>
      <c r="AC23" s="22">
        <v>46128.32472222222</v>
      </c>
      <c r="AD23" s="22">
        <v>46128.532465277778</v>
      </c>
      <c r="AE23" s="15">
        <v>299.14999999999998</v>
      </c>
      <c r="AF23" s="15">
        <v>8.5299999999999994</v>
      </c>
      <c r="AG23" s="15">
        <v>120</v>
      </c>
      <c r="AH23" s="15" t="s">
        <v>40</v>
      </c>
      <c r="AI23" s="14"/>
      <c r="AJ23" s="16">
        <v>129600</v>
      </c>
      <c r="AK23" s="1">
        <f t="shared" si="0"/>
        <v>129591.47</v>
      </c>
      <c r="AL23" s="2">
        <f t="shared" si="1"/>
        <v>99.993418209876538</v>
      </c>
      <c r="AM23" s="16">
        <f t="shared" si="2"/>
        <v>129300.85</v>
      </c>
      <c r="AN23" s="2">
        <f t="shared" si="3"/>
        <v>99.769174382716059</v>
      </c>
    </row>
    <row r="24" spans="1:40" x14ac:dyDescent="0.35">
      <c r="A24" s="14" t="s">
        <v>27</v>
      </c>
      <c r="B24" s="14" t="s">
        <v>28</v>
      </c>
      <c r="C24" s="14" t="s">
        <v>41</v>
      </c>
      <c r="D24" s="14" t="s">
        <v>863</v>
      </c>
      <c r="E24" s="14" t="s">
        <v>864</v>
      </c>
      <c r="F24" s="14" t="s">
        <v>32</v>
      </c>
      <c r="G24" s="14" t="s">
        <v>33</v>
      </c>
      <c r="H24" s="14" t="s">
        <v>966</v>
      </c>
      <c r="I24" s="14" t="s">
        <v>166</v>
      </c>
      <c r="J24" s="14" t="s">
        <v>166</v>
      </c>
      <c r="K24" s="14" t="s">
        <v>989</v>
      </c>
      <c r="L24" s="14" t="s">
        <v>967</v>
      </c>
      <c r="M24" s="14" t="s">
        <v>165</v>
      </c>
      <c r="N24" s="14" t="s">
        <v>971</v>
      </c>
      <c r="O24" s="14" t="s">
        <v>982</v>
      </c>
      <c r="P24" s="14"/>
      <c r="Q24" s="14" t="s">
        <v>839</v>
      </c>
      <c r="R24" s="14" t="s">
        <v>36</v>
      </c>
      <c r="S24" s="14" t="s">
        <v>104</v>
      </c>
      <c r="T24" s="14" t="s">
        <v>865</v>
      </c>
      <c r="U24" s="14" t="s">
        <v>234</v>
      </c>
      <c r="V24" s="22">
        <v>46130.683576388888</v>
      </c>
      <c r="W24" s="22">
        <v>46175.393750000003</v>
      </c>
      <c r="X24" s="15">
        <v>64382.65</v>
      </c>
      <c r="Y24" s="22">
        <v>46130.683576388888</v>
      </c>
      <c r="Z24" s="15">
        <v>0</v>
      </c>
      <c r="AA24" s="15">
        <v>30</v>
      </c>
      <c r="AB24" s="15" t="s">
        <v>40</v>
      </c>
      <c r="AC24" s="22">
        <v>46130.68445601852</v>
      </c>
      <c r="AD24" s="22">
        <v>46175.391909722224</v>
      </c>
      <c r="AE24" s="15">
        <v>64378.73</v>
      </c>
      <c r="AF24" s="15">
        <v>3.92</v>
      </c>
      <c r="AG24" s="15">
        <v>1440</v>
      </c>
      <c r="AH24" s="15" t="s">
        <v>40</v>
      </c>
      <c r="AI24" s="14"/>
      <c r="AJ24" s="16">
        <v>129600</v>
      </c>
      <c r="AK24" s="1">
        <f t="shared" si="0"/>
        <v>129596.08</v>
      </c>
      <c r="AL24" s="2">
        <f t="shared" si="1"/>
        <v>99.996975308641979</v>
      </c>
      <c r="AM24" s="16">
        <f t="shared" si="2"/>
        <v>65221.27</v>
      </c>
      <c r="AN24" s="2">
        <f t="shared" si="3"/>
        <v>50.325054012345674</v>
      </c>
    </row>
    <row r="25" spans="1:40" x14ac:dyDescent="0.35">
      <c r="A25" s="14" t="s">
        <v>27</v>
      </c>
      <c r="B25" s="14" t="s">
        <v>28</v>
      </c>
      <c r="C25" s="14" t="s">
        <v>73</v>
      </c>
      <c r="D25" s="14" t="s">
        <v>633</v>
      </c>
      <c r="E25" s="14" t="s">
        <v>193</v>
      </c>
      <c r="F25" s="14" t="s">
        <v>32</v>
      </c>
      <c r="G25" s="14" t="s">
        <v>33</v>
      </c>
      <c r="H25" s="14" t="s">
        <v>964</v>
      </c>
      <c r="I25" s="14" t="s">
        <v>635</v>
      </c>
      <c r="J25" s="14" t="s">
        <v>635</v>
      </c>
      <c r="K25" s="14" t="s">
        <v>204</v>
      </c>
      <c r="L25" s="14" t="s">
        <v>973</v>
      </c>
      <c r="M25" s="14" t="s">
        <v>634</v>
      </c>
      <c r="N25" s="14" t="s">
        <v>990</v>
      </c>
      <c r="O25" s="14" t="s">
        <v>991</v>
      </c>
      <c r="P25" s="14"/>
      <c r="Q25" s="14" t="s">
        <v>196</v>
      </c>
      <c r="R25" s="14" t="s">
        <v>36</v>
      </c>
      <c r="S25" s="14" t="s">
        <v>37</v>
      </c>
      <c r="T25" s="14" t="s">
        <v>59</v>
      </c>
      <c r="U25" s="14" t="s">
        <v>59</v>
      </c>
      <c r="V25" s="22">
        <v>46130.713159722225</v>
      </c>
      <c r="W25" s="22">
        <v>46130.847916666666</v>
      </c>
      <c r="X25" s="15">
        <v>194.05</v>
      </c>
      <c r="Y25" s="22">
        <v>46130.713159722225</v>
      </c>
      <c r="Z25" s="15">
        <v>0</v>
      </c>
      <c r="AA25" s="15">
        <v>30</v>
      </c>
      <c r="AB25" s="15" t="s">
        <v>40</v>
      </c>
      <c r="AC25" s="22">
        <v>46130.717499999999</v>
      </c>
      <c r="AD25" s="22">
        <v>46130.846747685187</v>
      </c>
      <c r="AE25" s="15">
        <v>186.12</v>
      </c>
      <c r="AF25" s="15">
        <v>7.93</v>
      </c>
      <c r="AG25" s="15">
        <v>120</v>
      </c>
      <c r="AH25" s="15" t="s">
        <v>40</v>
      </c>
      <c r="AI25" s="14"/>
      <c r="AJ25" s="16">
        <v>129600</v>
      </c>
      <c r="AK25" s="1">
        <f t="shared" si="0"/>
        <v>129592.07</v>
      </c>
      <c r="AL25" s="2">
        <f t="shared" si="1"/>
        <v>99.993881172839522</v>
      </c>
      <c r="AM25" s="16">
        <f t="shared" si="2"/>
        <v>129413.88</v>
      </c>
      <c r="AN25" s="2">
        <f t="shared" si="3"/>
        <v>99.856388888888887</v>
      </c>
    </row>
    <row r="26" spans="1:40" x14ac:dyDescent="0.35">
      <c r="A26" s="14" t="s">
        <v>27</v>
      </c>
      <c r="B26" s="14" t="s">
        <v>28</v>
      </c>
      <c r="C26" s="14" t="s">
        <v>73</v>
      </c>
      <c r="D26" s="14" t="s">
        <v>532</v>
      </c>
      <c r="E26" s="14" t="s">
        <v>193</v>
      </c>
      <c r="F26" s="14" t="s">
        <v>32</v>
      </c>
      <c r="G26" s="14" t="s">
        <v>33</v>
      </c>
      <c r="H26" s="14" t="s">
        <v>964</v>
      </c>
      <c r="I26" s="14" t="s">
        <v>437</v>
      </c>
      <c r="J26" s="14" t="s">
        <v>437</v>
      </c>
      <c r="K26" s="14" t="s">
        <v>204</v>
      </c>
      <c r="L26" s="14" t="s">
        <v>973</v>
      </c>
      <c r="M26" s="14" t="s">
        <v>436</v>
      </c>
      <c r="N26" s="14" t="s">
        <v>974</v>
      </c>
      <c r="O26" s="14" t="s">
        <v>991</v>
      </c>
      <c r="P26" s="14"/>
      <c r="Q26" s="14" t="s">
        <v>196</v>
      </c>
      <c r="R26" s="14" t="s">
        <v>36</v>
      </c>
      <c r="S26" s="14" t="s">
        <v>37</v>
      </c>
      <c r="T26" s="14" t="s">
        <v>59</v>
      </c>
      <c r="U26" s="14" t="s">
        <v>59</v>
      </c>
      <c r="V26" s="22">
        <v>46130.713263888887</v>
      </c>
      <c r="W26" s="22">
        <v>46130.848611111112</v>
      </c>
      <c r="X26" s="15">
        <v>194.9</v>
      </c>
      <c r="Y26" s="22">
        <v>46130.713263888887</v>
      </c>
      <c r="Z26" s="15">
        <v>0</v>
      </c>
      <c r="AA26" s="15">
        <v>30</v>
      </c>
      <c r="AB26" s="15" t="s">
        <v>40</v>
      </c>
      <c r="AC26" s="22">
        <v>46130.718425925923</v>
      </c>
      <c r="AD26" s="22">
        <v>46130.847268518519</v>
      </c>
      <c r="AE26" s="15">
        <v>185.53</v>
      </c>
      <c r="AF26" s="15">
        <v>9.3699999999999992</v>
      </c>
      <c r="AG26" s="15">
        <v>120</v>
      </c>
      <c r="AH26" s="15" t="s">
        <v>40</v>
      </c>
      <c r="AI26" s="14"/>
      <c r="AJ26" s="16">
        <v>129600</v>
      </c>
      <c r="AK26" s="1">
        <f t="shared" si="0"/>
        <v>129590.63</v>
      </c>
      <c r="AL26" s="2">
        <f t="shared" si="1"/>
        <v>99.992770061728393</v>
      </c>
      <c r="AM26" s="16">
        <f t="shared" si="2"/>
        <v>129414.47</v>
      </c>
      <c r="AN26" s="2">
        <f t="shared" si="3"/>
        <v>99.856844135802476</v>
      </c>
    </row>
    <row r="27" spans="1:40" x14ac:dyDescent="0.35">
      <c r="A27" s="14" t="s">
        <v>27</v>
      </c>
      <c r="B27" s="14" t="s">
        <v>28</v>
      </c>
      <c r="C27" s="14" t="s">
        <v>110</v>
      </c>
      <c r="D27" s="14" t="s">
        <v>792</v>
      </c>
      <c r="E27" s="14" t="s">
        <v>193</v>
      </c>
      <c r="F27" s="14" t="s">
        <v>32</v>
      </c>
      <c r="G27" s="14" t="s">
        <v>33</v>
      </c>
      <c r="H27" s="14" t="s">
        <v>972</v>
      </c>
      <c r="I27" s="14" t="s">
        <v>525</v>
      </c>
      <c r="J27" s="14" t="s">
        <v>525</v>
      </c>
      <c r="K27" s="14" t="s">
        <v>204</v>
      </c>
      <c r="L27" s="14" t="s">
        <v>973</v>
      </c>
      <c r="M27" s="14" t="s">
        <v>524</v>
      </c>
      <c r="N27" s="14" t="s">
        <v>990</v>
      </c>
      <c r="O27" s="14" t="s">
        <v>975</v>
      </c>
      <c r="P27" s="14"/>
      <c r="Q27" s="14" t="s">
        <v>196</v>
      </c>
      <c r="R27" s="14" t="s">
        <v>36</v>
      </c>
      <c r="S27" s="14" t="s">
        <v>37</v>
      </c>
      <c r="T27" s="14" t="s">
        <v>88</v>
      </c>
      <c r="U27" s="14" t="s">
        <v>59</v>
      </c>
      <c r="V27" s="22">
        <v>46132.01871527778</v>
      </c>
      <c r="W27" s="22">
        <v>46132.36041666667</v>
      </c>
      <c r="X27" s="15">
        <v>492.05</v>
      </c>
      <c r="Y27" s="22">
        <v>46132.01871527778</v>
      </c>
      <c r="Z27" s="15">
        <v>0</v>
      </c>
      <c r="AA27" s="15">
        <v>30</v>
      </c>
      <c r="AB27" s="15" t="s">
        <v>40</v>
      </c>
      <c r="AC27" s="22">
        <v>46132.020358796297</v>
      </c>
      <c r="AD27" s="22">
        <v>46132.359652777777</v>
      </c>
      <c r="AE27" s="15">
        <v>488.58</v>
      </c>
      <c r="AF27" s="15">
        <v>3.47</v>
      </c>
      <c r="AG27" s="15">
        <v>120</v>
      </c>
      <c r="AH27" s="15" t="s">
        <v>40</v>
      </c>
      <c r="AI27" s="14"/>
      <c r="AJ27" s="16">
        <v>129600</v>
      </c>
      <c r="AK27" s="1">
        <f t="shared" si="0"/>
        <v>129596.53</v>
      </c>
      <c r="AL27" s="2">
        <f t="shared" si="1"/>
        <v>99.997322530864196</v>
      </c>
      <c r="AM27" s="16">
        <f t="shared" si="2"/>
        <v>129111.42</v>
      </c>
      <c r="AN27" s="2">
        <f t="shared" si="3"/>
        <v>99.623009259259248</v>
      </c>
    </row>
    <row r="28" spans="1:40" x14ac:dyDescent="0.35">
      <c r="A28" s="14" t="s">
        <v>27</v>
      </c>
      <c r="B28" s="14" t="s">
        <v>28</v>
      </c>
      <c r="C28" s="14" t="s">
        <v>110</v>
      </c>
      <c r="D28" s="14" t="s">
        <v>111</v>
      </c>
      <c r="E28" s="14" t="s">
        <v>31</v>
      </c>
      <c r="F28" s="14" t="s">
        <v>32</v>
      </c>
      <c r="G28" s="14" t="s">
        <v>33</v>
      </c>
      <c r="H28" s="14" t="s">
        <v>972</v>
      </c>
      <c r="I28" s="14" t="s">
        <v>50</v>
      </c>
      <c r="J28" s="14" t="s">
        <v>50</v>
      </c>
      <c r="K28" s="14" t="s">
        <v>180</v>
      </c>
      <c r="L28" s="14" t="s">
        <v>967</v>
      </c>
      <c r="M28" s="14" t="s">
        <v>49</v>
      </c>
      <c r="N28" s="14" t="s">
        <v>992</v>
      </c>
      <c r="O28" s="14" t="s">
        <v>993</v>
      </c>
      <c r="P28" s="14"/>
      <c r="Q28" s="14" t="s">
        <v>35</v>
      </c>
      <c r="R28" s="14" t="s">
        <v>36</v>
      </c>
      <c r="S28" s="14" t="s">
        <v>37</v>
      </c>
      <c r="T28" s="14" t="s">
        <v>88</v>
      </c>
      <c r="U28" s="14" t="s">
        <v>59</v>
      </c>
      <c r="V28" s="22">
        <v>46132.018819444442</v>
      </c>
      <c r="W28" s="22">
        <v>46132.361111111109</v>
      </c>
      <c r="X28" s="15">
        <v>492.9</v>
      </c>
      <c r="Y28" s="22">
        <v>46132.018819444442</v>
      </c>
      <c r="Z28" s="15">
        <v>0</v>
      </c>
      <c r="AA28" s="15">
        <v>30</v>
      </c>
      <c r="AB28" s="15" t="s">
        <v>40</v>
      </c>
      <c r="AC28" s="22">
        <v>46132.020810185182</v>
      </c>
      <c r="AD28" s="22">
        <v>46132.360231481478</v>
      </c>
      <c r="AE28" s="15">
        <v>488.77</v>
      </c>
      <c r="AF28" s="15">
        <v>4.13</v>
      </c>
      <c r="AG28" s="15">
        <v>120</v>
      </c>
      <c r="AH28" s="15" t="s">
        <v>40</v>
      </c>
      <c r="AI28" s="14"/>
      <c r="AJ28" s="16">
        <v>129600</v>
      </c>
      <c r="AK28" s="1">
        <f t="shared" si="0"/>
        <v>129595.87</v>
      </c>
      <c r="AL28" s="2">
        <f t="shared" si="1"/>
        <v>99.996813271604935</v>
      </c>
      <c r="AM28" s="16">
        <f t="shared" si="2"/>
        <v>129111.23</v>
      </c>
      <c r="AN28" s="2">
        <f t="shared" si="3"/>
        <v>99.622862654320983</v>
      </c>
    </row>
    <row r="29" spans="1:40" x14ac:dyDescent="0.35">
      <c r="A29" s="14" t="s">
        <v>27</v>
      </c>
      <c r="B29" s="14" t="s">
        <v>28</v>
      </c>
      <c r="C29" s="14" t="s">
        <v>110</v>
      </c>
      <c r="D29" s="14" t="s">
        <v>505</v>
      </c>
      <c r="E29" s="14" t="s">
        <v>193</v>
      </c>
      <c r="F29" s="14" t="s">
        <v>32</v>
      </c>
      <c r="G29" s="14" t="s">
        <v>33</v>
      </c>
      <c r="H29" s="14" t="s">
        <v>972</v>
      </c>
      <c r="I29" s="14" t="s">
        <v>417</v>
      </c>
      <c r="J29" s="14" t="s">
        <v>417</v>
      </c>
      <c r="K29" s="14" t="s">
        <v>204</v>
      </c>
      <c r="L29" s="14" t="s">
        <v>973</v>
      </c>
      <c r="M29" s="14" t="s">
        <v>416</v>
      </c>
      <c r="N29" s="14" t="s">
        <v>974</v>
      </c>
      <c r="O29" s="14" t="s">
        <v>975</v>
      </c>
      <c r="P29" s="14"/>
      <c r="Q29" s="14" t="s">
        <v>196</v>
      </c>
      <c r="R29" s="14" t="s">
        <v>36</v>
      </c>
      <c r="S29" s="14" t="s">
        <v>37</v>
      </c>
      <c r="T29" s="14" t="s">
        <v>88</v>
      </c>
      <c r="U29" s="14" t="s">
        <v>59</v>
      </c>
      <c r="V29" s="22">
        <v>46132.018819444442</v>
      </c>
      <c r="W29" s="22">
        <v>46132.361655092594</v>
      </c>
      <c r="X29" s="15">
        <v>493.68</v>
      </c>
      <c r="Y29" s="22">
        <v>46132.018819444442</v>
      </c>
      <c r="Z29" s="15">
        <v>0</v>
      </c>
      <c r="AA29" s="15">
        <v>30</v>
      </c>
      <c r="AB29" s="15" t="s">
        <v>40</v>
      </c>
      <c r="AC29" s="22">
        <v>46132.021331018521</v>
      </c>
      <c r="AD29" s="22">
        <v>46132.360844907409</v>
      </c>
      <c r="AE29" s="15">
        <v>488.9</v>
      </c>
      <c r="AF29" s="15">
        <v>4.78</v>
      </c>
      <c r="AG29" s="15">
        <v>120</v>
      </c>
      <c r="AH29" s="15" t="s">
        <v>40</v>
      </c>
      <c r="AI29" s="14"/>
      <c r="AJ29" s="16">
        <v>129600</v>
      </c>
      <c r="AK29" s="1">
        <f t="shared" si="0"/>
        <v>129595.22</v>
      </c>
      <c r="AL29" s="2">
        <f t="shared" si="1"/>
        <v>99.996311728395057</v>
      </c>
      <c r="AM29" s="16">
        <f t="shared" si="2"/>
        <v>129111.1</v>
      </c>
      <c r="AN29" s="2">
        <f t="shared" si="3"/>
        <v>99.622762345679021</v>
      </c>
    </row>
    <row r="30" spans="1:40" x14ac:dyDescent="0.35">
      <c r="A30" s="14" t="s">
        <v>27</v>
      </c>
      <c r="B30" s="14" t="s">
        <v>28</v>
      </c>
      <c r="C30" s="14" t="s">
        <v>41</v>
      </c>
      <c r="D30" s="14" t="s">
        <v>81</v>
      </c>
      <c r="E30" s="14" t="s">
        <v>31</v>
      </c>
      <c r="F30" s="14" t="s">
        <v>32</v>
      </c>
      <c r="G30" s="14" t="s">
        <v>33</v>
      </c>
      <c r="H30" s="14" t="s">
        <v>964</v>
      </c>
      <c r="I30" s="14" t="s">
        <v>83</v>
      </c>
      <c r="J30" s="14" t="s">
        <v>83</v>
      </c>
      <c r="K30" s="14" t="s">
        <v>35</v>
      </c>
      <c r="L30" s="14" t="s">
        <v>967</v>
      </c>
      <c r="M30" s="14" t="s">
        <v>82</v>
      </c>
      <c r="N30" s="14" t="s">
        <v>994</v>
      </c>
      <c r="O30" s="14" t="s">
        <v>995</v>
      </c>
      <c r="P30" s="14"/>
      <c r="Q30" s="14" t="s">
        <v>35</v>
      </c>
      <c r="R30" s="14" t="s">
        <v>36</v>
      </c>
      <c r="S30" s="14" t="s">
        <v>37</v>
      </c>
      <c r="T30" s="14" t="s">
        <v>59</v>
      </c>
      <c r="U30" s="14" t="s">
        <v>46</v>
      </c>
      <c r="V30" s="22">
        <v>46136.105474537035</v>
      </c>
      <c r="W30" s="22">
        <v>46138.323611111111</v>
      </c>
      <c r="X30" s="15">
        <v>3194.12</v>
      </c>
      <c r="Y30" s="22">
        <v>46136.105486111112</v>
      </c>
      <c r="Z30" s="15">
        <v>0.02</v>
      </c>
      <c r="AA30" s="15">
        <v>30</v>
      </c>
      <c r="AB30" s="15" t="s">
        <v>40</v>
      </c>
      <c r="AC30" s="22">
        <v>46136.106435185182</v>
      </c>
      <c r="AD30" s="22">
        <v>46138.322118055556</v>
      </c>
      <c r="AE30" s="15">
        <v>3190.58</v>
      </c>
      <c r="AF30" s="15">
        <v>3.53</v>
      </c>
      <c r="AG30" s="15">
        <v>120</v>
      </c>
      <c r="AH30" s="15" t="s">
        <v>40</v>
      </c>
      <c r="AI30" s="14"/>
      <c r="AJ30" s="16">
        <v>129600</v>
      </c>
      <c r="AK30" s="1">
        <f t="shared" si="0"/>
        <v>129596.47</v>
      </c>
      <c r="AL30" s="2">
        <f t="shared" si="1"/>
        <v>99.997276234567906</v>
      </c>
      <c r="AM30" s="16">
        <f t="shared" si="2"/>
        <v>126409.42</v>
      </c>
      <c r="AN30" s="2">
        <f t="shared" si="3"/>
        <v>97.53813271604939</v>
      </c>
    </row>
    <row r="31" spans="1:40" x14ac:dyDescent="0.35">
      <c r="A31" s="14" t="s">
        <v>27</v>
      </c>
      <c r="B31" s="14" t="s">
        <v>28</v>
      </c>
      <c r="C31" s="14" t="s">
        <v>41</v>
      </c>
      <c r="D31" s="14" t="s">
        <v>153</v>
      </c>
      <c r="E31" s="14" t="s">
        <v>31</v>
      </c>
      <c r="F31" s="14" t="s">
        <v>32</v>
      </c>
      <c r="G31" s="14" t="s">
        <v>33</v>
      </c>
      <c r="H31" s="14" t="s">
        <v>984</v>
      </c>
      <c r="I31" s="14" t="s">
        <v>44</v>
      </c>
      <c r="J31" s="14" t="s">
        <v>44</v>
      </c>
      <c r="K31" s="14" t="s">
        <v>985</v>
      </c>
      <c r="L31" s="14" t="s">
        <v>967</v>
      </c>
      <c r="M31" s="14" t="s">
        <v>43</v>
      </c>
      <c r="N31" s="14" t="s">
        <v>986</v>
      </c>
      <c r="O31" s="14" t="s">
        <v>987</v>
      </c>
      <c r="P31" s="14"/>
      <c r="Q31" s="14" t="s">
        <v>35</v>
      </c>
      <c r="R31" s="14" t="s">
        <v>36</v>
      </c>
      <c r="S31" s="14" t="s">
        <v>37</v>
      </c>
      <c r="T31" s="14" t="s">
        <v>59</v>
      </c>
      <c r="U31" s="14" t="s">
        <v>46</v>
      </c>
      <c r="V31" s="22">
        <v>46136.841585648152</v>
      </c>
      <c r="W31" s="22">
        <v>46138.319444444445</v>
      </c>
      <c r="X31" s="15">
        <v>2128.12</v>
      </c>
      <c r="Y31" s="22">
        <v>46136.841597222221</v>
      </c>
      <c r="Z31" s="15">
        <v>0.02</v>
      </c>
      <c r="AA31" s="15">
        <v>30</v>
      </c>
      <c r="AB31" s="15" t="s">
        <v>40</v>
      </c>
      <c r="AC31" s="22">
        <v>46136.84480324074</v>
      </c>
      <c r="AD31" s="22">
        <v>46138.31795138889</v>
      </c>
      <c r="AE31" s="15">
        <v>2121.33</v>
      </c>
      <c r="AF31" s="15">
        <v>6.78</v>
      </c>
      <c r="AG31" s="15">
        <v>120</v>
      </c>
      <c r="AH31" s="15" t="s">
        <v>40</v>
      </c>
      <c r="AI31" s="14"/>
      <c r="AJ31" s="16">
        <v>129600</v>
      </c>
      <c r="AK31" s="1">
        <f t="shared" si="0"/>
        <v>129593.22</v>
      </c>
      <c r="AL31" s="2">
        <f t="shared" si="1"/>
        <v>99.994768518518512</v>
      </c>
      <c r="AM31" s="16">
        <f t="shared" si="2"/>
        <v>127478.67</v>
      </c>
      <c r="AN31" s="2">
        <f t="shared" si="3"/>
        <v>98.363171296296287</v>
      </c>
    </row>
    <row r="32" spans="1:40" x14ac:dyDescent="0.35">
      <c r="A32" s="14" t="s">
        <v>27</v>
      </c>
      <c r="B32" s="14" t="s">
        <v>28</v>
      </c>
      <c r="C32" s="14" t="s">
        <v>84</v>
      </c>
      <c r="D32" s="14" t="s">
        <v>838</v>
      </c>
      <c r="E32" s="14" t="s">
        <v>193</v>
      </c>
      <c r="F32" s="14" t="s">
        <v>32</v>
      </c>
      <c r="G32" s="14" t="s">
        <v>33</v>
      </c>
      <c r="H32" s="14" t="s">
        <v>966</v>
      </c>
      <c r="I32" s="14" t="s">
        <v>345</v>
      </c>
      <c r="J32" s="14" t="s">
        <v>345</v>
      </c>
      <c r="K32" s="14" t="s">
        <v>204</v>
      </c>
      <c r="L32" s="14" t="s">
        <v>973</v>
      </c>
      <c r="M32" s="14" t="s">
        <v>344</v>
      </c>
      <c r="N32" s="14" t="s">
        <v>996</v>
      </c>
      <c r="O32" s="14" t="s">
        <v>980</v>
      </c>
      <c r="P32" s="14"/>
      <c r="Q32" s="14" t="s">
        <v>839</v>
      </c>
      <c r="R32" s="14" t="s">
        <v>36</v>
      </c>
      <c r="S32" s="14" t="s">
        <v>37</v>
      </c>
      <c r="T32" s="14" t="s">
        <v>88</v>
      </c>
      <c r="U32" s="14" t="s">
        <v>89</v>
      </c>
      <c r="V32" s="22">
        <v>46138.659085648149</v>
      </c>
      <c r="W32" s="22">
        <v>46141.5</v>
      </c>
      <c r="X32" s="15">
        <v>4090.92</v>
      </c>
      <c r="Y32" s="22">
        <v>46138.659097222226</v>
      </c>
      <c r="Z32" s="15">
        <v>0.02</v>
      </c>
      <c r="AA32" s="15">
        <v>30</v>
      </c>
      <c r="AB32" s="15" t="s">
        <v>40</v>
      </c>
      <c r="AC32" s="22">
        <v>46138.663321759261</v>
      </c>
      <c r="AD32" s="22">
        <v>46141.502534722225</v>
      </c>
      <c r="AE32" s="15">
        <v>4088.47</v>
      </c>
      <c r="AF32" s="15">
        <v>2.4500000000000002</v>
      </c>
      <c r="AG32" s="15">
        <v>1440</v>
      </c>
      <c r="AH32" s="15" t="s">
        <v>40</v>
      </c>
      <c r="AI32" s="14"/>
      <c r="AJ32" s="16">
        <v>129600</v>
      </c>
      <c r="AK32" s="1">
        <f t="shared" si="0"/>
        <v>129597.55</v>
      </c>
      <c r="AL32" s="2">
        <f t="shared" si="1"/>
        <v>99.998109567901238</v>
      </c>
      <c r="AM32" s="16">
        <f t="shared" si="2"/>
        <v>125511.53</v>
      </c>
      <c r="AN32" s="2">
        <f t="shared" si="3"/>
        <v>96.845316358024689</v>
      </c>
    </row>
    <row r="33" spans="1:40" x14ac:dyDescent="0.35">
      <c r="A33" s="14" t="s">
        <v>27</v>
      </c>
      <c r="B33" s="14" t="s">
        <v>28</v>
      </c>
      <c r="C33" s="14" t="s">
        <v>84</v>
      </c>
      <c r="D33" s="14" t="s">
        <v>85</v>
      </c>
      <c r="E33" s="14" t="s">
        <v>31</v>
      </c>
      <c r="F33" s="14" t="s">
        <v>32</v>
      </c>
      <c r="G33" s="14" t="s">
        <v>33</v>
      </c>
      <c r="H33" s="14" t="s">
        <v>966</v>
      </c>
      <c r="I33" s="14" t="s">
        <v>87</v>
      </c>
      <c r="J33" s="14" t="s">
        <v>87</v>
      </c>
      <c r="K33" s="14" t="s">
        <v>970</v>
      </c>
      <c r="L33" s="14" t="s">
        <v>967</v>
      </c>
      <c r="M33" s="14" t="s">
        <v>86</v>
      </c>
      <c r="N33" s="14" t="s">
        <v>971</v>
      </c>
      <c r="O33" s="14" t="s">
        <v>969</v>
      </c>
      <c r="P33" s="14"/>
      <c r="Q33" s="14" t="s">
        <v>35</v>
      </c>
      <c r="R33" s="14" t="s">
        <v>36</v>
      </c>
      <c r="S33" s="14" t="s">
        <v>37</v>
      </c>
      <c r="T33" s="14" t="s">
        <v>88</v>
      </c>
      <c r="U33" s="14" t="s">
        <v>89</v>
      </c>
      <c r="V33" s="22">
        <v>46138.660324074073</v>
      </c>
      <c r="W33" s="22">
        <v>46141.5</v>
      </c>
      <c r="X33" s="15">
        <v>4089.13</v>
      </c>
      <c r="Y33" s="22">
        <v>46138.66033564815</v>
      </c>
      <c r="Z33" s="15">
        <v>0.02</v>
      </c>
      <c r="AA33" s="15">
        <v>30</v>
      </c>
      <c r="AB33" s="15" t="s">
        <v>40</v>
      </c>
      <c r="AC33" s="22">
        <v>46138.661944444444</v>
      </c>
      <c r="AD33" s="22">
        <v>46141.503611111111</v>
      </c>
      <c r="AE33" s="15">
        <v>4092</v>
      </c>
      <c r="AF33" s="15">
        <v>-2.87</v>
      </c>
      <c r="AG33" s="15">
        <v>120</v>
      </c>
      <c r="AH33" s="15" t="s">
        <v>40</v>
      </c>
      <c r="AI33" s="14"/>
      <c r="AJ33" s="16">
        <v>129600</v>
      </c>
      <c r="AK33" s="1">
        <f t="shared" si="0"/>
        <v>129602.87</v>
      </c>
      <c r="AL33" s="2">
        <f t="shared" si="1"/>
        <v>100.00221450617283</v>
      </c>
      <c r="AM33" s="16">
        <f t="shared" si="2"/>
        <v>125508</v>
      </c>
      <c r="AN33" s="2">
        <f t="shared" si="3"/>
        <v>96.842592592592595</v>
      </c>
    </row>
    <row r="34" spans="1:40" x14ac:dyDescent="0.35">
      <c r="A34" s="14" t="s">
        <v>27</v>
      </c>
      <c r="B34" s="14" t="s">
        <v>28</v>
      </c>
      <c r="C34" s="14" t="s">
        <v>65</v>
      </c>
      <c r="D34" s="14" t="s">
        <v>892</v>
      </c>
      <c r="E34" s="14" t="s">
        <v>893</v>
      </c>
      <c r="F34" s="14" t="s">
        <v>32</v>
      </c>
      <c r="G34" s="14" t="s">
        <v>312</v>
      </c>
      <c r="H34" s="14" t="s">
        <v>966</v>
      </c>
      <c r="I34" s="14"/>
      <c r="J34" s="14" t="s">
        <v>161</v>
      </c>
      <c r="K34" s="14" t="s">
        <v>988</v>
      </c>
      <c r="L34" s="14" t="s">
        <v>967</v>
      </c>
      <c r="M34" s="14" t="s">
        <v>160</v>
      </c>
      <c r="N34" s="14" t="s">
        <v>971</v>
      </c>
      <c r="O34" s="14" t="s">
        <v>982</v>
      </c>
      <c r="P34" s="14"/>
      <c r="Q34" s="14" t="s">
        <v>872</v>
      </c>
      <c r="R34" s="14" t="s">
        <v>36</v>
      </c>
      <c r="S34" s="14" t="s">
        <v>279</v>
      </c>
      <c r="T34" s="14"/>
      <c r="U34" s="14" t="s">
        <v>894</v>
      </c>
      <c r="V34" s="22">
        <v>46139.691400462965</v>
      </c>
      <c r="W34" s="22">
        <v>46139.706250000003</v>
      </c>
      <c r="X34" s="15">
        <v>21.38</v>
      </c>
      <c r="Y34" s="22">
        <v>46139.691412037035</v>
      </c>
      <c r="Z34" s="15">
        <v>0.02</v>
      </c>
      <c r="AA34" s="15">
        <v>30</v>
      </c>
      <c r="AB34" s="15" t="s">
        <v>40</v>
      </c>
      <c r="AC34" s="15"/>
      <c r="AD34" s="15"/>
      <c r="AE34" s="15">
        <v>0</v>
      </c>
      <c r="AF34" s="15">
        <v>21.38</v>
      </c>
      <c r="AG34" s="15">
        <v>2880</v>
      </c>
      <c r="AH34" s="15" t="s">
        <v>40</v>
      </c>
      <c r="AI34" s="14"/>
      <c r="AJ34" s="16">
        <v>129600</v>
      </c>
      <c r="AK34" s="1">
        <f t="shared" si="0"/>
        <v>129578.62</v>
      </c>
      <c r="AL34" s="2">
        <f t="shared" si="1"/>
        <v>99.983503086419745</v>
      </c>
      <c r="AM34" s="16">
        <f t="shared" si="2"/>
        <v>129600</v>
      </c>
      <c r="AN34" s="2">
        <f t="shared" si="3"/>
        <v>100</v>
      </c>
    </row>
    <row r="35" spans="1:40" x14ac:dyDescent="0.35">
      <c r="A35" s="14" t="s">
        <v>27</v>
      </c>
      <c r="B35" s="14" t="s">
        <v>28</v>
      </c>
      <c r="C35" s="14" t="s">
        <v>29</v>
      </c>
      <c r="D35" s="14" t="s">
        <v>884</v>
      </c>
      <c r="E35" s="14" t="s">
        <v>885</v>
      </c>
      <c r="F35" s="14" t="s">
        <v>32</v>
      </c>
      <c r="G35" s="14" t="s">
        <v>312</v>
      </c>
      <c r="H35" s="14" t="s">
        <v>966</v>
      </c>
      <c r="I35" s="14"/>
      <c r="J35" s="14" t="s">
        <v>76</v>
      </c>
      <c r="K35" s="14" t="s">
        <v>988</v>
      </c>
      <c r="L35" s="14" t="s">
        <v>967</v>
      </c>
      <c r="M35" s="14" t="s">
        <v>75</v>
      </c>
      <c r="N35" s="14" t="s">
        <v>971</v>
      </c>
      <c r="O35" s="14" t="s">
        <v>982</v>
      </c>
      <c r="P35" s="14"/>
      <c r="Q35" s="14" t="s">
        <v>872</v>
      </c>
      <c r="R35" s="14" t="s">
        <v>36</v>
      </c>
      <c r="S35" s="14" t="s">
        <v>279</v>
      </c>
      <c r="T35" s="14"/>
      <c r="U35" s="14" t="s">
        <v>886</v>
      </c>
      <c r="V35" s="22">
        <v>46139.699560185189</v>
      </c>
      <c r="W35" s="22">
        <v>46139.710416666669</v>
      </c>
      <c r="X35" s="15">
        <v>15.63</v>
      </c>
      <c r="Y35" s="22">
        <v>46139.699571759258</v>
      </c>
      <c r="Z35" s="15">
        <v>0.02</v>
      </c>
      <c r="AA35" s="15">
        <v>30</v>
      </c>
      <c r="AB35" s="15" t="s">
        <v>40</v>
      </c>
      <c r="AC35" s="15"/>
      <c r="AD35" s="15"/>
      <c r="AE35" s="15">
        <v>0</v>
      </c>
      <c r="AF35" s="15">
        <v>15.63</v>
      </c>
      <c r="AG35" s="15">
        <v>2880</v>
      </c>
      <c r="AH35" s="15" t="s">
        <v>40</v>
      </c>
      <c r="AI35" s="14"/>
      <c r="AJ35" s="16">
        <v>129600</v>
      </c>
      <c r="AK35" s="1">
        <f t="shared" si="0"/>
        <v>129584.37</v>
      </c>
      <c r="AL35" s="2">
        <f t="shared" si="1"/>
        <v>99.987939814814808</v>
      </c>
      <c r="AM35" s="16">
        <f t="shared" si="2"/>
        <v>129600</v>
      </c>
      <c r="AN35" s="2">
        <f t="shared" si="3"/>
        <v>100</v>
      </c>
    </row>
    <row r="36" spans="1:40" x14ac:dyDescent="0.35">
      <c r="A36" s="14" t="s">
        <v>27</v>
      </c>
      <c r="B36" s="14" t="s">
        <v>28</v>
      </c>
      <c r="C36" s="14" t="s">
        <v>73</v>
      </c>
      <c r="D36" s="14" t="s">
        <v>569</v>
      </c>
      <c r="E36" s="14" t="s">
        <v>193</v>
      </c>
      <c r="F36" s="14" t="s">
        <v>32</v>
      </c>
      <c r="G36" s="14" t="s">
        <v>33</v>
      </c>
      <c r="H36" s="14" t="s">
        <v>964</v>
      </c>
      <c r="I36" s="14" t="s">
        <v>437</v>
      </c>
      <c r="J36" s="14" t="s">
        <v>437</v>
      </c>
      <c r="K36" s="14" t="s">
        <v>204</v>
      </c>
      <c r="L36" s="14" t="s">
        <v>973</v>
      </c>
      <c r="M36" s="14" t="s">
        <v>436</v>
      </c>
      <c r="N36" s="14" t="s">
        <v>974</v>
      </c>
      <c r="O36" s="14" t="s">
        <v>991</v>
      </c>
      <c r="P36" s="14"/>
      <c r="Q36" s="14" t="s">
        <v>196</v>
      </c>
      <c r="R36" s="14" t="s">
        <v>36</v>
      </c>
      <c r="S36" s="14" t="s">
        <v>37</v>
      </c>
      <c r="T36" s="14"/>
      <c r="U36" s="14" t="s">
        <v>59</v>
      </c>
      <c r="V36" s="22">
        <v>46142.539884259262</v>
      </c>
      <c r="W36" s="22">
        <v>46142.545138888891</v>
      </c>
      <c r="X36" s="15">
        <v>7.57</v>
      </c>
      <c r="Y36" s="22">
        <v>46142.539895833332</v>
      </c>
      <c r="Z36" s="15">
        <v>0.02</v>
      </c>
      <c r="AA36" s="15">
        <v>30</v>
      </c>
      <c r="AB36" s="15" t="s">
        <v>40</v>
      </c>
      <c r="AC36" s="15"/>
      <c r="AD36" s="15"/>
      <c r="AE36" s="15">
        <v>0</v>
      </c>
      <c r="AF36" s="15">
        <v>7.57</v>
      </c>
      <c r="AG36" s="15">
        <v>120</v>
      </c>
      <c r="AH36" s="15" t="s">
        <v>40</v>
      </c>
      <c r="AI36" s="14"/>
      <c r="AJ36" s="16">
        <v>129600</v>
      </c>
      <c r="AK36" s="1">
        <f t="shared" si="0"/>
        <v>129592.43</v>
      </c>
      <c r="AL36" s="2">
        <f t="shared" si="1"/>
        <v>99.994158950617276</v>
      </c>
      <c r="AM36" s="16">
        <f t="shared" si="2"/>
        <v>129600</v>
      </c>
      <c r="AN36" s="2">
        <f t="shared" si="3"/>
        <v>100</v>
      </c>
    </row>
    <row r="37" spans="1:40" x14ac:dyDescent="0.35">
      <c r="A37" s="14" t="s">
        <v>27</v>
      </c>
      <c r="B37" s="14" t="s">
        <v>28</v>
      </c>
      <c r="C37" s="14" t="s">
        <v>73</v>
      </c>
      <c r="D37" s="14" t="s">
        <v>716</v>
      </c>
      <c r="E37" s="14" t="s">
        <v>218</v>
      </c>
      <c r="F37" s="14" t="s">
        <v>32</v>
      </c>
      <c r="G37" s="14" t="s">
        <v>33</v>
      </c>
      <c r="H37" s="14" t="s">
        <v>963</v>
      </c>
      <c r="I37" s="14" t="s">
        <v>103</v>
      </c>
      <c r="J37" s="14" t="s">
        <v>103</v>
      </c>
      <c r="K37" s="14" t="s">
        <v>976</v>
      </c>
      <c r="L37" s="14" t="s">
        <v>967</v>
      </c>
      <c r="M37" s="14" t="s">
        <v>102</v>
      </c>
      <c r="N37" s="14" t="s">
        <v>977</v>
      </c>
      <c r="O37" s="14" t="s">
        <v>978</v>
      </c>
      <c r="P37" s="14"/>
      <c r="Q37" s="14" t="s">
        <v>196</v>
      </c>
      <c r="R37" s="14" t="s">
        <v>36</v>
      </c>
      <c r="S37" s="14" t="s">
        <v>221</v>
      </c>
      <c r="T37" s="14" t="s">
        <v>717</v>
      </c>
      <c r="U37" s="14" t="s">
        <v>718</v>
      </c>
      <c r="V37" s="22">
        <v>46144.80369212963</v>
      </c>
      <c r="W37" s="22">
        <v>46144.834722222222</v>
      </c>
      <c r="X37" s="15">
        <v>44.68</v>
      </c>
      <c r="Y37" s="22">
        <v>46144.803703703707</v>
      </c>
      <c r="Z37" s="15">
        <v>0.02</v>
      </c>
      <c r="AA37" s="15">
        <v>30</v>
      </c>
      <c r="AB37" s="15" t="s">
        <v>40</v>
      </c>
      <c r="AC37" s="22">
        <v>46144.807395833333</v>
      </c>
      <c r="AD37" s="22">
        <v>46144.83326388889</v>
      </c>
      <c r="AE37" s="15">
        <v>37.25</v>
      </c>
      <c r="AF37" s="15">
        <v>7.43</v>
      </c>
      <c r="AG37" s="15">
        <v>120</v>
      </c>
      <c r="AH37" s="15" t="s">
        <v>40</v>
      </c>
      <c r="AI37" s="14"/>
      <c r="AJ37" s="16">
        <v>129600</v>
      </c>
      <c r="AK37" s="1">
        <f t="shared" si="0"/>
        <v>129592.57</v>
      </c>
      <c r="AL37" s="2">
        <f t="shared" si="1"/>
        <v>99.994266975308648</v>
      </c>
      <c r="AM37" s="16">
        <f t="shared" si="2"/>
        <v>129562.75</v>
      </c>
      <c r="AN37" s="2">
        <f t="shared" si="3"/>
        <v>99.971257716049379</v>
      </c>
    </row>
    <row r="38" spans="1:40" x14ac:dyDescent="0.35">
      <c r="A38" s="14" t="s">
        <v>27</v>
      </c>
      <c r="B38" s="14" t="s">
        <v>28</v>
      </c>
      <c r="C38" s="14" t="s">
        <v>29</v>
      </c>
      <c r="D38" s="14" t="s">
        <v>595</v>
      </c>
      <c r="E38" s="14" t="s">
        <v>193</v>
      </c>
      <c r="F38" s="14" t="s">
        <v>32</v>
      </c>
      <c r="G38" s="14" t="s">
        <v>33</v>
      </c>
      <c r="H38" s="14" t="s">
        <v>964</v>
      </c>
      <c r="I38" s="14" t="s">
        <v>240</v>
      </c>
      <c r="J38" s="14" t="s">
        <v>240</v>
      </c>
      <c r="K38" s="14" t="s">
        <v>204</v>
      </c>
      <c r="L38" s="14" t="s">
        <v>973</v>
      </c>
      <c r="M38" s="14" t="s">
        <v>239</v>
      </c>
      <c r="N38" s="14" t="s">
        <v>990</v>
      </c>
      <c r="O38" s="14" t="s">
        <v>991</v>
      </c>
      <c r="P38" s="14"/>
      <c r="Q38" s="14" t="s">
        <v>196</v>
      </c>
      <c r="R38" s="14" t="s">
        <v>36</v>
      </c>
      <c r="S38" s="14" t="s">
        <v>37</v>
      </c>
      <c r="T38" s="14" t="s">
        <v>59</v>
      </c>
      <c r="U38" s="14" t="s">
        <v>38</v>
      </c>
      <c r="V38" s="22">
        <v>46146.091111111113</v>
      </c>
      <c r="W38" s="22">
        <v>46155.855555555558</v>
      </c>
      <c r="X38" s="15">
        <v>14060.8</v>
      </c>
      <c r="Y38" s="22">
        <v>46146.091111111113</v>
      </c>
      <c r="Z38" s="15">
        <v>0</v>
      </c>
      <c r="AA38" s="15">
        <v>30</v>
      </c>
      <c r="AB38" s="15" t="s">
        <v>40</v>
      </c>
      <c r="AC38" s="22">
        <v>46146.093101851853</v>
      </c>
      <c r="AD38" s="22">
        <v>46155.853784722225</v>
      </c>
      <c r="AE38" s="15">
        <v>14055.38</v>
      </c>
      <c r="AF38" s="15">
        <v>5.42</v>
      </c>
      <c r="AG38" s="15">
        <v>120</v>
      </c>
      <c r="AH38" s="15" t="s">
        <v>40</v>
      </c>
      <c r="AI38" s="14"/>
      <c r="AJ38" s="16">
        <v>129600</v>
      </c>
      <c r="AK38" s="1">
        <f t="shared" si="0"/>
        <v>129594.58</v>
      </c>
      <c r="AL38" s="2">
        <f t="shared" si="1"/>
        <v>99.995817901234574</v>
      </c>
      <c r="AM38" s="16">
        <f t="shared" si="2"/>
        <v>115544.62</v>
      </c>
      <c r="AN38" s="2">
        <f t="shared" si="3"/>
        <v>89.15479938271605</v>
      </c>
    </row>
    <row r="39" spans="1:40" x14ac:dyDescent="0.35">
      <c r="A39" s="14" t="s">
        <v>27</v>
      </c>
      <c r="B39" s="14" t="s">
        <v>28</v>
      </c>
      <c r="C39" s="14" t="s">
        <v>29</v>
      </c>
      <c r="D39" s="14" t="s">
        <v>388</v>
      </c>
      <c r="E39" s="14" t="s">
        <v>193</v>
      </c>
      <c r="F39" s="14" t="s">
        <v>32</v>
      </c>
      <c r="G39" s="14" t="s">
        <v>33</v>
      </c>
      <c r="H39" s="14" t="s">
        <v>964</v>
      </c>
      <c r="I39" s="14" t="s">
        <v>240</v>
      </c>
      <c r="J39" s="14" t="s">
        <v>240</v>
      </c>
      <c r="K39" s="14" t="s">
        <v>204</v>
      </c>
      <c r="L39" s="14" t="s">
        <v>973</v>
      </c>
      <c r="M39" s="14" t="s">
        <v>239</v>
      </c>
      <c r="N39" s="14" t="s">
        <v>990</v>
      </c>
      <c r="O39" s="14" t="s">
        <v>991</v>
      </c>
      <c r="P39" s="14"/>
      <c r="Q39" s="14" t="s">
        <v>196</v>
      </c>
      <c r="R39" s="14" t="s">
        <v>36</v>
      </c>
      <c r="S39" s="14" t="s">
        <v>37</v>
      </c>
      <c r="T39" s="14" t="s">
        <v>59</v>
      </c>
      <c r="U39" s="14" t="s">
        <v>38</v>
      </c>
      <c r="V39" s="22">
        <v>46146.172083333331</v>
      </c>
      <c r="W39" s="22">
        <v>46155.856944444444</v>
      </c>
      <c r="X39" s="15">
        <v>13946.2</v>
      </c>
      <c r="Y39" s="22">
        <v>46146.172083333331</v>
      </c>
      <c r="Z39" s="15">
        <v>0</v>
      </c>
      <c r="AA39" s="15">
        <v>30</v>
      </c>
      <c r="AB39" s="15" t="s">
        <v>40</v>
      </c>
      <c r="AC39" s="22">
        <v>46146.17328703704</v>
      </c>
      <c r="AD39" s="22">
        <v>46155.854479166665</v>
      </c>
      <c r="AE39" s="15">
        <v>13940.92</v>
      </c>
      <c r="AF39" s="15">
        <v>5.28</v>
      </c>
      <c r="AG39" s="15">
        <v>120</v>
      </c>
      <c r="AH39" s="15" t="s">
        <v>40</v>
      </c>
      <c r="AI39" s="14"/>
      <c r="AJ39" s="16">
        <v>129600</v>
      </c>
      <c r="AK39" s="1">
        <f t="shared" si="0"/>
        <v>129594.72</v>
      </c>
      <c r="AL39" s="2">
        <f t="shared" si="1"/>
        <v>99.995925925925917</v>
      </c>
      <c r="AM39" s="16">
        <f t="shared" si="2"/>
        <v>115659.08</v>
      </c>
      <c r="AN39" s="2">
        <f t="shared" si="3"/>
        <v>89.243117283950625</v>
      </c>
    </row>
    <row r="40" spans="1:40" x14ac:dyDescent="0.35">
      <c r="A40" s="14" t="s">
        <v>27</v>
      </c>
      <c r="B40" s="14" t="s">
        <v>28</v>
      </c>
      <c r="C40" s="14" t="s">
        <v>47</v>
      </c>
      <c r="D40" s="14" t="s">
        <v>343</v>
      </c>
      <c r="E40" s="14" t="s">
        <v>193</v>
      </c>
      <c r="F40" s="14" t="s">
        <v>32</v>
      </c>
      <c r="G40" s="14" t="s">
        <v>33</v>
      </c>
      <c r="H40" s="14" t="s">
        <v>966</v>
      </c>
      <c r="I40" s="14" t="s">
        <v>345</v>
      </c>
      <c r="J40" s="14" t="s">
        <v>345</v>
      </c>
      <c r="K40" s="14" t="s">
        <v>204</v>
      </c>
      <c r="L40" s="14" t="s">
        <v>973</v>
      </c>
      <c r="M40" s="14" t="s">
        <v>344</v>
      </c>
      <c r="N40" s="14" t="s">
        <v>996</v>
      </c>
      <c r="O40" s="14" t="s">
        <v>980</v>
      </c>
      <c r="P40" s="14"/>
      <c r="Q40" s="14" t="s">
        <v>196</v>
      </c>
      <c r="R40" s="14" t="s">
        <v>36</v>
      </c>
      <c r="S40" s="14" t="s">
        <v>37</v>
      </c>
      <c r="T40" s="14" t="s">
        <v>132</v>
      </c>
      <c r="U40" s="14" t="s">
        <v>37</v>
      </c>
      <c r="V40" s="22">
        <v>46147.481898148151</v>
      </c>
      <c r="W40" s="22">
        <v>46147.499305555553</v>
      </c>
      <c r="X40" s="15">
        <v>25.07</v>
      </c>
      <c r="Y40" s="22">
        <v>46147.481909722221</v>
      </c>
      <c r="Z40" s="15">
        <v>0.02</v>
      </c>
      <c r="AA40" s="15">
        <v>30</v>
      </c>
      <c r="AB40" s="15" t="s">
        <v>40</v>
      </c>
      <c r="AC40" s="22">
        <v>46147.48609953704</v>
      </c>
      <c r="AD40" s="22">
        <v>46147.497395833336</v>
      </c>
      <c r="AE40" s="15">
        <v>16.27</v>
      </c>
      <c r="AF40" s="15">
        <v>8.8000000000000007</v>
      </c>
      <c r="AG40" s="15">
        <v>120</v>
      </c>
      <c r="AH40" s="15" t="s">
        <v>40</v>
      </c>
      <c r="AI40" s="14"/>
      <c r="AJ40" s="16">
        <v>129600</v>
      </c>
      <c r="AK40" s="1">
        <f t="shared" si="0"/>
        <v>129591.2</v>
      </c>
      <c r="AL40" s="2">
        <f t="shared" si="1"/>
        <v>99.993209876543204</v>
      </c>
      <c r="AM40" s="16">
        <f t="shared" si="2"/>
        <v>129583.73</v>
      </c>
      <c r="AN40" s="2">
        <f t="shared" si="3"/>
        <v>99.987445987654326</v>
      </c>
    </row>
    <row r="41" spans="1:40" x14ac:dyDescent="0.35">
      <c r="A41" s="14" t="s">
        <v>27</v>
      </c>
      <c r="B41" s="14" t="s">
        <v>28</v>
      </c>
      <c r="C41" s="14" t="s">
        <v>47</v>
      </c>
      <c r="D41" s="14" t="s">
        <v>131</v>
      </c>
      <c r="E41" s="14" t="s">
        <v>31</v>
      </c>
      <c r="F41" s="14" t="s">
        <v>32</v>
      </c>
      <c r="G41" s="14" t="s">
        <v>33</v>
      </c>
      <c r="H41" s="14" t="s">
        <v>966</v>
      </c>
      <c r="I41" s="14" t="s">
        <v>87</v>
      </c>
      <c r="J41" s="14" t="s">
        <v>87</v>
      </c>
      <c r="K41" s="14" t="s">
        <v>970</v>
      </c>
      <c r="L41" s="14" t="s">
        <v>967</v>
      </c>
      <c r="M41" s="14" t="s">
        <v>86</v>
      </c>
      <c r="N41" s="14" t="s">
        <v>971</v>
      </c>
      <c r="O41" s="14" t="s">
        <v>969</v>
      </c>
      <c r="P41" s="14"/>
      <c r="Q41" s="14" t="s">
        <v>35</v>
      </c>
      <c r="R41" s="14" t="s">
        <v>36</v>
      </c>
      <c r="S41" s="14" t="s">
        <v>37</v>
      </c>
      <c r="T41" s="14" t="s">
        <v>132</v>
      </c>
      <c r="U41" s="14" t="s">
        <v>37</v>
      </c>
      <c r="V41" s="22">
        <v>46147.483368055553</v>
      </c>
      <c r="W41" s="22">
        <v>46147.498611111114</v>
      </c>
      <c r="X41" s="15">
        <v>21.95</v>
      </c>
      <c r="Y41" s="22">
        <v>46147.483368055553</v>
      </c>
      <c r="Z41" s="15">
        <v>0</v>
      </c>
      <c r="AA41" s="15">
        <v>30</v>
      </c>
      <c r="AB41" s="15" t="s">
        <v>40</v>
      </c>
      <c r="AC41" s="22">
        <v>46147.485671296294</v>
      </c>
      <c r="AD41" s="22">
        <v>46147.496817129628</v>
      </c>
      <c r="AE41" s="15">
        <v>16.05</v>
      </c>
      <c r="AF41" s="15">
        <v>5.9</v>
      </c>
      <c r="AG41" s="15">
        <v>120</v>
      </c>
      <c r="AH41" s="15" t="s">
        <v>40</v>
      </c>
      <c r="AI41" s="14"/>
      <c r="AJ41" s="16">
        <v>129600</v>
      </c>
      <c r="AK41" s="1">
        <f t="shared" si="0"/>
        <v>129594.1</v>
      </c>
      <c r="AL41" s="2">
        <f t="shared" si="1"/>
        <v>99.995447530864197</v>
      </c>
      <c r="AM41" s="16">
        <f t="shared" si="2"/>
        <v>129583.95</v>
      </c>
      <c r="AN41" s="2">
        <f t="shared" si="3"/>
        <v>99.987615740740736</v>
      </c>
    </row>
    <row r="42" spans="1:40" x14ac:dyDescent="0.35">
      <c r="A42" s="14" t="s">
        <v>27</v>
      </c>
      <c r="B42" s="14" t="s">
        <v>28</v>
      </c>
      <c r="C42" s="14" t="s">
        <v>65</v>
      </c>
      <c r="D42" s="14" t="s">
        <v>490</v>
      </c>
      <c r="E42" s="14" t="s">
        <v>218</v>
      </c>
      <c r="F42" s="14" t="s">
        <v>32</v>
      </c>
      <c r="G42" s="14" t="s">
        <v>33</v>
      </c>
      <c r="H42" s="14" t="s">
        <v>963</v>
      </c>
      <c r="I42" s="14" t="s">
        <v>103</v>
      </c>
      <c r="J42" s="14" t="s">
        <v>103</v>
      </c>
      <c r="K42" s="14" t="s">
        <v>976</v>
      </c>
      <c r="L42" s="14" t="s">
        <v>967</v>
      </c>
      <c r="M42" s="14" t="s">
        <v>102</v>
      </c>
      <c r="N42" s="14" t="s">
        <v>977</v>
      </c>
      <c r="O42" s="14" t="s">
        <v>978</v>
      </c>
      <c r="P42" s="14"/>
      <c r="Q42" s="14" t="s">
        <v>196</v>
      </c>
      <c r="R42" s="14" t="s">
        <v>36</v>
      </c>
      <c r="S42" s="14" t="s">
        <v>221</v>
      </c>
      <c r="T42" s="14" t="s">
        <v>491</v>
      </c>
      <c r="U42" s="14" t="s">
        <v>492</v>
      </c>
      <c r="V42" s="22">
        <v>46147.583599537036</v>
      </c>
      <c r="W42" s="22">
        <v>46147.820833333331</v>
      </c>
      <c r="X42" s="15">
        <v>341.62</v>
      </c>
      <c r="Y42" s="22">
        <v>46147.583611111113</v>
      </c>
      <c r="Z42" s="15">
        <v>0.02</v>
      </c>
      <c r="AA42" s="15">
        <v>30</v>
      </c>
      <c r="AB42" s="15" t="s">
        <v>40</v>
      </c>
      <c r="AC42" s="22">
        <v>46147.602361111109</v>
      </c>
      <c r="AD42" s="22">
        <v>46147.818472222221</v>
      </c>
      <c r="AE42" s="15">
        <v>311.2</v>
      </c>
      <c r="AF42" s="15">
        <v>30.42</v>
      </c>
      <c r="AG42" s="15">
        <v>120</v>
      </c>
      <c r="AH42" s="15" t="s">
        <v>40</v>
      </c>
      <c r="AI42" s="14"/>
      <c r="AJ42" s="16">
        <v>129600</v>
      </c>
      <c r="AK42" s="1">
        <f t="shared" si="0"/>
        <v>129569.58</v>
      </c>
      <c r="AL42" s="2">
        <f t="shared" si="1"/>
        <v>99.976527777777775</v>
      </c>
      <c r="AM42" s="16">
        <f t="shared" si="2"/>
        <v>129288.8</v>
      </c>
      <c r="AN42" s="2">
        <f t="shared" si="3"/>
        <v>99.759876543209884</v>
      </c>
    </row>
    <row r="43" spans="1:40" x14ac:dyDescent="0.35">
      <c r="A43" s="14" t="s">
        <v>27</v>
      </c>
      <c r="B43" s="14" t="s">
        <v>28</v>
      </c>
      <c r="C43" s="14" t="s">
        <v>127</v>
      </c>
      <c r="D43" s="14" t="s">
        <v>499</v>
      </c>
      <c r="E43" s="14" t="s">
        <v>193</v>
      </c>
      <c r="F43" s="14" t="s">
        <v>32</v>
      </c>
      <c r="G43" s="14" t="s">
        <v>33</v>
      </c>
      <c r="H43" s="14" t="s">
        <v>966</v>
      </c>
      <c r="I43" s="14" t="s">
        <v>501</v>
      </c>
      <c r="J43" s="14" t="s">
        <v>501</v>
      </c>
      <c r="K43" s="14" t="s">
        <v>204</v>
      </c>
      <c r="L43" s="14" t="s">
        <v>973</v>
      </c>
      <c r="M43" s="14" t="s">
        <v>500</v>
      </c>
      <c r="N43" s="14" t="s">
        <v>979</v>
      </c>
      <c r="O43" s="14" t="s">
        <v>980</v>
      </c>
      <c r="P43" s="14"/>
      <c r="Q43" s="14" t="s">
        <v>196</v>
      </c>
      <c r="R43" s="14" t="s">
        <v>36</v>
      </c>
      <c r="S43" s="14" t="s">
        <v>37</v>
      </c>
      <c r="T43" s="14" t="s">
        <v>64</v>
      </c>
      <c r="U43" s="14" t="s">
        <v>129</v>
      </c>
      <c r="V43" s="22">
        <v>46147.980995370373</v>
      </c>
      <c r="W43" s="22">
        <v>46156.503472222219</v>
      </c>
      <c r="X43" s="15">
        <v>12272.37</v>
      </c>
      <c r="Y43" s="22">
        <v>46147.981006944443</v>
      </c>
      <c r="Z43" s="15">
        <v>0.02</v>
      </c>
      <c r="AA43" s="15">
        <v>30</v>
      </c>
      <c r="AB43" s="15" t="s">
        <v>40</v>
      </c>
      <c r="AC43" s="22">
        <v>46147.982476851852</v>
      </c>
      <c r="AD43" s="22">
        <v>46156.50104166667</v>
      </c>
      <c r="AE43" s="15">
        <v>12266.73</v>
      </c>
      <c r="AF43" s="15">
        <v>5.63</v>
      </c>
      <c r="AG43" s="15">
        <v>120</v>
      </c>
      <c r="AH43" s="15" t="s">
        <v>40</v>
      </c>
      <c r="AI43" s="14"/>
      <c r="AJ43" s="16">
        <v>129600</v>
      </c>
      <c r="AK43" s="1">
        <f t="shared" si="0"/>
        <v>129594.37</v>
      </c>
      <c r="AL43" s="2">
        <f t="shared" si="1"/>
        <v>99.995655864197531</v>
      </c>
      <c r="AM43" s="16">
        <f t="shared" si="2"/>
        <v>117333.27</v>
      </c>
      <c r="AN43" s="2">
        <f t="shared" si="3"/>
        <v>90.534930555555562</v>
      </c>
    </row>
    <row r="44" spans="1:40" x14ac:dyDescent="0.35">
      <c r="A44" s="14" t="s">
        <v>27</v>
      </c>
      <c r="B44" s="14" t="s">
        <v>28</v>
      </c>
      <c r="C44" s="14" t="s">
        <v>127</v>
      </c>
      <c r="D44" s="14" t="s">
        <v>295</v>
      </c>
      <c r="E44" s="14" t="s">
        <v>193</v>
      </c>
      <c r="F44" s="14" t="s">
        <v>32</v>
      </c>
      <c r="G44" s="14" t="s">
        <v>33</v>
      </c>
      <c r="H44" s="14" t="s">
        <v>966</v>
      </c>
      <c r="I44" s="14" t="s">
        <v>297</v>
      </c>
      <c r="J44" s="14" t="s">
        <v>297</v>
      </c>
      <c r="K44" s="14" t="s">
        <v>204</v>
      </c>
      <c r="L44" s="14" t="s">
        <v>973</v>
      </c>
      <c r="M44" s="14" t="s">
        <v>296</v>
      </c>
      <c r="N44" s="14" t="s">
        <v>979</v>
      </c>
      <c r="O44" s="14" t="s">
        <v>980</v>
      </c>
      <c r="P44" s="14"/>
      <c r="Q44" s="14" t="s">
        <v>196</v>
      </c>
      <c r="R44" s="14" t="s">
        <v>36</v>
      </c>
      <c r="S44" s="14" t="s">
        <v>37</v>
      </c>
      <c r="T44" s="14" t="s">
        <v>64</v>
      </c>
      <c r="U44" s="14" t="s">
        <v>129</v>
      </c>
      <c r="V44" s="22">
        <v>46147.981030092589</v>
      </c>
      <c r="W44" s="22">
        <v>46156.503472222219</v>
      </c>
      <c r="X44" s="15">
        <v>12272.32</v>
      </c>
      <c r="Y44" s="22">
        <v>46147.981030092589</v>
      </c>
      <c r="Z44" s="15">
        <v>0</v>
      </c>
      <c r="AA44" s="15">
        <v>30</v>
      </c>
      <c r="AB44" s="15" t="s">
        <v>40</v>
      </c>
      <c r="AC44" s="22">
        <v>46147.983530092592</v>
      </c>
      <c r="AD44" s="22">
        <v>46156.502152777779</v>
      </c>
      <c r="AE44" s="15">
        <v>12266.82</v>
      </c>
      <c r="AF44" s="15">
        <v>5.5</v>
      </c>
      <c r="AG44" s="15">
        <v>120</v>
      </c>
      <c r="AH44" s="15" t="s">
        <v>40</v>
      </c>
      <c r="AI44" s="14"/>
      <c r="AJ44" s="16">
        <v>129600</v>
      </c>
      <c r="AK44" s="1">
        <f t="shared" si="0"/>
        <v>129594.5</v>
      </c>
      <c r="AL44" s="2">
        <f t="shared" si="1"/>
        <v>99.995756172839506</v>
      </c>
      <c r="AM44" s="16">
        <f t="shared" si="2"/>
        <v>117333.18</v>
      </c>
      <c r="AN44" s="2">
        <f t="shared" si="3"/>
        <v>90.534861111111113</v>
      </c>
    </row>
    <row r="45" spans="1:40" x14ac:dyDescent="0.35">
      <c r="A45" s="14" t="s">
        <v>27</v>
      </c>
      <c r="B45" s="14" t="s">
        <v>28</v>
      </c>
      <c r="C45" s="14" t="s">
        <v>127</v>
      </c>
      <c r="D45" s="14" t="s">
        <v>553</v>
      </c>
      <c r="E45" s="14" t="s">
        <v>193</v>
      </c>
      <c r="F45" s="14" t="s">
        <v>32</v>
      </c>
      <c r="G45" s="14" t="s">
        <v>33</v>
      </c>
      <c r="H45" s="14" t="s">
        <v>966</v>
      </c>
      <c r="I45" s="14" t="s">
        <v>555</v>
      </c>
      <c r="J45" s="14" t="s">
        <v>555</v>
      </c>
      <c r="K45" s="14" t="s">
        <v>204</v>
      </c>
      <c r="L45" s="14" t="s">
        <v>973</v>
      </c>
      <c r="M45" s="14" t="s">
        <v>554</v>
      </c>
      <c r="N45" s="14" t="s">
        <v>979</v>
      </c>
      <c r="O45" s="14" t="s">
        <v>980</v>
      </c>
      <c r="P45" s="14"/>
      <c r="Q45" s="14" t="s">
        <v>196</v>
      </c>
      <c r="R45" s="14" t="s">
        <v>36</v>
      </c>
      <c r="S45" s="14" t="s">
        <v>37</v>
      </c>
      <c r="T45" s="14" t="s">
        <v>64</v>
      </c>
      <c r="U45" s="14" t="s">
        <v>129</v>
      </c>
      <c r="V45" s="22">
        <v>46147.981087962966</v>
      </c>
      <c r="W45" s="22">
        <v>46156.504861111112</v>
      </c>
      <c r="X45" s="15">
        <v>12274.23</v>
      </c>
      <c r="Y45" s="22">
        <v>46147.981099537035</v>
      </c>
      <c r="Z45" s="15">
        <v>0.02</v>
      </c>
      <c r="AA45" s="15">
        <v>30</v>
      </c>
      <c r="AB45" s="15" t="s">
        <v>40</v>
      </c>
      <c r="AC45" s="22">
        <v>46147.984537037039</v>
      </c>
      <c r="AD45" s="22">
        <v>46156.503634259258</v>
      </c>
      <c r="AE45" s="15">
        <v>12267.5</v>
      </c>
      <c r="AF45" s="15">
        <v>6.73</v>
      </c>
      <c r="AG45" s="15">
        <v>120</v>
      </c>
      <c r="AH45" s="15" t="s">
        <v>40</v>
      </c>
      <c r="AI45" s="14"/>
      <c r="AJ45" s="16">
        <v>129600</v>
      </c>
      <c r="AK45" s="1">
        <f t="shared" si="0"/>
        <v>129593.27</v>
      </c>
      <c r="AL45" s="2">
        <f t="shared" si="1"/>
        <v>99.994807098765435</v>
      </c>
      <c r="AM45" s="16">
        <f t="shared" si="2"/>
        <v>117332.5</v>
      </c>
      <c r="AN45" s="2">
        <f t="shared" si="3"/>
        <v>90.534336419753075</v>
      </c>
    </row>
    <row r="46" spans="1:40" x14ac:dyDescent="0.35">
      <c r="A46" s="14" t="s">
        <v>27</v>
      </c>
      <c r="B46" s="14" t="s">
        <v>28</v>
      </c>
      <c r="C46" s="14" t="s">
        <v>127</v>
      </c>
      <c r="D46" s="14" t="s">
        <v>752</v>
      </c>
      <c r="E46" s="14" t="s">
        <v>193</v>
      </c>
      <c r="F46" s="14" t="s">
        <v>32</v>
      </c>
      <c r="G46" s="14" t="s">
        <v>33</v>
      </c>
      <c r="H46" s="14" t="s">
        <v>966</v>
      </c>
      <c r="I46" s="14" t="s">
        <v>509</v>
      </c>
      <c r="J46" s="14" t="s">
        <v>509</v>
      </c>
      <c r="K46" s="14" t="s">
        <v>204</v>
      </c>
      <c r="L46" s="14" t="s">
        <v>973</v>
      </c>
      <c r="M46" s="14" t="s">
        <v>508</v>
      </c>
      <c r="N46" s="14" t="s">
        <v>979</v>
      </c>
      <c r="O46" s="14" t="s">
        <v>980</v>
      </c>
      <c r="P46" s="14"/>
      <c r="Q46" s="14" t="s">
        <v>196</v>
      </c>
      <c r="R46" s="14" t="s">
        <v>36</v>
      </c>
      <c r="S46" s="14" t="s">
        <v>37</v>
      </c>
      <c r="T46" s="14" t="s">
        <v>64</v>
      </c>
      <c r="U46" s="14" t="s">
        <v>129</v>
      </c>
      <c r="V46" s="22">
        <v>46147.981087962966</v>
      </c>
      <c r="W46" s="22">
        <v>46156.505555555559</v>
      </c>
      <c r="X46" s="15">
        <v>12275.23</v>
      </c>
      <c r="Y46" s="22">
        <v>46147.981087962966</v>
      </c>
      <c r="Z46" s="15">
        <v>0</v>
      </c>
      <c r="AA46" s="15">
        <v>30</v>
      </c>
      <c r="AB46" s="15" t="s">
        <v>40</v>
      </c>
      <c r="AC46" s="22">
        <v>46147.98400462963</v>
      </c>
      <c r="AD46" s="22">
        <v>46156.504537037035</v>
      </c>
      <c r="AE46" s="15">
        <v>12269.57</v>
      </c>
      <c r="AF46" s="15">
        <v>5.67</v>
      </c>
      <c r="AG46" s="15">
        <v>120</v>
      </c>
      <c r="AH46" s="15" t="s">
        <v>40</v>
      </c>
      <c r="AI46" s="14"/>
      <c r="AJ46" s="16">
        <v>129600</v>
      </c>
      <c r="AK46" s="1">
        <f t="shared" si="0"/>
        <v>129594.33</v>
      </c>
      <c r="AL46" s="2">
        <f t="shared" si="1"/>
        <v>99.995625000000004</v>
      </c>
      <c r="AM46" s="16">
        <f t="shared" si="2"/>
        <v>117330.43</v>
      </c>
      <c r="AN46" s="2">
        <f t="shared" si="3"/>
        <v>90.532739197530859</v>
      </c>
    </row>
    <row r="47" spans="1:40" x14ac:dyDescent="0.35">
      <c r="A47" s="14" t="s">
        <v>27</v>
      </c>
      <c r="B47" s="14" t="s">
        <v>28</v>
      </c>
      <c r="C47" s="14" t="s">
        <v>127</v>
      </c>
      <c r="D47" s="14" t="s">
        <v>185</v>
      </c>
      <c r="E47" s="14" t="s">
        <v>31</v>
      </c>
      <c r="F47" s="14" t="s">
        <v>32</v>
      </c>
      <c r="G47" s="14" t="s">
        <v>33</v>
      </c>
      <c r="H47" s="14" t="s">
        <v>964</v>
      </c>
      <c r="I47" s="14" t="s">
        <v>124</v>
      </c>
      <c r="J47" s="14" t="s">
        <v>124</v>
      </c>
      <c r="K47" s="14" t="s">
        <v>35</v>
      </c>
      <c r="L47" s="14" t="s">
        <v>967</v>
      </c>
      <c r="M47" s="14" t="s">
        <v>123</v>
      </c>
      <c r="N47" s="14" t="s">
        <v>994</v>
      </c>
      <c r="O47" s="14" t="s">
        <v>995</v>
      </c>
      <c r="P47" s="14"/>
      <c r="Q47" s="14" t="s">
        <v>35</v>
      </c>
      <c r="R47" s="14" t="s">
        <v>36</v>
      </c>
      <c r="S47" s="14" t="s">
        <v>37</v>
      </c>
      <c r="T47" s="14" t="s">
        <v>64</v>
      </c>
      <c r="U47" s="14" t="s">
        <v>181</v>
      </c>
      <c r="V47" s="22">
        <v>46150.09642361111</v>
      </c>
      <c r="W47" s="22">
        <v>46153.354166666664</v>
      </c>
      <c r="X47" s="15">
        <v>4691.1499999999996</v>
      </c>
      <c r="Y47" s="22">
        <v>46150.096435185187</v>
      </c>
      <c r="Z47" s="15">
        <v>0.02</v>
      </c>
      <c r="AA47" s="15">
        <v>30</v>
      </c>
      <c r="AB47" s="15" t="s">
        <v>40</v>
      </c>
      <c r="AC47" s="22">
        <v>46150.097708333335</v>
      </c>
      <c r="AD47" s="22">
        <v>46153.352696759262</v>
      </c>
      <c r="AE47" s="15">
        <v>4687.18</v>
      </c>
      <c r="AF47" s="15">
        <v>3.97</v>
      </c>
      <c r="AG47" s="15">
        <v>120</v>
      </c>
      <c r="AH47" s="15" t="s">
        <v>40</v>
      </c>
      <c r="AI47" s="14"/>
      <c r="AJ47" s="16">
        <v>129600</v>
      </c>
      <c r="AK47" s="1">
        <f t="shared" si="0"/>
        <v>129596.03</v>
      </c>
      <c r="AL47" s="2">
        <f t="shared" si="1"/>
        <v>99.996936728395056</v>
      </c>
      <c r="AM47" s="16">
        <f t="shared" si="2"/>
        <v>124912.82</v>
      </c>
      <c r="AN47" s="2">
        <f t="shared" si="3"/>
        <v>96.383348765432103</v>
      </c>
    </row>
    <row r="48" spans="1:40" x14ac:dyDescent="0.35">
      <c r="A48" s="14" t="s">
        <v>27</v>
      </c>
      <c r="B48" s="14" t="s">
        <v>28</v>
      </c>
      <c r="C48" s="14" t="s">
        <v>47</v>
      </c>
      <c r="D48" s="14" t="s">
        <v>789</v>
      </c>
      <c r="E48" s="14" t="s">
        <v>193</v>
      </c>
      <c r="F48" s="14" t="s">
        <v>32</v>
      </c>
      <c r="G48" s="14" t="s">
        <v>33</v>
      </c>
      <c r="H48" s="14" t="s">
        <v>984</v>
      </c>
      <c r="I48" s="14" t="s">
        <v>414</v>
      </c>
      <c r="J48" s="14" t="s">
        <v>414</v>
      </c>
      <c r="K48" s="14" t="s">
        <v>204</v>
      </c>
      <c r="L48" s="14" t="s">
        <v>973</v>
      </c>
      <c r="M48" s="14" t="s">
        <v>413</v>
      </c>
      <c r="N48" s="14" t="s">
        <v>996</v>
      </c>
      <c r="O48" s="14" t="s">
        <v>991</v>
      </c>
      <c r="P48" s="14"/>
      <c r="Q48" s="14" t="s">
        <v>196</v>
      </c>
      <c r="R48" s="14" t="s">
        <v>36</v>
      </c>
      <c r="S48" s="14" t="s">
        <v>37</v>
      </c>
      <c r="T48" s="14" t="s">
        <v>88</v>
      </c>
      <c r="U48" s="14" t="s">
        <v>37</v>
      </c>
      <c r="V48" s="22">
        <v>46152.437939814816</v>
      </c>
      <c r="W48" s="22">
        <v>46153.375</v>
      </c>
      <c r="X48" s="15">
        <v>1349.37</v>
      </c>
      <c r="Y48" s="22">
        <v>46152.437951388885</v>
      </c>
      <c r="Z48" s="15">
        <v>0.02</v>
      </c>
      <c r="AA48" s="15">
        <v>30</v>
      </c>
      <c r="AB48" s="15" t="s">
        <v>40</v>
      </c>
      <c r="AC48" s="22">
        <v>46152.444791666669</v>
      </c>
      <c r="AD48" s="22">
        <v>46153.33699074074</v>
      </c>
      <c r="AE48" s="15">
        <v>1284.77</v>
      </c>
      <c r="AF48" s="15">
        <v>64.599999999999994</v>
      </c>
      <c r="AG48" s="15">
        <v>120</v>
      </c>
      <c r="AH48" s="15" t="s">
        <v>40</v>
      </c>
      <c r="AI48" s="14"/>
      <c r="AJ48" s="16">
        <v>129600</v>
      </c>
      <c r="AK48" s="1">
        <f t="shared" si="0"/>
        <v>129535.4</v>
      </c>
      <c r="AL48" s="2">
        <f t="shared" si="1"/>
        <v>99.95015432098765</v>
      </c>
      <c r="AM48" s="16">
        <f t="shared" si="2"/>
        <v>128315.23</v>
      </c>
      <c r="AN48" s="2">
        <f t="shared" si="3"/>
        <v>99.00866512345678</v>
      </c>
    </row>
    <row r="49" spans="1:40" x14ac:dyDescent="0.35">
      <c r="A49" s="14" t="s">
        <v>27</v>
      </c>
      <c r="B49" s="14" t="s">
        <v>28</v>
      </c>
      <c r="C49" s="14" t="s">
        <v>47</v>
      </c>
      <c r="D49" s="14" t="s">
        <v>587</v>
      </c>
      <c r="E49" s="14" t="s">
        <v>193</v>
      </c>
      <c r="F49" s="14" t="s">
        <v>32</v>
      </c>
      <c r="G49" s="14" t="s">
        <v>33</v>
      </c>
      <c r="H49" s="14" t="s">
        <v>964</v>
      </c>
      <c r="I49" s="14" t="s">
        <v>240</v>
      </c>
      <c r="J49" s="14" t="s">
        <v>240</v>
      </c>
      <c r="K49" s="14" t="s">
        <v>204</v>
      </c>
      <c r="L49" s="14" t="s">
        <v>973</v>
      </c>
      <c r="M49" s="14" t="s">
        <v>239</v>
      </c>
      <c r="N49" s="14" t="s">
        <v>990</v>
      </c>
      <c r="O49" s="14" t="s">
        <v>991</v>
      </c>
      <c r="P49" s="14"/>
      <c r="Q49" s="14" t="s">
        <v>196</v>
      </c>
      <c r="R49" s="14" t="s">
        <v>36</v>
      </c>
      <c r="S49" s="14" t="s">
        <v>37</v>
      </c>
      <c r="T49" s="14" t="s">
        <v>38</v>
      </c>
      <c r="U49" s="14" t="s">
        <v>588</v>
      </c>
      <c r="V49" s="22">
        <v>46154.933113425926</v>
      </c>
      <c r="W49" s="22">
        <v>46155.01666666667</v>
      </c>
      <c r="X49" s="15">
        <v>120.32</v>
      </c>
      <c r="Y49" s="22">
        <v>46154.933125000003</v>
      </c>
      <c r="Z49" s="15">
        <v>0.02</v>
      </c>
      <c r="AA49" s="15">
        <v>30</v>
      </c>
      <c r="AB49" s="15" t="s">
        <v>40</v>
      </c>
      <c r="AC49" s="22">
        <v>46154.936620370368</v>
      </c>
      <c r="AD49" s="22">
        <v>46155.012858796297</v>
      </c>
      <c r="AE49" s="15">
        <v>109.78</v>
      </c>
      <c r="AF49" s="15">
        <v>10.53</v>
      </c>
      <c r="AG49" s="15">
        <v>120</v>
      </c>
      <c r="AH49" s="15" t="s">
        <v>40</v>
      </c>
      <c r="AI49" s="14"/>
      <c r="AJ49" s="16">
        <v>129600</v>
      </c>
      <c r="AK49" s="1">
        <f t="shared" si="0"/>
        <v>129589.47</v>
      </c>
      <c r="AL49" s="2">
        <f t="shared" si="1"/>
        <v>99.991874999999993</v>
      </c>
      <c r="AM49" s="16">
        <f t="shared" si="2"/>
        <v>129490.22</v>
      </c>
      <c r="AN49" s="2">
        <f t="shared" si="3"/>
        <v>99.915293209876538</v>
      </c>
    </row>
    <row r="50" spans="1:40" x14ac:dyDescent="0.35">
      <c r="A50" s="14" t="s">
        <v>27</v>
      </c>
      <c r="B50" s="14" t="s">
        <v>94</v>
      </c>
      <c r="C50" s="14" t="s">
        <v>73</v>
      </c>
      <c r="D50" s="14" t="s">
        <v>919</v>
      </c>
      <c r="E50" s="14" t="s">
        <v>920</v>
      </c>
      <c r="F50" s="14" t="s">
        <v>32</v>
      </c>
      <c r="G50" s="14" t="s">
        <v>312</v>
      </c>
      <c r="H50" s="14" t="s">
        <v>984</v>
      </c>
      <c r="I50" s="14" t="s">
        <v>921</v>
      </c>
      <c r="J50" s="14" t="s">
        <v>921</v>
      </c>
      <c r="K50" s="14" t="s">
        <v>180</v>
      </c>
      <c r="L50" s="14" t="s">
        <v>967</v>
      </c>
      <c r="M50" s="14" t="s">
        <v>997</v>
      </c>
      <c r="N50" s="14" t="s">
        <v>977</v>
      </c>
      <c r="O50" s="14" t="s">
        <v>998</v>
      </c>
      <c r="P50" s="14"/>
      <c r="Q50" s="14" t="s">
        <v>872</v>
      </c>
      <c r="R50" s="14" t="s">
        <v>36</v>
      </c>
      <c r="S50" s="14" t="s">
        <v>279</v>
      </c>
      <c r="T50" s="14"/>
      <c r="U50" s="14" t="s">
        <v>922</v>
      </c>
      <c r="V50" s="22">
        <v>46155.587881944448</v>
      </c>
      <c r="W50" s="22">
        <v>46155.63958333333</v>
      </c>
      <c r="X50" s="15">
        <v>74.45</v>
      </c>
      <c r="Y50" s="22">
        <v>46155.587870370371</v>
      </c>
      <c r="Z50" s="15">
        <v>0</v>
      </c>
      <c r="AA50" s="15">
        <v>30</v>
      </c>
      <c r="AB50" s="15" t="s">
        <v>40</v>
      </c>
      <c r="AC50" s="15"/>
      <c r="AD50" s="15"/>
      <c r="AE50" s="15">
        <v>0</v>
      </c>
      <c r="AF50" s="15">
        <v>74.45</v>
      </c>
      <c r="AG50" s="15">
        <v>2880</v>
      </c>
      <c r="AH50" s="15" t="s">
        <v>40</v>
      </c>
      <c r="AI50" s="14"/>
      <c r="AJ50" s="16">
        <v>129600</v>
      </c>
      <c r="AK50" s="1">
        <f t="shared" si="0"/>
        <v>129525.55</v>
      </c>
      <c r="AL50" s="2">
        <f t="shared" si="1"/>
        <v>99.942554012345681</v>
      </c>
      <c r="AM50" s="16">
        <f t="shared" si="2"/>
        <v>129600</v>
      </c>
      <c r="AN50" s="2">
        <f t="shared" si="3"/>
        <v>100</v>
      </c>
    </row>
    <row r="51" spans="1:40" x14ac:dyDescent="0.35">
      <c r="A51" s="14" t="s">
        <v>27</v>
      </c>
      <c r="B51" s="14" t="s">
        <v>28</v>
      </c>
      <c r="C51" s="14" t="s">
        <v>47</v>
      </c>
      <c r="D51" s="14" t="s">
        <v>649</v>
      </c>
      <c r="E51" s="14" t="s">
        <v>193</v>
      </c>
      <c r="F51" s="14" t="s">
        <v>32</v>
      </c>
      <c r="G51" s="14" t="s">
        <v>33</v>
      </c>
      <c r="H51" s="14" t="s">
        <v>964</v>
      </c>
      <c r="I51" s="14" t="s">
        <v>249</v>
      </c>
      <c r="J51" s="14" t="s">
        <v>249</v>
      </c>
      <c r="K51" s="14" t="s">
        <v>204</v>
      </c>
      <c r="L51" s="14" t="s">
        <v>973</v>
      </c>
      <c r="M51" s="14" t="s">
        <v>248</v>
      </c>
      <c r="N51" s="14" t="s">
        <v>990</v>
      </c>
      <c r="O51" s="14" t="s">
        <v>991</v>
      </c>
      <c r="P51" s="14"/>
      <c r="Q51" s="14" t="s">
        <v>196</v>
      </c>
      <c r="R51" s="14" t="s">
        <v>36</v>
      </c>
      <c r="S51" s="14" t="s">
        <v>37</v>
      </c>
      <c r="T51" s="14" t="s">
        <v>37</v>
      </c>
      <c r="U51" s="14" t="s">
        <v>650</v>
      </c>
      <c r="V51" s="22">
        <v>46156.273587962962</v>
      </c>
      <c r="W51" s="22">
        <v>46156.291666666664</v>
      </c>
      <c r="X51" s="15">
        <v>26.03</v>
      </c>
      <c r="Y51" s="22">
        <v>46156.273599537039</v>
      </c>
      <c r="Z51" s="15">
        <v>0.02</v>
      </c>
      <c r="AA51" s="15">
        <v>30</v>
      </c>
      <c r="AB51" s="15" t="s">
        <v>40</v>
      </c>
      <c r="AC51" s="22">
        <v>46156.279606481483</v>
      </c>
      <c r="AD51" s="22">
        <v>46156.280624999999</v>
      </c>
      <c r="AE51" s="15">
        <v>1.47</v>
      </c>
      <c r="AF51" s="15">
        <v>24.57</v>
      </c>
      <c r="AG51" s="15">
        <v>120</v>
      </c>
      <c r="AH51" s="15" t="s">
        <v>40</v>
      </c>
      <c r="AI51" s="14"/>
      <c r="AJ51" s="16">
        <v>129600</v>
      </c>
      <c r="AK51" s="1">
        <f t="shared" si="0"/>
        <v>129575.43</v>
      </c>
      <c r="AL51" s="2">
        <f t="shared" si="1"/>
        <v>99.981041666666655</v>
      </c>
      <c r="AM51" s="16">
        <f t="shared" si="2"/>
        <v>129598.53</v>
      </c>
      <c r="AN51" s="2">
        <f t="shared" si="3"/>
        <v>99.99886574074074</v>
      </c>
    </row>
    <row r="52" spans="1:40" x14ac:dyDescent="0.35">
      <c r="A52" s="14" t="s">
        <v>27</v>
      </c>
      <c r="B52" s="14" t="s">
        <v>28</v>
      </c>
      <c r="C52" s="14" t="s">
        <v>41</v>
      </c>
      <c r="D52" s="14" t="s">
        <v>506</v>
      </c>
      <c r="E52" s="14" t="s">
        <v>193</v>
      </c>
      <c r="F52" s="14" t="s">
        <v>32</v>
      </c>
      <c r="G52" s="14" t="s">
        <v>33</v>
      </c>
      <c r="H52" s="14" t="s">
        <v>964</v>
      </c>
      <c r="I52" s="14" t="s">
        <v>363</v>
      </c>
      <c r="J52" s="14" t="s">
        <v>363</v>
      </c>
      <c r="K52" s="14" t="s">
        <v>204</v>
      </c>
      <c r="L52" s="14" t="s">
        <v>973</v>
      </c>
      <c r="M52" s="14" t="s">
        <v>362</v>
      </c>
      <c r="N52" s="14" t="s">
        <v>990</v>
      </c>
      <c r="O52" s="14" t="s">
        <v>991</v>
      </c>
      <c r="P52" s="14"/>
      <c r="Q52" s="14" t="s">
        <v>196</v>
      </c>
      <c r="R52" s="14" t="s">
        <v>36</v>
      </c>
      <c r="S52" s="14" t="s">
        <v>37</v>
      </c>
      <c r="T52" s="14" t="s">
        <v>88</v>
      </c>
      <c r="U52" s="14" t="s">
        <v>181</v>
      </c>
      <c r="V52" s="22">
        <v>46156.363993055558</v>
      </c>
      <c r="W52" s="22">
        <v>46168.454861111109</v>
      </c>
      <c r="X52" s="15">
        <v>17410.849999999999</v>
      </c>
      <c r="Y52" s="22">
        <v>46156.364004629628</v>
      </c>
      <c r="Z52" s="15">
        <v>0.02</v>
      </c>
      <c r="AA52" s="15">
        <v>30</v>
      </c>
      <c r="AB52" s="15" t="s">
        <v>40</v>
      </c>
      <c r="AC52" s="22">
        <v>46156.368252314816</v>
      </c>
      <c r="AD52" s="22">
        <v>46168.451331018521</v>
      </c>
      <c r="AE52" s="15">
        <v>17399.63</v>
      </c>
      <c r="AF52" s="15">
        <v>11.22</v>
      </c>
      <c r="AG52" s="15">
        <v>120</v>
      </c>
      <c r="AH52" s="15" t="s">
        <v>40</v>
      </c>
      <c r="AI52" s="14"/>
      <c r="AJ52" s="16">
        <v>129600</v>
      </c>
      <c r="AK52" s="1">
        <f t="shared" si="0"/>
        <v>129588.78</v>
      </c>
      <c r="AL52" s="2">
        <f t="shared" si="1"/>
        <v>99.991342592592588</v>
      </c>
      <c r="AM52" s="16">
        <f t="shared" si="2"/>
        <v>112200.37</v>
      </c>
      <c r="AN52" s="2">
        <f t="shared" si="3"/>
        <v>86.574359567901226</v>
      </c>
    </row>
    <row r="53" spans="1:40" x14ac:dyDescent="0.35">
      <c r="A53" s="14" t="s">
        <v>27</v>
      </c>
      <c r="B53" s="14" t="s">
        <v>28</v>
      </c>
      <c r="C53" s="14" t="s">
        <v>100</v>
      </c>
      <c r="D53" s="14" t="s">
        <v>567</v>
      </c>
      <c r="E53" s="14" t="s">
        <v>193</v>
      </c>
      <c r="F53" s="14" t="s">
        <v>32</v>
      </c>
      <c r="G53" s="14" t="s">
        <v>33</v>
      </c>
      <c r="H53" s="14" t="s">
        <v>964</v>
      </c>
      <c r="I53" s="14" t="s">
        <v>363</v>
      </c>
      <c r="J53" s="14" t="s">
        <v>363</v>
      </c>
      <c r="K53" s="14" t="s">
        <v>204</v>
      </c>
      <c r="L53" s="14" t="s">
        <v>973</v>
      </c>
      <c r="M53" s="14" t="s">
        <v>362</v>
      </c>
      <c r="N53" s="14" t="s">
        <v>990</v>
      </c>
      <c r="O53" s="14" t="s">
        <v>991</v>
      </c>
      <c r="P53" s="14"/>
      <c r="Q53" s="14" t="s">
        <v>196</v>
      </c>
      <c r="R53" s="14" t="s">
        <v>36</v>
      </c>
      <c r="S53" s="14" t="s">
        <v>37</v>
      </c>
      <c r="T53" s="14" t="s">
        <v>568</v>
      </c>
      <c r="U53" s="14" t="s">
        <v>59</v>
      </c>
      <c r="V53" s="22">
        <v>46156.392754629633</v>
      </c>
      <c r="W53" s="22">
        <v>46156.675000000003</v>
      </c>
      <c r="X53" s="15">
        <v>406.43</v>
      </c>
      <c r="Y53" s="22">
        <v>46156.392754629633</v>
      </c>
      <c r="Z53" s="15">
        <v>0</v>
      </c>
      <c r="AA53" s="15">
        <v>30</v>
      </c>
      <c r="AB53" s="15" t="s">
        <v>40</v>
      </c>
      <c r="AC53" s="22">
        <v>46156.428923611114</v>
      </c>
      <c r="AD53" s="22">
        <v>46156.674363425926</v>
      </c>
      <c r="AE53" s="15">
        <v>353.43</v>
      </c>
      <c r="AF53" s="15">
        <v>53</v>
      </c>
      <c r="AG53" s="15">
        <v>120</v>
      </c>
      <c r="AH53" s="15" t="s">
        <v>40</v>
      </c>
      <c r="AI53" s="14"/>
      <c r="AJ53" s="16">
        <v>129600</v>
      </c>
      <c r="AK53" s="1">
        <f t="shared" si="0"/>
        <v>129547</v>
      </c>
      <c r="AL53" s="2">
        <f t="shared" si="1"/>
        <v>99.959104938271608</v>
      </c>
      <c r="AM53" s="16">
        <f t="shared" si="2"/>
        <v>129246.57</v>
      </c>
      <c r="AN53" s="2">
        <f t="shared" si="3"/>
        <v>99.727291666666673</v>
      </c>
    </row>
    <row r="54" spans="1:40" x14ac:dyDescent="0.35">
      <c r="A54" s="14" t="s">
        <v>27</v>
      </c>
      <c r="B54" s="14" t="s">
        <v>28</v>
      </c>
      <c r="C54" s="14" t="s">
        <v>41</v>
      </c>
      <c r="D54" s="14" t="s">
        <v>439</v>
      </c>
      <c r="E54" s="14" t="s">
        <v>193</v>
      </c>
      <c r="F54" s="14" t="s">
        <v>32</v>
      </c>
      <c r="G54" s="14" t="s">
        <v>33</v>
      </c>
      <c r="H54" s="14" t="s">
        <v>964</v>
      </c>
      <c r="I54" s="14" t="s">
        <v>363</v>
      </c>
      <c r="J54" s="14" t="s">
        <v>363</v>
      </c>
      <c r="K54" s="14" t="s">
        <v>204</v>
      </c>
      <c r="L54" s="14" t="s">
        <v>973</v>
      </c>
      <c r="M54" s="14" t="s">
        <v>362</v>
      </c>
      <c r="N54" s="14" t="s">
        <v>990</v>
      </c>
      <c r="O54" s="14" t="s">
        <v>991</v>
      </c>
      <c r="P54" s="14"/>
      <c r="Q54" s="14" t="s">
        <v>196</v>
      </c>
      <c r="R54" s="14" t="s">
        <v>36</v>
      </c>
      <c r="S54" s="14" t="s">
        <v>37</v>
      </c>
      <c r="T54" s="14" t="s">
        <v>88</v>
      </c>
      <c r="U54" s="14" t="s">
        <v>181</v>
      </c>
      <c r="V54" s="22">
        <v>46156.431087962963</v>
      </c>
      <c r="W54" s="22">
        <v>46168.456250000003</v>
      </c>
      <c r="X54" s="15">
        <v>17316.23</v>
      </c>
      <c r="Y54" s="22">
        <v>46156.43109953704</v>
      </c>
      <c r="Z54" s="15">
        <v>0.02</v>
      </c>
      <c r="AA54" s="15">
        <v>30</v>
      </c>
      <c r="AB54" s="15" t="s">
        <v>40</v>
      </c>
      <c r="AC54" s="22">
        <v>46156.432719907411</v>
      </c>
      <c r="AD54" s="22">
        <v>46168.453113425923</v>
      </c>
      <c r="AE54" s="15">
        <v>17309.37</v>
      </c>
      <c r="AF54" s="15">
        <v>6.87</v>
      </c>
      <c r="AG54" s="15">
        <v>120</v>
      </c>
      <c r="AH54" s="15" t="s">
        <v>40</v>
      </c>
      <c r="AI54" s="14"/>
      <c r="AJ54" s="16">
        <v>129600</v>
      </c>
      <c r="AK54" s="1">
        <f t="shared" si="0"/>
        <v>129593.13</v>
      </c>
      <c r="AL54" s="2">
        <f t="shared" si="1"/>
        <v>99.994699074074077</v>
      </c>
      <c r="AM54" s="16">
        <f t="shared" si="2"/>
        <v>112290.63</v>
      </c>
      <c r="AN54" s="2">
        <f t="shared" si="3"/>
        <v>86.644004629629634</v>
      </c>
    </row>
    <row r="55" spans="1:40" x14ac:dyDescent="0.35">
      <c r="A55" s="14" t="s">
        <v>27</v>
      </c>
      <c r="B55" s="14" t="s">
        <v>28</v>
      </c>
      <c r="C55" s="14" t="s">
        <v>100</v>
      </c>
      <c r="D55" s="14" t="s">
        <v>636</v>
      </c>
      <c r="E55" s="14" t="s">
        <v>193</v>
      </c>
      <c r="F55" s="14" t="s">
        <v>32</v>
      </c>
      <c r="G55" s="14" t="s">
        <v>33</v>
      </c>
      <c r="H55" s="14" t="s">
        <v>964</v>
      </c>
      <c r="I55" s="14" t="s">
        <v>465</v>
      </c>
      <c r="J55" s="14" t="s">
        <v>465</v>
      </c>
      <c r="K55" s="14" t="s">
        <v>204</v>
      </c>
      <c r="L55" s="14" t="s">
        <v>973</v>
      </c>
      <c r="M55" s="14" t="s">
        <v>464</v>
      </c>
      <c r="N55" s="14" t="s">
        <v>990</v>
      </c>
      <c r="O55" s="14" t="s">
        <v>991</v>
      </c>
      <c r="P55" s="14"/>
      <c r="Q55" s="14" t="s">
        <v>196</v>
      </c>
      <c r="R55" s="14" t="s">
        <v>36</v>
      </c>
      <c r="S55" s="14" t="s">
        <v>37</v>
      </c>
      <c r="T55" s="14" t="s">
        <v>568</v>
      </c>
      <c r="U55" s="14" t="s">
        <v>59</v>
      </c>
      <c r="V55" s="22">
        <v>46156.448136574072</v>
      </c>
      <c r="W55" s="22">
        <v>46156.677777777775</v>
      </c>
      <c r="X55" s="15">
        <v>330.68</v>
      </c>
      <c r="Y55" s="22">
        <v>46156.448136574072</v>
      </c>
      <c r="Z55" s="15">
        <v>0</v>
      </c>
      <c r="AA55" s="15">
        <v>30</v>
      </c>
      <c r="AB55" s="15" t="s">
        <v>40</v>
      </c>
      <c r="AC55" s="22">
        <v>46156.463842592595</v>
      </c>
      <c r="AD55" s="22">
        <v>46156.675358796296</v>
      </c>
      <c r="AE55" s="15">
        <v>304.58</v>
      </c>
      <c r="AF55" s="15">
        <v>26.1</v>
      </c>
      <c r="AG55" s="15">
        <v>120</v>
      </c>
      <c r="AH55" s="15" t="s">
        <v>40</v>
      </c>
      <c r="AI55" s="14"/>
      <c r="AJ55" s="16">
        <v>129600</v>
      </c>
      <c r="AK55" s="1">
        <f t="shared" si="0"/>
        <v>129573.9</v>
      </c>
      <c r="AL55" s="2">
        <f t="shared" si="1"/>
        <v>99.979861111111106</v>
      </c>
      <c r="AM55" s="16">
        <f t="shared" si="2"/>
        <v>129295.42</v>
      </c>
      <c r="AN55" s="2">
        <f t="shared" si="3"/>
        <v>99.764984567901237</v>
      </c>
    </row>
    <row r="56" spans="1:40" x14ac:dyDescent="0.35">
      <c r="A56" s="14" t="s">
        <v>27</v>
      </c>
      <c r="B56" s="14" t="s">
        <v>28</v>
      </c>
      <c r="C56" s="14" t="s">
        <v>100</v>
      </c>
      <c r="D56" s="14" t="s">
        <v>760</v>
      </c>
      <c r="E56" s="14" t="s">
        <v>193</v>
      </c>
      <c r="F56" s="14" t="s">
        <v>32</v>
      </c>
      <c r="G56" s="14" t="s">
        <v>33</v>
      </c>
      <c r="H56" s="14" t="s">
        <v>964</v>
      </c>
      <c r="I56" s="14" t="s">
        <v>504</v>
      </c>
      <c r="J56" s="14" t="s">
        <v>504</v>
      </c>
      <c r="K56" s="14" t="s">
        <v>204</v>
      </c>
      <c r="L56" s="14" t="s">
        <v>973</v>
      </c>
      <c r="M56" s="14" t="s">
        <v>503</v>
      </c>
      <c r="N56" s="14" t="s">
        <v>990</v>
      </c>
      <c r="O56" s="14" t="s">
        <v>991</v>
      </c>
      <c r="P56" s="14"/>
      <c r="Q56" s="14" t="s">
        <v>196</v>
      </c>
      <c r="R56" s="14" t="s">
        <v>36</v>
      </c>
      <c r="S56" s="14" t="s">
        <v>37</v>
      </c>
      <c r="T56" s="14" t="s">
        <v>732</v>
      </c>
      <c r="U56" s="14" t="s">
        <v>59</v>
      </c>
      <c r="V56" s="22">
        <v>46156.453009259261</v>
      </c>
      <c r="W56" s="22">
        <v>46156.679166666669</v>
      </c>
      <c r="X56" s="15">
        <v>325.67</v>
      </c>
      <c r="Y56" s="22">
        <v>46156.453009259261</v>
      </c>
      <c r="Z56" s="15">
        <v>0</v>
      </c>
      <c r="AA56" s="15">
        <v>30</v>
      </c>
      <c r="AB56" s="15" t="s">
        <v>40</v>
      </c>
      <c r="AC56" s="22">
        <v>46156.464456018519</v>
      </c>
      <c r="AD56" s="22">
        <v>46156.678599537037</v>
      </c>
      <c r="AE56" s="15">
        <v>308.37</v>
      </c>
      <c r="AF56" s="15">
        <v>17.3</v>
      </c>
      <c r="AG56" s="15">
        <v>120</v>
      </c>
      <c r="AH56" s="15" t="s">
        <v>40</v>
      </c>
      <c r="AI56" s="14"/>
      <c r="AJ56" s="16">
        <v>129600</v>
      </c>
      <c r="AK56" s="1">
        <f t="shared" si="0"/>
        <v>129582.7</v>
      </c>
      <c r="AL56" s="2">
        <f t="shared" si="1"/>
        <v>99.986651234567901</v>
      </c>
      <c r="AM56" s="16">
        <f t="shared" si="2"/>
        <v>129291.63</v>
      </c>
      <c r="AN56" s="2">
        <f t="shared" si="3"/>
        <v>99.762060185185192</v>
      </c>
    </row>
    <row r="57" spans="1:40" x14ac:dyDescent="0.35">
      <c r="A57" s="14" t="s">
        <v>27</v>
      </c>
      <c r="B57" s="14" t="s">
        <v>28</v>
      </c>
      <c r="C57" s="14" t="s">
        <v>100</v>
      </c>
      <c r="D57" s="14" t="s">
        <v>731</v>
      </c>
      <c r="E57" s="14" t="s">
        <v>193</v>
      </c>
      <c r="F57" s="14" t="s">
        <v>32</v>
      </c>
      <c r="G57" s="14" t="s">
        <v>33</v>
      </c>
      <c r="H57" s="14" t="s">
        <v>964</v>
      </c>
      <c r="I57" s="14" t="s">
        <v>249</v>
      </c>
      <c r="J57" s="14" t="s">
        <v>249</v>
      </c>
      <c r="K57" s="14" t="s">
        <v>204</v>
      </c>
      <c r="L57" s="14" t="s">
        <v>973</v>
      </c>
      <c r="M57" s="14" t="s">
        <v>248</v>
      </c>
      <c r="N57" s="14" t="s">
        <v>990</v>
      </c>
      <c r="O57" s="14" t="s">
        <v>991</v>
      </c>
      <c r="P57" s="14"/>
      <c r="Q57" s="14" t="s">
        <v>196</v>
      </c>
      <c r="R57" s="14" t="s">
        <v>36</v>
      </c>
      <c r="S57" s="14" t="s">
        <v>37</v>
      </c>
      <c r="T57" s="14" t="s">
        <v>732</v>
      </c>
      <c r="U57" s="14" t="s">
        <v>59</v>
      </c>
      <c r="V57" s="22">
        <v>46156.453113425923</v>
      </c>
      <c r="W57" s="22">
        <v>46156.680555555555</v>
      </c>
      <c r="X57" s="15">
        <v>327.52</v>
      </c>
      <c r="Y57" s="22">
        <v>46156.453125</v>
      </c>
      <c r="Z57" s="15">
        <v>0.02</v>
      </c>
      <c r="AA57" s="15">
        <v>30</v>
      </c>
      <c r="AB57" s="15" t="s">
        <v>40</v>
      </c>
      <c r="AC57" s="22">
        <v>46156.464999999997</v>
      </c>
      <c r="AD57" s="22">
        <v>46156.679328703707</v>
      </c>
      <c r="AE57" s="15">
        <v>308.63</v>
      </c>
      <c r="AF57" s="15">
        <v>18.88</v>
      </c>
      <c r="AG57" s="15">
        <v>120</v>
      </c>
      <c r="AH57" s="15" t="s">
        <v>40</v>
      </c>
      <c r="AI57" s="14"/>
      <c r="AJ57" s="16">
        <v>129600</v>
      </c>
      <c r="AK57" s="1">
        <f t="shared" si="0"/>
        <v>129581.12</v>
      </c>
      <c r="AL57" s="2">
        <f t="shared" si="1"/>
        <v>99.985432098765429</v>
      </c>
      <c r="AM57" s="16">
        <f t="shared" si="2"/>
        <v>129291.37</v>
      </c>
      <c r="AN57" s="2">
        <f t="shared" si="3"/>
        <v>99.76185956790124</v>
      </c>
    </row>
    <row r="58" spans="1:40" x14ac:dyDescent="0.35">
      <c r="A58" s="14" t="s">
        <v>27</v>
      </c>
      <c r="B58" s="14" t="s">
        <v>28</v>
      </c>
      <c r="C58" s="14" t="s">
        <v>73</v>
      </c>
      <c r="D58" s="14" t="s">
        <v>771</v>
      </c>
      <c r="E58" s="14" t="s">
        <v>193</v>
      </c>
      <c r="F58" s="14" t="s">
        <v>32</v>
      </c>
      <c r="G58" s="14" t="s">
        <v>33</v>
      </c>
      <c r="H58" s="14" t="s">
        <v>964</v>
      </c>
      <c r="I58" s="14" t="s">
        <v>465</v>
      </c>
      <c r="J58" s="14" t="s">
        <v>465</v>
      </c>
      <c r="K58" s="14" t="s">
        <v>204</v>
      </c>
      <c r="L58" s="14" t="s">
        <v>973</v>
      </c>
      <c r="M58" s="14" t="s">
        <v>464</v>
      </c>
      <c r="N58" s="14" t="s">
        <v>990</v>
      </c>
      <c r="O58" s="14" t="s">
        <v>991</v>
      </c>
      <c r="P58" s="14"/>
      <c r="Q58" s="14" t="s">
        <v>196</v>
      </c>
      <c r="R58" s="14" t="s">
        <v>36</v>
      </c>
      <c r="S58" s="14" t="s">
        <v>461</v>
      </c>
      <c r="T58" s="14"/>
      <c r="U58" s="14" t="s">
        <v>772</v>
      </c>
      <c r="V58" s="22">
        <v>46157.566134259258</v>
      </c>
      <c r="W58" s="22">
        <v>46157.574999999997</v>
      </c>
      <c r="X58" s="15">
        <v>12.77</v>
      </c>
      <c r="Y58" s="22">
        <v>46157.566145833334</v>
      </c>
      <c r="Z58" s="15">
        <v>0.02</v>
      </c>
      <c r="AA58" s="15">
        <v>30</v>
      </c>
      <c r="AB58" s="15" t="s">
        <v>40</v>
      </c>
      <c r="AC58" s="15"/>
      <c r="AD58" s="15"/>
      <c r="AE58" s="15">
        <v>0</v>
      </c>
      <c r="AF58" s="15">
        <v>12.77</v>
      </c>
      <c r="AG58" s="15">
        <v>120</v>
      </c>
      <c r="AH58" s="15" t="s">
        <v>40</v>
      </c>
      <c r="AI58" s="14"/>
      <c r="AJ58" s="16">
        <v>129600</v>
      </c>
      <c r="AK58" s="1">
        <f t="shared" si="0"/>
        <v>129587.23</v>
      </c>
      <c r="AL58" s="2">
        <f t="shared" si="1"/>
        <v>99.990146604938275</v>
      </c>
      <c r="AM58" s="16">
        <f t="shared" si="2"/>
        <v>129600</v>
      </c>
      <c r="AN58" s="2">
        <f t="shared" si="3"/>
        <v>100</v>
      </c>
    </row>
    <row r="59" spans="1:40" x14ac:dyDescent="0.35">
      <c r="A59" s="14" t="s">
        <v>27</v>
      </c>
      <c r="B59" s="14" t="s">
        <v>28</v>
      </c>
      <c r="C59" s="14" t="s">
        <v>73</v>
      </c>
      <c r="D59" s="14" t="s">
        <v>822</v>
      </c>
      <c r="E59" s="14" t="s">
        <v>193</v>
      </c>
      <c r="F59" s="14" t="s">
        <v>32</v>
      </c>
      <c r="G59" s="14" t="s">
        <v>33</v>
      </c>
      <c r="H59" s="14" t="s">
        <v>964</v>
      </c>
      <c r="I59" s="14" t="s">
        <v>249</v>
      </c>
      <c r="J59" s="14" t="s">
        <v>249</v>
      </c>
      <c r="K59" s="14" t="s">
        <v>204</v>
      </c>
      <c r="L59" s="14" t="s">
        <v>973</v>
      </c>
      <c r="M59" s="14" t="s">
        <v>248</v>
      </c>
      <c r="N59" s="14" t="s">
        <v>990</v>
      </c>
      <c r="O59" s="14" t="s">
        <v>991</v>
      </c>
      <c r="P59" s="14"/>
      <c r="Q59" s="14" t="s">
        <v>196</v>
      </c>
      <c r="R59" s="14" t="s">
        <v>36</v>
      </c>
      <c r="S59" s="14" t="s">
        <v>461</v>
      </c>
      <c r="T59" s="14"/>
      <c r="U59" s="14" t="s">
        <v>772</v>
      </c>
      <c r="V59" s="22">
        <v>46157.566134259258</v>
      </c>
      <c r="W59" s="22">
        <v>46157.577777777777</v>
      </c>
      <c r="X59" s="15">
        <v>16.77</v>
      </c>
      <c r="Y59" s="22">
        <v>46157.566145833334</v>
      </c>
      <c r="Z59" s="15">
        <v>0.02</v>
      </c>
      <c r="AA59" s="15">
        <v>30</v>
      </c>
      <c r="AB59" s="15" t="s">
        <v>40</v>
      </c>
      <c r="AC59" s="15"/>
      <c r="AD59" s="15"/>
      <c r="AE59" s="15">
        <v>0</v>
      </c>
      <c r="AF59" s="15">
        <v>16.77</v>
      </c>
      <c r="AG59" s="15">
        <v>120</v>
      </c>
      <c r="AH59" s="15" t="s">
        <v>40</v>
      </c>
      <c r="AI59" s="14"/>
      <c r="AJ59" s="16">
        <v>129600</v>
      </c>
      <c r="AK59" s="1">
        <f t="shared" si="0"/>
        <v>129583.23</v>
      </c>
      <c r="AL59" s="2">
        <f t="shared" si="1"/>
        <v>99.987060185185186</v>
      </c>
      <c r="AM59" s="16">
        <f t="shared" si="2"/>
        <v>129600</v>
      </c>
      <c r="AN59" s="2">
        <f t="shared" si="3"/>
        <v>100</v>
      </c>
    </row>
    <row r="60" spans="1:40" x14ac:dyDescent="0.35">
      <c r="A60" s="14" t="s">
        <v>27</v>
      </c>
      <c r="B60" s="14" t="s">
        <v>28</v>
      </c>
      <c r="C60" s="14" t="s">
        <v>73</v>
      </c>
      <c r="D60" s="14" t="s">
        <v>578</v>
      </c>
      <c r="E60" s="14" t="s">
        <v>193</v>
      </c>
      <c r="F60" s="14" t="s">
        <v>32</v>
      </c>
      <c r="G60" s="14" t="s">
        <v>33</v>
      </c>
      <c r="H60" s="14" t="s">
        <v>964</v>
      </c>
      <c r="I60" s="14" t="s">
        <v>363</v>
      </c>
      <c r="J60" s="14" t="s">
        <v>363</v>
      </c>
      <c r="K60" s="14" t="s">
        <v>204</v>
      </c>
      <c r="L60" s="14" t="s">
        <v>973</v>
      </c>
      <c r="M60" s="14" t="s">
        <v>362</v>
      </c>
      <c r="N60" s="14" t="s">
        <v>990</v>
      </c>
      <c r="O60" s="14" t="s">
        <v>991</v>
      </c>
      <c r="P60" s="14"/>
      <c r="Q60" s="14" t="s">
        <v>196</v>
      </c>
      <c r="R60" s="14" t="s">
        <v>36</v>
      </c>
      <c r="S60" s="14" t="s">
        <v>461</v>
      </c>
      <c r="T60" s="14"/>
      <c r="U60" s="14" t="s">
        <v>579</v>
      </c>
      <c r="V60" s="22">
        <v>46157.566238425927</v>
      </c>
      <c r="W60" s="22">
        <v>46157.57916666667</v>
      </c>
      <c r="X60" s="15">
        <v>18.62</v>
      </c>
      <c r="Y60" s="22">
        <v>46157.566250000003</v>
      </c>
      <c r="Z60" s="15">
        <v>0.02</v>
      </c>
      <c r="AA60" s="15">
        <v>30</v>
      </c>
      <c r="AB60" s="15" t="s">
        <v>40</v>
      </c>
      <c r="AC60" s="15"/>
      <c r="AD60" s="15"/>
      <c r="AE60" s="15">
        <v>0</v>
      </c>
      <c r="AF60" s="15">
        <v>18.62</v>
      </c>
      <c r="AG60" s="15">
        <v>120</v>
      </c>
      <c r="AH60" s="15" t="s">
        <v>40</v>
      </c>
      <c r="AI60" s="14"/>
      <c r="AJ60" s="16">
        <v>129600</v>
      </c>
      <c r="AK60" s="1">
        <f t="shared" si="0"/>
        <v>129581.38</v>
      </c>
      <c r="AL60" s="2">
        <f t="shared" si="1"/>
        <v>99.985632716049395</v>
      </c>
      <c r="AM60" s="16">
        <f t="shared" si="2"/>
        <v>129600</v>
      </c>
      <c r="AN60" s="2">
        <f t="shared" si="3"/>
        <v>100</v>
      </c>
    </row>
    <row r="61" spans="1:40" x14ac:dyDescent="0.35">
      <c r="A61" s="14" t="s">
        <v>27</v>
      </c>
      <c r="B61" s="14" t="s">
        <v>94</v>
      </c>
      <c r="C61" s="14" t="s">
        <v>73</v>
      </c>
      <c r="D61" s="14" t="s">
        <v>589</v>
      </c>
      <c r="E61" s="14" t="s">
        <v>590</v>
      </c>
      <c r="F61" s="14" t="s">
        <v>32</v>
      </c>
      <c r="G61" s="14" t="s">
        <v>312</v>
      </c>
      <c r="H61" s="14" t="s">
        <v>963</v>
      </c>
      <c r="I61" s="14" t="s">
        <v>103</v>
      </c>
      <c r="J61" s="14" t="s">
        <v>103</v>
      </c>
      <c r="K61" s="14" t="s">
        <v>976</v>
      </c>
      <c r="L61" s="14" t="s">
        <v>967</v>
      </c>
      <c r="M61" s="14" t="s">
        <v>102</v>
      </c>
      <c r="N61" s="14" t="s">
        <v>977</v>
      </c>
      <c r="O61" s="14" t="s">
        <v>978</v>
      </c>
      <c r="P61" s="14"/>
      <c r="Q61" s="14" t="s">
        <v>196</v>
      </c>
      <c r="R61" s="14" t="s">
        <v>36</v>
      </c>
      <c r="S61" s="14" t="s">
        <v>279</v>
      </c>
      <c r="T61" s="14" t="s">
        <v>591</v>
      </c>
      <c r="U61" s="14" t="s">
        <v>592</v>
      </c>
      <c r="V61" s="22">
        <v>46157.726990740739</v>
      </c>
      <c r="W61" s="22">
        <v>46161.763888888891</v>
      </c>
      <c r="X61" s="15">
        <v>5813.13</v>
      </c>
      <c r="Y61" s="22">
        <v>46157.726979166669</v>
      </c>
      <c r="Z61" s="15">
        <v>0</v>
      </c>
      <c r="AA61" s="15">
        <v>30</v>
      </c>
      <c r="AB61" s="15" t="s">
        <v>40</v>
      </c>
      <c r="AC61" s="22">
        <v>46157.740300925929</v>
      </c>
      <c r="AD61" s="22">
        <v>46161.75980324074</v>
      </c>
      <c r="AE61" s="15">
        <v>5788.08</v>
      </c>
      <c r="AF61" s="15">
        <v>25.05</v>
      </c>
      <c r="AG61" s="15">
        <v>120</v>
      </c>
      <c r="AH61" s="15" t="s">
        <v>40</v>
      </c>
      <c r="AI61" s="14"/>
      <c r="AJ61" s="16">
        <v>129600</v>
      </c>
      <c r="AK61" s="1">
        <f t="shared" si="0"/>
        <v>129574.95</v>
      </c>
      <c r="AL61" s="2">
        <f t="shared" si="1"/>
        <v>99.980671296296293</v>
      </c>
      <c r="AM61" s="16">
        <f t="shared" si="2"/>
        <v>123811.92</v>
      </c>
      <c r="AN61" s="2">
        <f t="shared" si="3"/>
        <v>95.533888888888882</v>
      </c>
    </row>
    <row r="62" spans="1:40" x14ac:dyDescent="0.35">
      <c r="A62" s="14" t="s">
        <v>27</v>
      </c>
      <c r="B62" s="14" t="s">
        <v>94</v>
      </c>
      <c r="C62" s="14" t="s">
        <v>65</v>
      </c>
      <c r="D62" s="14" t="s">
        <v>908</v>
      </c>
      <c r="E62" s="14" t="s">
        <v>909</v>
      </c>
      <c r="F62" s="14" t="s">
        <v>32</v>
      </c>
      <c r="G62" s="14" t="s">
        <v>33</v>
      </c>
      <c r="H62" s="14" t="s">
        <v>964</v>
      </c>
      <c r="I62" s="14" t="s">
        <v>860</v>
      </c>
      <c r="J62" s="14" t="s">
        <v>860</v>
      </c>
      <c r="K62" s="14" t="s">
        <v>1033</v>
      </c>
      <c r="L62" s="14" t="s">
        <v>967</v>
      </c>
      <c r="M62" s="14">
        <v>1</v>
      </c>
      <c r="N62" s="14" t="e">
        <v>#N/A</v>
      </c>
      <c r="O62" s="14" t="e">
        <v>#N/A</v>
      </c>
      <c r="P62" s="14"/>
      <c r="Q62" s="14" t="s">
        <v>872</v>
      </c>
      <c r="R62" s="14" t="s">
        <v>36</v>
      </c>
      <c r="S62" s="14" t="s">
        <v>104</v>
      </c>
      <c r="T62" s="14" t="s">
        <v>910</v>
      </c>
      <c r="U62" s="14" t="s">
        <v>911</v>
      </c>
      <c r="V62" s="22">
        <v>46158.576805555553</v>
      </c>
      <c r="W62" s="22">
        <v>46160.634722222225</v>
      </c>
      <c r="X62" s="15">
        <v>2963.4</v>
      </c>
      <c r="Y62" s="22">
        <v>46158.576793981483</v>
      </c>
      <c r="Z62" s="15">
        <v>0</v>
      </c>
      <c r="AA62" s="15">
        <v>30</v>
      </c>
      <c r="AB62" s="15" t="s">
        <v>40</v>
      </c>
      <c r="AC62" s="22">
        <v>46158.590486111112</v>
      </c>
      <c r="AD62" s="22">
        <v>46160.632928240739</v>
      </c>
      <c r="AE62" s="15">
        <v>2941.12</v>
      </c>
      <c r="AF62" s="15">
        <v>22.28</v>
      </c>
      <c r="AG62" s="15">
        <v>2880</v>
      </c>
      <c r="AH62" s="15" t="s">
        <v>40</v>
      </c>
      <c r="AI62" s="14"/>
      <c r="AJ62" s="16">
        <v>129600</v>
      </c>
      <c r="AK62" s="1">
        <f t="shared" si="0"/>
        <v>129577.72</v>
      </c>
      <c r="AL62" s="2">
        <f t="shared" si="1"/>
        <v>99.982808641975311</v>
      </c>
      <c r="AM62" s="16">
        <f t="shared" si="2"/>
        <v>126658.88</v>
      </c>
      <c r="AN62" s="2">
        <f t="shared" si="3"/>
        <v>97.730617283950622</v>
      </c>
    </row>
    <row r="63" spans="1:40" x14ac:dyDescent="0.35">
      <c r="A63" s="14" t="s">
        <v>27</v>
      </c>
      <c r="B63" s="14" t="s">
        <v>28</v>
      </c>
      <c r="C63" s="14" t="s">
        <v>41</v>
      </c>
      <c r="D63" s="14" t="s">
        <v>177</v>
      </c>
      <c r="E63" s="14" t="s">
        <v>31</v>
      </c>
      <c r="F63" s="14" t="s">
        <v>32</v>
      </c>
      <c r="G63" s="14" t="s">
        <v>33</v>
      </c>
      <c r="H63" s="14" t="s">
        <v>972</v>
      </c>
      <c r="I63" s="14" t="s">
        <v>179</v>
      </c>
      <c r="J63" s="14" t="s">
        <v>179</v>
      </c>
      <c r="K63" s="14" t="s">
        <v>180</v>
      </c>
      <c r="L63" s="14" t="s">
        <v>967</v>
      </c>
      <c r="M63" s="14" t="s">
        <v>178</v>
      </c>
      <c r="N63" s="14" t="s">
        <v>992</v>
      </c>
      <c r="O63" s="14" t="s">
        <v>993</v>
      </c>
      <c r="P63" s="14"/>
      <c r="Q63" s="14" t="s">
        <v>35</v>
      </c>
      <c r="R63" s="14" t="s">
        <v>36</v>
      </c>
      <c r="S63" s="14" t="s">
        <v>37</v>
      </c>
      <c r="T63" s="14" t="s">
        <v>64</v>
      </c>
      <c r="U63" s="14" t="s">
        <v>181</v>
      </c>
      <c r="V63" s="22">
        <v>46159.457094907404</v>
      </c>
      <c r="W63" s="22">
        <v>46160.388194444444</v>
      </c>
      <c r="X63" s="15">
        <v>1340.78</v>
      </c>
      <c r="Y63" s="22">
        <v>46159.457106481481</v>
      </c>
      <c r="Z63" s="15">
        <v>0.02</v>
      </c>
      <c r="AA63" s="15">
        <v>30</v>
      </c>
      <c r="AB63" s="15" t="s">
        <v>40</v>
      </c>
      <c r="AC63" s="22">
        <v>46159.466435185182</v>
      </c>
      <c r="AD63" s="22">
        <v>46160.38616898148</v>
      </c>
      <c r="AE63" s="15">
        <v>1324.42</v>
      </c>
      <c r="AF63" s="15">
        <v>16.37</v>
      </c>
      <c r="AG63" s="15">
        <v>120</v>
      </c>
      <c r="AH63" s="15" t="s">
        <v>40</v>
      </c>
      <c r="AI63" s="14"/>
      <c r="AJ63" s="16">
        <v>129600</v>
      </c>
      <c r="AK63" s="1">
        <f t="shared" si="0"/>
        <v>129583.63</v>
      </c>
      <c r="AL63" s="2">
        <f t="shared" si="1"/>
        <v>99.987368827160495</v>
      </c>
      <c r="AM63" s="16">
        <f t="shared" si="2"/>
        <v>128275.58</v>
      </c>
      <c r="AN63" s="2">
        <f t="shared" si="3"/>
        <v>98.97807098765432</v>
      </c>
    </row>
    <row r="64" spans="1:40" x14ac:dyDescent="0.35">
      <c r="A64" s="14" t="s">
        <v>27</v>
      </c>
      <c r="B64" s="14" t="s">
        <v>28</v>
      </c>
      <c r="C64" s="14" t="s">
        <v>41</v>
      </c>
      <c r="D64" s="14" t="s">
        <v>523</v>
      </c>
      <c r="E64" s="14" t="s">
        <v>193</v>
      </c>
      <c r="F64" s="14" t="s">
        <v>32</v>
      </c>
      <c r="G64" s="14" t="s">
        <v>33</v>
      </c>
      <c r="H64" s="14" t="s">
        <v>972</v>
      </c>
      <c r="I64" s="14" t="s">
        <v>525</v>
      </c>
      <c r="J64" s="14" t="s">
        <v>525</v>
      </c>
      <c r="K64" s="14" t="s">
        <v>204</v>
      </c>
      <c r="L64" s="14" t="s">
        <v>973</v>
      </c>
      <c r="M64" s="14" t="s">
        <v>524</v>
      </c>
      <c r="N64" s="14" t="s">
        <v>990</v>
      </c>
      <c r="O64" s="14" t="s">
        <v>975</v>
      </c>
      <c r="P64" s="14"/>
      <c r="Q64" s="14" t="s">
        <v>196</v>
      </c>
      <c r="R64" s="14" t="s">
        <v>36</v>
      </c>
      <c r="S64" s="14" t="s">
        <v>37</v>
      </c>
      <c r="T64" s="14" t="s">
        <v>64</v>
      </c>
      <c r="U64" s="14" t="s">
        <v>181</v>
      </c>
      <c r="V64" s="22">
        <v>46159.457094907404</v>
      </c>
      <c r="W64" s="22">
        <v>46160.384722222225</v>
      </c>
      <c r="X64" s="15">
        <v>1335.78</v>
      </c>
      <c r="Y64" s="22">
        <v>46159.457106481481</v>
      </c>
      <c r="Z64" s="15">
        <v>0.02</v>
      </c>
      <c r="AA64" s="15">
        <v>30</v>
      </c>
      <c r="AB64" s="15" t="s">
        <v>40</v>
      </c>
      <c r="AC64" s="22">
        <v>46159.465937499997</v>
      </c>
      <c r="AD64" s="22">
        <v>46160.382928240739</v>
      </c>
      <c r="AE64" s="15">
        <v>1320.47</v>
      </c>
      <c r="AF64" s="15">
        <v>15.32</v>
      </c>
      <c r="AG64" s="15">
        <v>120</v>
      </c>
      <c r="AH64" s="15" t="s">
        <v>40</v>
      </c>
      <c r="AI64" s="14"/>
      <c r="AJ64" s="16">
        <v>129600</v>
      </c>
      <c r="AK64" s="1">
        <f t="shared" si="0"/>
        <v>129584.68</v>
      </c>
      <c r="AL64" s="2">
        <f t="shared" si="1"/>
        <v>99.988179012345668</v>
      </c>
      <c r="AM64" s="16">
        <f t="shared" si="2"/>
        <v>128279.53</v>
      </c>
      <c r="AN64" s="2">
        <f t="shared" si="3"/>
        <v>98.9811188271605</v>
      </c>
    </row>
    <row r="65" spans="1:40" x14ac:dyDescent="0.35">
      <c r="A65" s="14" t="s">
        <v>27</v>
      </c>
      <c r="B65" s="14" t="s">
        <v>28</v>
      </c>
      <c r="C65" s="14" t="s">
        <v>41</v>
      </c>
      <c r="D65" s="14" t="s">
        <v>140</v>
      </c>
      <c r="E65" s="14" t="s">
        <v>31</v>
      </c>
      <c r="F65" s="14" t="s">
        <v>32</v>
      </c>
      <c r="G65" s="14" t="s">
        <v>33</v>
      </c>
      <c r="H65" s="14" t="s">
        <v>984</v>
      </c>
      <c r="I65" s="14" t="s">
        <v>44</v>
      </c>
      <c r="J65" s="14" t="s">
        <v>44</v>
      </c>
      <c r="K65" s="14" t="s">
        <v>985</v>
      </c>
      <c r="L65" s="14" t="s">
        <v>967</v>
      </c>
      <c r="M65" s="14" t="s">
        <v>43</v>
      </c>
      <c r="N65" s="14" t="s">
        <v>986</v>
      </c>
      <c r="O65" s="14" t="s">
        <v>987</v>
      </c>
      <c r="P65" s="14"/>
      <c r="Q65" s="14" t="s">
        <v>35</v>
      </c>
      <c r="R65" s="14" t="s">
        <v>36</v>
      </c>
      <c r="S65" s="14" t="s">
        <v>37</v>
      </c>
      <c r="T65" s="14" t="s">
        <v>64</v>
      </c>
      <c r="U65" s="14" t="s">
        <v>46</v>
      </c>
      <c r="V65" s="22">
        <v>46159.692384259259</v>
      </c>
      <c r="W65" s="22">
        <v>46168.463888888888</v>
      </c>
      <c r="X65" s="15">
        <v>12630.97</v>
      </c>
      <c r="Y65" s="22">
        <v>46159.692395833335</v>
      </c>
      <c r="Z65" s="15">
        <v>0.02</v>
      </c>
      <c r="AA65" s="15">
        <v>30</v>
      </c>
      <c r="AB65" s="15" t="s">
        <v>40</v>
      </c>
      <c r="AC65" s="22">
        <v>46159.69394675926</v>
      </c>
      <c r="AD65" s="22">
        <v>46168.462002314816</v>
      </c>
      <c r="AE65" s="15">
        <v>12626</v>
      </c>
      <c r="AF65" s="15">
        <v>4.97</v>
      </c>
      <c r="AG65" s="15">
        <v>120</v>
      </c>
      <c r="AH65" s="15" t="s">
        <v>40</v>
      </c>
      <c r="AI65" s="14"/>
      <c r="AJ65" s="16">
        <v>129600</v>
      </c>
      <c r="AK65" s="1">
        <f t="shared" si="0"/>
        <v>129595.03</v>
      </c>
      <c r="AL65" s="2">
        <f t="shared" si="1"/>
        <v>99.996165123456791</v>
      </c>
      <c r="AM65" s="16">
        <f t="shared" si="2"/>
        <v>116974</v>
      </c>
      <c r="AN65" s="2">
        <f t="shared" si="3"/>
        <v>90.257716049382722</v>
      </c>
    </row>
    <row r="66" spans="1:40" x14ac:dyDescent="0.35">
      <c r="A66" s="14" t="s">
        <v>27</v>
      </c>
      <c r="B66" s="14" t="s">
        <v>28</v>
      </c>
      <c r="C66" s="14" t="s">
        <v>41</v>
      </c>
      <c r="D66" s="14" t="s">
        <v>412</v>
      </c>
      <c r="E66" s="14" t="s">
        <v>193</v>
      </c>
      <c r="F66" s="14" t="s">
        <v>32</v>
      </c>
      <c r="G66" s="14" t="s">
        <v>33</v>
      </c>
      <c r="H66" s="14" t="s">
        <v>984</v>
      </c>
      <c r="I66" s="14" t="s">
        <v>414</v>
      </c>
      <c r="J66" s="14" t="s">
        <v>414</v>
      </c>
      <c r="K66" s="14" t="s">
        <v>204</v>
      </c>
      <c r="L66" s="14" t="s">
        <v>973</v>
      </c>
      <c r="M66" s="14" t="s">
        <v>413</v>
      </c>
      <c r="N66" s="14" t="s">
        <v>996</v>
      </c>
      <c r="O66" s="14" t="s">
        <v>991</v>
      </c>
      <c r="P66" s="14"/>
      <c r="Q66" s="14" t="s">
        <v>196</v>
      </c>
      <c r="R66" s="14" t="s">
        <v>36</v>
      </c>
      <c r="S66" s="14" t="s">
        <v>37</v>
      </c>
      <c r="T66" s="14" t="s">
        <v>64</v>
      </c>
      <c r="U66" s="14" t="s">
        <v>181</v>
      </c>
      <c r="V66" s="22">
        <v>46159.692384259259</v>
      </c>
      <c r="W66" s="22">
        <v>46168.463888888888</v>
      </c>
      <c r="X66" s="15">
        <v>12630.97</v>
      </c>
      <c r="Y66" s="22">
        <v>46159.692395833335</v>
      </c>
      <c r="Z66" s="15">
        <v>0.02</v>
      </c>
      <c r="AA66" s="15">
        <v>30</v>
      </c>
      <c r="AB66" s="15" t="s">
        <v>40</v>
      </c>
      <c r="AC66" s="22">
        <v>46159.693483796298</v>
      </c>
      <c r="AD66" s="22">
        <v>46168.460416666669</v>
      </c>
      <c r="AE66" s="15">
        <v>12624.38</v>
      </c>
      <c r="AF66" s="15">
        <v>6.58</v>
      </c>
      <c r="AG66" s="15">
        <v>120</v>
      </c>
      <c r="AH66" s="15" t="s">
        <v>40</v>
      </c>
      <c r="AI66" s="14"/>
      <c r="AJ66" s="16">
        <v>129600</v>
      </c>
      <c r="AK66" s="1">
        <f t="shared" si="0"/>
        <v>129593.42</v>
      </c>
      <c r="AL66" s="2">
        <f t="shared" si="1"/>
        <v>99.994922839506174</v>
      </c>
      <c r="AM66" s="16">
        <f t="shared" si="2"/>
        <v>116975.62</v>
      </c>
      <c r="AN66" s="2">
        <f t="shared" si="3"/>
        <v>90.258966049382721</v>
      </c>
    </row>
    <row r="67" spans="1:40" x14ac:dyDescent="0.35">
      <c r="A67" s="14" t="s">
        <v>27</v>
      </c>
      <c r="B67" s="14" t="s">
        <v>28</v>
      </c>
      <c r="C67" s="14" t="s">
        <v>41</v>
      </c>
      <c r="D67" s="14" t="s">
        <v>93</v>
      </c>
      <c r="E67" s="14" t="s">
        <v>31</v>
      </c>
      <c r="F67" s="14" t="s">
        <v>32</v>
      </c>
      <c r="G67" s="14" t="s">
        <v>33</v>
      </c>
      <c r="H67" s="14" t="s">
        <v>984</v>
      </c>
      <c r="I67" s="14" t="s">
        <v>44</v>
      </c>
      <c r="J67" s="14" t="s">
        <v>44</v>
      </c>
      <c r="K67" s="14" t="s">
        <v>985</v>
      </c>
      <c r="L67" s="14" t="s">
        <v>967</v>
      </c>
      <c r="M67" s="14" t="s">
        <v>43</v>
      </c>
      <c r="N67" s="14" t="s">
        <v>986</v>
      </c>
      <c r="O67" s="14" t="s">
        <v>987</v>
      </c>
      <c r="P67" s="14"/>
      <c r="Q67" s="14" t="s">
        <v>35</v>
      </c>
      <c r="R67" s="14" t="s">
        <v>36</v>
      </c>
      <c r="S67" s="14" t="s">
        <v>37</v>
      </c>
      <c r="T67" s="14" t="s">
        <v>64</v>
      </c>
      <c r="U67" s="14" t="s">
        <v>46</v>
      </c>
      <c r="V67" s="22">
        <v>46159.737962962965</v>
      </c>
      <c r="W67" s="22">
        <v>46168.464583333334</v>
      </c>
      <c r="X67" s="15">
        <v>12566.33</v>
      </c>
      <c r="Y67" s="22">
        <v>46159.737974537034</v>
      </c>
      <c r="Z67" s="15">
        <v>0.02</v>
      </c>
      <c r="AA67" s="15">
        <v>30</v>
      </c>
      <c r="AB67" s="15" t="s">
        <v>40</v>
      </c>
      <c r="AC67" s="22">
        <v>46159.74015046296</v>
      </c>
      <c r="AD67" s="22">
        <v>46168.463379629633</v>
      </c>
      <c r="AE67" s="15">
        <v>12561.45</v>
      </c>
      <c r="AF67" s="15">
        <v>4.88</v>
      </c>
      <c r="AG67" s="15">
        <v>120</v>
      </c>
      <c r="AH67" s="15" t="s">
        <v>40</v>
      </c>
      <c r="AI67" s="14"/>
      <c r="AJ67" s="16">
        <v>129600</v>
      </c>
      <c r="AK67" s="1">
        <f t="shared" ref="AK67:AK130" si="4">AJ67-AF67</f>
        <v>129595.12</v>
      </c>
      <c r="AL67" s="2">
        <f t="shared" ref="AL67:AL130" si="5">AK67/AJ67*100</f>
        <v>99.996234567901226</v>
      </c>
      <c r="AM67" s="16">
        <f t="shared" ref="AM67:AM130" si="6">AJ67-AE67</f>
        <v>117038.55</v>
      </c>
      <c r="AN67" s="2">
        <f t="shared" ref="AN67:AN130" si="7">AM67/AJ67*100</f>
        <v>90.30752314814815</v>
      </c>
    </row>
    <row r="68" spans="1:40" x14ac:dyDescent="0.35">
      <c r="A68" s="14" t="s">
        <v>27</v>
      </c>
      <c r="B68" s="14" t="s">
        <v>28</v>
      </c>
      <c r="C68" s="14" t="s">
        <v>100</v>
      </c>
      <c r="D68" s="14" t="s">
        <v>551</v>
      </c>
      <c r="E68" s="14" t="s">
        <v>218</v>
      </c>
      <c r="F68" s="14" t="s">
        <v>32</v>
      </c>
      <c r="G68" s="14" t="s">
        <v>33</v>
      </c>
      <c r="H68" s="14" t="s">
        <v>963</v>
      </c>
      <c r="I68" s="14" t="s">
        <v>103</v>
      </c>
      <c r="J68" s="14" t="s">
        <v>103</v>
      </c>
      <c r="K68" s="14" t="s">
        <v>976</v>
      </c>
      <c r="L68" s="14" t="s">
        <v>967</v>
      </c>
      <c r="M68" s="14" t="s">
        <v>102</v>
      </c>
      <c r="N68" s="14" t="s">
        <v>977</v>
      </c>
      <c r="O68" s="14" t="s">
        <v>978</v>
      </c>
      <c r="P68" s="14"/>
      <c r="Q68" s="14" t="s">
        <v>196</v>
      </c>
      <c r="R68" s="14" t="s">
        <v>36</v>
      </c>
      <c r="S68" s="14" t="s">
        <v>104</v>
      </c>
      <c r="T68" s="14" t="s">
        <v>552</v>
      </c>
      <c r="U68" s="14" t="s">
        <v>129</v>
      </c>
      <c r="V68" s="22">
        <v>46160.220532407409</v>
      </c>
      <c r="W68" s="22">
        <v>46174.527083333334</v>
      </c>
      <c r="X68" s="15">
        <v>20601.43</v>
      </c>
      <c r="Y68" s="22">
        <v>46160.220532407409</v>
      </c>
      <c r="Z68" s="15">
        <v>0</v>
      </c>
      <c r="AA68" s="15">
        <v>30</v>
      </c>
      <c r="AB68" s="15" t="s">
        <v>40</v>
      </c>
      <c r="AC68" s="22">
        <v>46160.222349537034</v>
      </c>
      <c r="AD68" s="22">
        <v>46174.523773148147</v>
      </c>
      <c r="AE68" s="15">
        <v>20594.05</v>
      </c>
      <c r="AF68" s="15">
        <v>7.38</v>
      </c>
      <c r="AG68" s="15">
        <v>120</v>
      </c>
      <c r="AH68" s="15" t="s">
        <v>40</v>
      </c>
      <c r="AI68" s="14"/>
      <c r="AJ68" s="16">
        <v>129600</v>
      </c>
      <c r="AK68" s="1">
        <f t="shared" si="4"/>
        <v>129592.62</v>
      </c>
      <c r="AL68" s="2">
        <f t="shared" si="5"/>
        <v>99.994305555555556</v>
      </c>
      <c r="AM68" s="16">
        <f t="shared" si="6"/>
        <v>109005.95</v>
      </c>
      <c r="AN68" s="2">
        <f t="shared" si="7"/>
        <v>84.109529320987647</v>
      </c>
    </row>
    <row r="69" spans="1:40" x14ac:dyDescent="0.35">
      <c r="A69" s="14" t="s">
        <v>27</v>
      </c>
      <c r="B69" s="14" t="s">
        <v>94</v>
      </c>
      <c r="C69" s="14" t="s">
        <v>73</v>
      </c>
      <c r="D69" s="14" t="s">
        <v>895</v>
      </c>
      <c r="E69" s="14" t="s">
        <v>888</v>
      </c>
      <c r="F69" s="14" t="s">
        <v>32</v>
      </c>
      <c r="G69" s="14" t="s">
        <v>312</v>
      </c>
      <c r="H69" s="14" t="s">
        <v>963</v>
      </c>
      <c r="I69" s="14" t="s">
        <v>220</v>
      </c>
      <c r="J69" s="14" t="s">
        <v>220</v>
      </c>
      <c r="K69" s="14" t="s">
        <v>999</v>
      </c>
      <c r="L69" s="14" t="s">
        <v>967</v>
      </c>
      <c r="M69" s="14" t="s">
        <v>219</v>
      </c>
      <c r="N69" s="14" t="s">
        <v>992</v>
      </c>
      <c r="O69" s="14" t="s">
        <v>978</v>
      </c>
      <c r="P69" s="14"/>
      <c r="Q69" s="14" t="s">
        <v>872</v>
      </c>
      <c r="R69" s="14" t="s">
        <v>36</v>
      </c>
      <c r="S69" s="14" t="s">
        <v>279</v>
      </c>
      <c r="T69" s="14"/>
      <c r="U69" s="14" t="s">
        <v>896</v>
      </c>
      <c r="V69" s="22">
        <v>46163.563796296294</v>
      </c>
      <c r="W69" s="22">
        <v>46164.65</v>
      </c>
      <c r="X69" s="15">
        <v>1564.13</v>
      </c>
      <c r="Y69" s="22">
        <v>46163.563796296294</v>
      </c>
      <c r="Z69" s="15">
        <v>0</v>
      </c>
      <c r="AA69" s="15">
        <v>30</v>
      </c>
      <c r="AB69" s="15" t="s">
        <v>40</v>
      </c>
      <c r="AC69" s="22">
        <v>46163.58185185185</v>
      </c>
      <c r="AD69" s="22">
        <v>46164.647581018522</v>
      </c>
      <c r="AE69" s="15">
        <v>1534.65</v>
      </c>
      <c r="AF69" s="15">
        <v>29.48</v>
      </c>
      <c r="AG69" s="15">
        <v>2880</v>
      </c>
      <c r="AH69" s="15" t="s">
        <v>40</v>
      </c>
      <c r="AI69" s="14"/>
      <c r="AJ69" s="16">
        <v>129600</v>
      </c>
      <c r="AK69" s="1">
        <f t="shared" si="4"/>
        <v>129570.52</v>
      </c>
      <c r="AL69" s="2">
        <f t="shared" si="5"/>
        <v>99.977253086419765</v>
      </c>
      <c r="AM69" s="16">
        <f t="shared" si="6"/>
        <v>128065.35</v>
      </c>
      <c r="AN69" s="2">
        <f t="shared" si="7"/>
        <v>98.815856481481489</v>
      </c>
    </row>
    <row r="70" spans="1:40" x14ac:dyDescent="0.35">
      <c r="A70" s="14" t="s">
        <v>27</v>
      </c>
      <c r="B70" s="14" t="s">
        <v>28</v>
      </c>
      <c r="C70" s="14" t="s">
        <v>47</v>
      </c>
      <c r="D70" s="14" t="s">
        <v>748</v>
      </c>
      <c r="E70" s="14" t="s">
        <v>218</v>
      </c>
      <c r="F70" s="14" t="s">
        <v>32</v>
      </c>
      <c r="G70" s="14" t="s">
        <v>33</v>
      </c>
      <c r="H70" s="14" t="s">
        <v>963</v>
      </c>
      <c r="I70" s="14" t="s">
        <v>103</v>
      </c>
      <c r="J70" s="14" t="s">
        <v>103</v>
      </c>
      <c r="K70" s="14" t="s">
        <v>976</v>
      </c>
      <c r="L70" s="14" t="s">
        <v>967</v>
      </c>
      <c r="M70" s="14" t="s">
        <v>102</v>
      </c>
      <c r="N70" s="14" t="s">
        <v>977</v>
      </c>
      <c r="O70" s="14" t="s">
        <v>978</v>
      </c>
      <c r="P70" s="14"/>
      <c r="Q70" s="14" t="s">
        <v>196</v>
      </c>
      <c r="R70" s="14" t="s">
        <v>36</v>
      </c>
      <c r="S70" s="14" t="s">
        <v>221</v>
      </c>
      <c r="T70" s="14" t="s">
        <v>597</v>
      </c>
      <c r="U70" s="14" t="s">
        <v>749</v>
      </c>
      <c r="V70" s="22">
        <v>46165.126481481479</v>
      </c>
      <c r="W70" s="22">
        <v>46169.34652777778</v>
      </c>
      <c r="X70" s="15">
        <v>6076.87</v>
      </c>
      <c r="Y70" s="22">
        <v>46165.126493055555</v>
      </c>
      <c r="Z70" s="15">
        <v>0.02</v>
      </c>
      <c r="AA70" s="15">
        <v>30</v>
      </c>
      <c r="AB70" s="15" t="s">
        <v>40</v>
      </c>
      <c r="AC70" s="22">
        <v>46165.12777777778</v>
      </c>
      <c r="AD70" s="22">
        <v>46169.345011574071</v>
      </c>
      <c r="AE70" s="15">
        <v>6072.82</v>
      </c>
      <c r="AF70" s="15">
        <v>4.05</v>
      </c>
      <c r="AG70" s="15">
        <v>120</v>
      </c>
      <c r="AH70" s="15" t="s">
        <v>40</v>
      </c>
      <c r="AI70" s="14"/>
      <c r="AJ70" s="16">
        <v>129600</v>
      </c>
      <c r="AK70" s="1">
        <f t="shared" si="4"/>
        <v>129595.95</v>
      </c>
      <c r="AL70" s="2">
        <f t="shared" si="5"/>
        <v>99.996875000000003</v>
      </c>
      <c r="AM70" s="16">
        <f t="shared" si="6"/>
        <v>123527.18</v>
      </c>
      <c r="AN70" s="2">
        <f t="shared" si="7"/>
        <v>95.314182098765428</v>
      </c>
    </row>
    <row r="71" spans="1:40" x14ac:dyDescent="0.35">
      <c r="A71" s="14" t="s">
        <v>27</v>
      </c>
      <c r="B71" s="14" t="s">
        <v>28</v>
      </c>
      <c r="C71" s="14" t="s">
        <v>41</v>
      </c>
      <c r="D71" s="14" t="s">
        <v>112</v>
      </c>
      <c r="E71" s="14" t="s">
        <v>31</v>
      </c>
      <c r="F71" s="14" t="s">
        <v>32</v>
      </c>
      <c r="G71" s="14" t="s">
        <v>33</v>
      </c>
      <c r="H71" s="14" t="s">
        <v>984</v>
      </c>
      <c r="I71" s="14" t="s">
        <v>114</v>
      </c>
      <c r="J71" s="14" t="s">
        <v>114</v>
      </c>
      <c r="K71" s="14" t="s">
        <v>180</v>
      </c>
      <c r="L71" s="14" t="s">
        <v>967</v>
      </c>
      <c r="M71" s="14" t="s">
        <v>113</v>
      </c>
      <c r="N71" s="14" t="s">
        <v>992</v>
      </c>
      <c r="O71" s="14" t="s">
        <v>998</v>
      </c>
      <c r="P71" s="14"/>
      <c r="Q71" s="14" t="s">
        <v>35</v>
      </c>
      <c r="R71" s="14" t="s">
        <v>36</v>
      </c>
      <c r="S71" s="14" t="s">
        <v>37</v>
      </c>
      <c r="T71" s="14" t="s">
        <v>115</v>
      </c>
      <c r="U71" s="14" t="s">
        <v>46</v>
      </c>
      <c r="V71" s="22">
        <v>46166.548842592594</v>
      </c>
      <c r="W71" s="22">
        <v>46168.467361111114</v>
      </c>
      <c r="X71" s="15">
        <v>2762.67</v>
      </c>
      <c r="Y71" s="22">
        <v>46166.548854166664</v>
      </c>
      <c r="Z71" s="15">
        <v>0.02</v>
      </c>
      <c r="AA71" s="15">
        <v>30</v>
      </c>
      <c r="AB71" s="15" t="s">
        <v>40</v>
      </c>
      <c r="AC71" s="22">
        <v>46166.549768518518</v>
      </c>
      <c r="AD71" s="22">
        <v>46168.465381944443</v>
      </c>
      <c r="AE71" s="15">
        <v>2758.48</v>
      </c>
      <c r="AF71" s="15">
        <v>4.18</v>
      </c>
      <c r="AG71" s="15">
        <v>120</v>
      </c>
      <c r="AH71" s="15" t="s">
        <v>40</v>
      </c>
      <c r="AI71" s="14"/>
      <c r="AJ71" s="16">
        <v>129600</v>
      </c>
      <c r="AK71" s="1">
        <f t="shared" si="4"/>
        <v>129595.82</v>
      </c>
      <c r="AL71" s="2">
        <f t="shared" si="5"/>
        <v>99.996774691358027</v>
      </c>
      <c r="AM71" s="16">
        <f t="shared" si="6"/>
        <v>126841.52</v>
      </c>
      <c r="AN71" s="2">
        <f t="shared" si="7"/>
        <v>97.871543209876549</v>
      </c>
    </row>
    <row r="72" spans="1:40" x14ac:dyDescent="0.35">
      <c r="A72" s="14" t="s">
        <v>27</v>
      </c>
      <c r="B72" s="14" t="s">
        <v>28</v>
      </c>
      <c r="C72" s="14" t="s">
        <v>41</v>
      </c>
      <c r="D72" s="14" t="s">
        <v>42</v>
      </c>
      <c r="E72" s="14" t="s">
        <v>31</v>
      </c>
      <c r="F72" s="14" t="s">
        <v>32</v>
      </c>
      <c r="G72" s="14" t="s">
        <v>33</v>
      </c>
      <c r="H72" s="14" t="s">
        <v>984</v>
      </c>
      <c r="I72" s="14" t="s">
        <v>44</v>
      </c>
      <c r="J72" s="14" t="s">
        <v>44</v>
      </c>
      <c r="K72" s="14" t="s">
        <v>985</v>
      </c>
      <c r="L72" s="14" t="s">
        <v>967</v>
      </c>
      <c r="M72" s="14" t="s">
        <v>43</v>
      </c>
      <c r="N72" s="14" t="s">
        <v>986</v>
      </c>
      <c r="O72" s="14" t="s">
        <v>987</v>
      </c>
      <c r="P72" s="14"/>
      <c r="Q72" s="14" t="s">
        <v>35</v>
      </c>
      <c r="R72" s="14" t="s">
        <v>36</v>
      </c>
      <c r="S72" s="14" t="s">
        <v>37</v>
      </c>
      <c r="T72" s="14" t="s">
        <v>45</v>
      </c>
      <c r="U72" s="14" t="s">
        <v>46</v>
      </c>
      <c r="V72" s="22">
        <v>46166.548888888887</v>
      </c>
      <c r="W72" s="22">
        <v>46168.470833333333</v>
      </c>
      <c r="X72" s="15">
        <v>2767.6</v>
      </c>
      <c r="Y72" s="22">
        <v>46166.548888888887</v>
      </c>
      <c r="Z72" s="15">
        <v>0</v>
      </c>
      <c r="AA72" s="15">
        <v>30</v>
      </c>
      <c r="AB72" s="15" t="s">
        <v>40</v>
      </c>
      <c r="AC72" s="22">
        <v>46166.551631944443</v>
      </c>
      <c r="AD72" s="22">
        <v>46168.469108796293</v>
      </c>
      <c r="AE72" s="15">
        <v>2761.17</v>
      </c>
      <c r="AF72" s="15">
        <v>6.43</v>
      </c>
      <c r="AG72" s="15">
        <v>120</v>
      </c>
      <c r="AH72" s="15" t="s">
        <v>40</v>
      </c>
      <c r="AI72" s="14"/>
      <c r="AJ72" s="16">
        <v>129600</v>
      </c>
      <c r="AK72" s="1">
        <f t="shared" si="4"/>
        <v>129593.57</v>
      </c>
      <c r="AL72" s="2">
        <f t="shared" si="5"/>
        <v>99.995038580246927</v>
      </c>
      <c r="AM72" s="16">
        <f t="shared" si="6"/>
        <v>126838.83</v>
      </c>
      <c r="AN72" s="2">
        <f t="shared" si="7"/>
        <v>97.869467592592599</v>
      </c>
    </row>
    <row r="73" spans="1:40" x14ac:dyDescent="0.35">
      <c r="A73" s="14" t="s">
        <v>27</v>
      </c>
      <c r="B73" s="14" t="s">
        <v>28</v>
      </c>
      <c r="C73" s="14" t="s">
        <v>41</v>
      </c>
      <c r="D73" s="14" t="s">
        <v>604</v>
      </c>
      <c r="E73" s="14" t="s">
        <v>193</v>
      </c>
      <c r="F73" s="14" t="s">
        <v>32</v>
      </c>
      <c r="G73" s="14" t="s">
        <v>33</v>
      </c>
      <c r="H73" s="14" t="s">
        <v>984</v>
      </c>
      <c r="I73" s="14" t="s">
        <v>606</v>
      </c>
      <c r="J73" s="14" t="s">
        <v>606</v>
      </c>
      <c r="K73" s="14" t="s">
        <v>204</v>
      </c>
      <c r="L73" s="14" t="s">
        <v>973</v>
      </c>
      <c r="M73" s="14" t="s">
        <v>605</v>
      </c>
      <c r="N73" s="14" t="s">
        <v>974</v>
      </c>
      <c r="O73" s="14" t="s">
        <v>991</v>
      </c>
      <c r="P73" s="14"/>
      <c r="Q73" s="14" t="s">
        <v>196</v>
      </c>
      <c r="R73" s="14" t="s">
        <v>36</v>
      </c>
      <c r="S73" s="14" t="s">
        <v>37</v>
      </c>
      <c r="T73" s="14" t="s">
        <v>45</v>
      </c>
      <c r="U73" s="14" t="s">
        <v>46</v>
      </c>
      <c r="V73" s="22">
        <v>46166.548888888887</v>
      </c>
      <c r="W73" s="22">
        <v>46168.470833333333</v>
      </c>
      <c r="X73" s="15">
        <v>2767.6</v>
      </c>
      <c r="Y73" s="22">
        <v>46166.548900462964</v>
      </c>
      <c r="Z73" s="15">
        <v>0.02</v>
      </c>
      <c r="AA73" s="15">
        <v>30</v>
      </c>
      <c r="AB73" s="15" t="s">
        <v>40</v>
      </c>
      <c r="AC73" s="22">
        <v>46166.550532407404</v>
      </c>
      <c r="AD73" s="22">
        <v>46168.467129629629</v>
      </c>
      <c r="AE73" s="15">
        <v>2759.9</v>
      </c>
      <c r="AF73" s="15">
        <v>7.7</v>
      </c>
      <c r="AG73" s="15">
        <v>120</v>
      </c>
      <c r="AH73" s="15" t="s">
        <v>40</v>
      </c>
      <c r="AI73" s="14"/>
      <c r="AJ73" s="16">
        <v>129600</v>
      </c>
      <c r="AK73" s="1">
        <f t="shared" si="4"/>
        <v>129592.3</v>
      </c>
      <c r="AL73" s="2">
        <f t="shared" si="5"/>
        <v>99.994058641975315</v>
      </c>
      <c r="AM73" s="16">
        <f t="shared" si="6"/>
        <v>126840.1</v>
      </c>
      <c r="AN73" s="2">
        <f t="shared" si="7"/>
        <v>97.870447530864197</v>
      </c>
    </row>
    <row r="74" spans="1:40" x14ac:dyDescent="0.35">
      <c r="A74" s="14" t="s">
        <v>27</v>
      </c>
      <c r="B74" s="14" t="s">
        <v>28</v>
      </c>
      <c r="C74" s="14" t="s">
        <v>41</v>
      </c>
      <c r="D74" s="14" t="s">
        <v>691</v>
      </c>
      <c r="E74" s="14" t="s">
        <v>193</v>
      </c>
      <c r="F74" s="14" t="s">
        <v>32</v>
      </c>
      <c r="G74" s="14" t="s">
        <v>33</v>
      </c>
      <c r="H74" s="14" t="s">
        <v>984</v>
      </c>
      <c r="I74" s="14" t="s">
        <v>611</v>
      </c>
      <c r="J74" s="14" t="s">
        <v>611</v>
      </c>
      <c r="K74" s="14" t="s">
        <v>204</v>
      </c>
      <c r="L74" s="14" t="s">
        <v>973</v>
      </c>
      <c r="M74" s="14" t="s">
        <v>610</v>
      </c>
      <c r="N74" s="14" t="s">
        <v>990</v>
      </c>
      <c r="O74" s="14" t="s">
        <v>991</v>
      </c>
      <c r="P74" s="14"/>
      <c r="Q74" s="14" t="s">
        <v>196</v>
      </c>
      <c r="R74" s="14" t="s">
        <v>36</v>
      </c>
      <c r="S74" s="14" t="s">
        <v>37</v>
      </c>
      <c r="T74" s="14" t="s">
        <v>45</v>
      </c>
      <c r="U74" s="14" t="s">
        <v>46</v>
      </c>
      <c r="V74" s="22">
        <v>46166.548958333333</v>
      </c>
      <c r="W74" s="22">
        <v>46168.473611111112</v>
      </c>
      <c r="X74" s="15">
        <v>2771.5</v>
      </c>
      <c r="Y74" s="22">
        <v>46166.548958333333</v>
      </c>
      <c r="Z74" s="15">
        <v>0</v>
      </c>
      <c r="AA74" s="15">
        <v>30</v>
      </c>
      <c r="AB74" s="15" t="s">
        <v>40</v>
      </c>
      <c r="AC74" s="22">
        <v>46166.552511574075</v>
      </c>
      <c r="AD74" s="22">
        <v>46168.471203703702</v>
      </c>
      <c r="AE74" s="15">
        <v>2762.92</v>
      </c>
      <c r="AF74" s="15">
        <v>8.58</v>
      </c>
      <c r="AG74" s="15">
        <v>120</v>
      </c>
      <c r="AH74" s="15" t="s">
        <v>40</v>
      </c>
      <c r="AI74" s="14"/>
      <c r="AJ74" s="16">
        <v>129600</v>
      </c>
      <c r="AK74" s="1">
        <f t="shared" si="4"/>
        <v>129591.42</v>
      </c>
      <c r="AL74" s="2">
        <f t="shared" si="5"/>
        <v>99.993379629629629</v>
      </c>
      <c r="AM74" s="16">
        <f t="shared" si="6"/>
        <v>126837.08</v>
      </c>
      <c r="AN74" s="2">
        <f t="shared" si="7"/>
        <v>97.868117283950625</v>
      </c>
    </row>
    <row r="75" spans="1:40" x14ac:dyDescent="0.35">
      <c r="A75" s="14" t="s">
        <v>27</v>
      </c>
      <c r="B75" s="14" t="s">
        <v>28</v>
      </c>
      <c r="C75" s="14" t="s">
        <v>41</v>
      </c>
      <c r="D75" s="14" t="s">
        <v>116</v>
      </c>
      <c r="E75" s="14" t="s">
        <v>31</v>
      </c>
      <c r="F75" s="14" t="s">
        <v>32</v>
      </c>
      <c r="G75" s="14" t="s">
        <v>33</v>
      </c>
      <c r="H75" s="14" t="s">
        <v>984</v>
      </c>
      <c r="I75" s="14" t="s">
        <v>34</v>
      </c>
      <c r="J75" s="14" t="s">
        <v>34</v>
      </c>
      <c r="K75" s="14" t="s">
        <v>1000</v>
      </c>
      <c r="L75" s="14" t="s">
        <v>967</v>
      </c>
      <c r="M75" s="14" t="s">
        <v>1001</v>
      </c>
      <c r="N75" s="14" t="s">
        <v>1002</v>
      </c>
      <c r="O75" s="14" t="s">
        <v>987</v>
      </c>
      <c r="P75" s="14"/>
      <c r="Q75" s="14" t="s">
        <v>35</v>
      </c>
      <c r="R75" s="14" t="s">
        <v>36</v>
      </c>
      <c r="S75" s="14" t="s">
        <v>37</v>
      </c>
      <c r="T75" s="14" t="s">
        <v>117</v>
      </c>
      <c r="U75" s="14" t="s">
        <v>46</v>
      </c>
      <c r="V75" s="22">
        <v>46166.621168981481</v>
      </c>
      <c r="W75" s="22">
        <v>46168.475694444445</v>
      </c>
      <c r="X75" s="15">
        <v>2670.52</v>
      </c>
      <c r="Y75" s="22">
        <v>46166.621180555558</v>
      </c>
      <c r="Z75" s="15">
        <v>0.02</v>
      </c>
      <c r="AA75" s="15">
        <v>30</v>
      </c>
      <c r="AB75" s="15" t="s">
        <v>40</v>
      </c>
      <c r="AC75" s="22">
        <v>46166.625821759262</v>
      </c>
      <c r="AD75" s="22">
        <v>46168.472673611112</v>
      </c>
      <c r="AE75" s="15">
        <v>2659.47</v>
      </c>
      <c r="AF75" s="15">
        <v>11.05</v>
      </c>
      <c r="AG75" s="15">
        <v>120</v>
      </c>
      <c r="AH75" s="15" t="s">
        <v>40</v>
      </c>
      <c r="AI75" s="14"/>
      <c r="AJ75" s="16">
        <v>129600</v>
      </c>
      <c r="AK75" s="1">
        <f t="shared" si="4"/>
        <v>129588.95</v>
      </c>
      <c r="AL75" s="2">
        <f t="shared" si="5"/>
        <v>99.99147376543209</v>
      </c>
      <c r="AM75" s="16">
        <f t="shared" si="6"/>
        <v>126940.53</v>
      </c>
      <c r="AN75" s="2">
        <f t="shared" si="7"/>
        <v>97.947939814814816</v>
      </c>
    </row>
    <row r="76" spans="1:40" x14ac:dyDescent="0.35">
      <c r="A76" s="14" t="s">
        <v>27</v>
      </c>
      <c r="B76" s="14" t="s">
        <v>28</v>
      </c>
      <c r="C76" s="14" t="s">
        <v>41</v>
      </c>
      <c r="D76" s="14" t="s">
        <v>367</v>
      </c>
      <c r="E76" s="14" t="s">
        <v>193</v>
      </c>
      <c r="F76" s="14" t="s">
        <v>32</v>
      </c>
      <c r="G76" s="14" t="s">
        <v>33</v>
      </c>
      <c r="H76" s="14" t="s">
        <v>984</v>
      </c>
      <c r="I76" s="14" t="s">
        <v>369</v>
      </c>
      <c r="J76" s="14" t="s">
        <v>369</v>
      </c>
      <c r="K76" s="14" t="s">
        <v>204</v>
      </c>
      <c r="L76" s="14" t="s">
        <v>973</v>
      </c>
      <c r="M76" s="14" t="s">
        <v>368</v>
      </c>
      <c r="N76" s="14" t="s">
        <v>974</v>
      </c>
      <c r="O76" s="14" t="s">
        <v>991</v>
      </c>
      <c r="P76" s="14"/>
      <c r="Q76" s="14" t="s">
        <v>196</v>
      </c>
      <c r="R76" s="14" t="s">
        <v>36</v>
      </c>
      <c r="S76" s="14" t="s">
        <v>37</v>
      </c>
      <c r="T76" s="14" t="s">
        <v>117</v>
      </c>
      <c r="U76" s="14" t="s">
        <v>46</v>
      </c>
      <c r="V76" s="22">
        <v>46166.62127314815</v>
      </c>
      <c r="W76" s="22">
        <v>46168.478472222225</v>
      </c>
      <c r="X76" s="15">
        <v>2674.37</v>
      </c>
      <c r="Y76" s="22">
        <v>46166.62128472222</v>
      </c>
      <c r="Z76" s="15">
        <v>0.02</v>
      </c>
      <c r="AA76" s="15">
        <v>30</v>
      </c>
      <c r="AB76" s="15" t="s">
        <v>40</v>
      </c>
      <c r="AC76" s="22">
        <v>46166.625173611108</v>
      </c>
      <c r="AD76" s="22">
        <v>46168.473634259259</v>
      </c>
      <c r="AE76" s="15">
        <v>2661.78</v>
      </c>
      <c r="AF76" s="15">
        <v>12.58</v>
      </c>
      <c r="AG76" s="15">
        <v>120</v>
      </c>
      <c r="AH76" s="15" t="s">
        <v>40</v>
      </c>
      <c r="AI76" s="14"/>
      <c r="AJ76" s="16">
        <v>129600</v>
      </c>
      <c r="AK76" s="1">
        <f t="shared" si="4"/>
        <v>129587.42</v>
      </c>
      <c r="AL76" s="2">
        <f t="shared" si="5"/>
        <v>99.99029320987654</v>
      </c>
      <c r="AM76" s="16">
        <f t="shared" si="6"/>
        <v>126938.22</v>
      </c>
      <c r="AN76" s="2">
        <f t="shared" si="7"/>
        <v>97.946157407407412</v>
      </c>
    </row>
    <row r="77" spans="1:40" x14ac:dyDescent="0.35">
      <c r="A77" s="14" t="s">
        <v>27</v>
      </c>
      <c r="B77" s="14" t="s">
        <v>28</v>
      </c>
      <c r="C77" s="14" t="s">
        <v>41</v>
      </c>
      <c r="D77" s="14" t="s">
        <v>785</v>
      </c>
      <c r="E77" s="14" t="s">
        <v>193</v>
      </c>
      <c r="F77" s="14" t="s">
        <v>32</v>
      </c>
      <c r="G77" s="14" t="s">
        <v>33</v>
      </c>
      <c r="H77" s="14" t="s">
        <v>984</v>
      </c>
      <c r="I77" s="14" t="s">
        <v>210</v>
      </c>
      <c r="J77" s="14" t="s">
        <v>210</v>
      </c>
      <c r="K77" s="14" t="s">
        <v>204</v>
      </c>
      <c r="L77" s="14" t="s">
        <v>973</v>
      </c>
      <c r="M77" s="14" t="s">
        <v>209</v>
      </c>
      <c r="N77" s="14" t="s">
        <v>974</v>
      </c>
      <c r="O77" s="14" t="s">
        <v>991</v>
      </c>
      <c r="P77" s="14"/>
      <c r="Q77" s="14" t="s">
        <v>196</v>
      </c>
      <c r="R77" s="14" t="s">
        <v>36</v>
      </c>
      <c r="S77" s="14" t="s">
        <v>37</v>
      </c>
      <c r="T77" s="14" t="s">
        <v>45</v>
      </c>
      <c r="U77" s="14" t="s">
        <v>46</v>
      </c>
      <c r="V77" s="22">
        <v>46166.621307870373</v>
      </c>
      <c r="W77" s="22">
        <v>46168.478472222225</v>
      </c>
      <c r="X77" s="15">
        <v>2674.32</v>
      </c>
      <c r="Y77" s="22">
        <v>46166.621319444443</v>
      </c>
      <c r="Z77" s="15">
        <v>0.02</v>
      </c>
      <c r="AA77" s="15">
        <v>30</v>
      </c>
      <c r="AB77" s="15" t="s">
        <v>40</v>
      </c>
      <c r="AC77" s="22">
        <v>46166.624074074076</v>
      </c>
      <c r="AD77" s="22">
        <v>46168.474675925929</v>
      </c>
      <c r="AE77" s="15">
        <v>2664.87</v>
      </c>
      <c r="AF77" s="15">
        <v>9.4499999999999993</v>
      </c>
      <c r="AG77" s="15">
        <v>120</v>
      </c>
      <c r="AH77" s="15" t="s">
        <v>40</v>
      </c>
      <c r="AI77" s="14"/>
      <c r="AJ77" s="16">
        <v>129600</v>
      </c>
      <c r="AK77" s="1">
        <f t="shared" si="4"/>
        <v>129590.55</v>
      </c>
      <c r="AL77" s="2">
        <f t="shared" si="5"/>
        <v>99.99270833333334</v>
      </c>
      <c r="AM77" s="16">
        <f t="shared" si="6"/>
        <v>126935.13</v>
      </c>
      <c r="AN77" s="2">
        <f t="shared" si="7"/>
        <v>97.943773148148153</v>
      </c>
    </row>
    <row r="78" spans="1:40" x14ac:dyDescent="0.35">
      <c r="A78" s="14" t="s">
        <v>27</v>
      </c>
      <c r="B78" s="14" t="s">
        <v>28</v>
      </c>
      <c r="C78" s="14" t="s">
        <v>41</v>
      </c>
      <c r="D78" s="14" t="s">
        <v>269</v>
      </c>
      <c r="E78" s="14" t="s">
        <v>218</v>
      </c>
      <c r="F78" s="14" t="s">
        <v>32</v>
      </c>
      <c r="G78" s="14" t="s">
        <v>33</v>
      </c>
      <c r="H78" s="14" t="s">
        <v>963</v>
      </c>
      <c r="I78" s="14" t="s">
        <v>220</v>
      </c>
      <c r="J78" s="14" t="s">
        <v>220</v>
      </c>
      <c r="K78" s="14" t="s">
        <v>999</v>
      </c>
      <c r="L78" s="14" t="s">
        <v>967</v>
      </c>
      <c r="M78" s="14" t="s">
        <v>219</v>
      </c>
      <c r="N78" s="14" t="s">
        <v>992</v>
      </c>
      <c r="O78" s="14" t="s">
        <v>978</v>
      </c>
      <c r="P78" s="14"/>
      <c r="Q78" s="14" t="s">
        <v>196</v>
      </c>
      <c r="R78" s="14" t="s">
        <v>36</v>
      </c>
      <c r="S78" s="14" t="s">
        <v>104</v>
      </c>
      <c r="T78" s="14" t="s">
        <v>234</v>
      </c>
      <c r="U78" s="14" t="s">
        <v>270</v>
      </c>
      <c r="V78" s="22">
        <v>46167.371400462966</v>
      </c>
      <c r="W78" s="22">
        <v>46175.393750000003</v>
      </c>
      <c r="X78" s="15">
        <v>11552.18</v>
      </c>
      <c r="Y78" s="22">
        <v>46167.371400462966</v>
      </c>
      <c r="Z78" s="15">
        <v>0</v>
      </c>
      <c r="AA78" s="15">
        <v>30</v>
      </c>
      <c r="AB78" s="15" t="s">
        <v>40</v>
      </c>
      <c r="AC78" s="22">
        <v>46167.387546296297</v>
      </c>
      <c r="AD78" s="22">
        <v>46175.390960648147</v>
      </c>
      <c r="AE78" s="15">
        <v>11524.92</v>
      </c>
      <c r="AF78" s="15">
        <v>27.27</v>
      </c>
      <c r="AG78" s="15">
        <v>120</v>
      </c>
      <c r="AH78" s="15" t="s">
        <v>40</v>
      </c>
      <c r="AI78" s="14"/>
      <c r="AJ78" s="16">
        <v>129600</v>
      </c>
      <c r="AK78" s="1">
        <f t="shared" si="4"/>
        <v>129572.73</v>
      </c>
      <c r="AL78" s="2">
        <f t="shared" si="5"/>
        <v>99.978958333333338</v>
      </c>
      <c r="AM78" s="16">
        <f t="shared" si="6"/>
        <v>118075.08</v>
      </c>
      <c r="AN78" s="2">
        <f t="shared" si="7"/>
        <v>91.107314814814828</v>
      </c>
    </row>
    <row r="79" spans="1:40" x14ac:dyDescent="0.35">
      <c r="A79" s="14" t="s">
        <v>27</v>
      </c>
      <c r="B79" s="14" t="s">
        <v>28</v>
      </c>
      <c r="C79" s="14" t="s">
        <v>54</v>
      </c>
      <c r="D79" s="14" t="s">
        <v>770</v>
      </c>
      <c r="E79" s="14" t="s">
        <v>193</v>
      </c>
      <c r="F79" s="14" t="s">
        <v>32</v>
      </c>
      <c r="G79" s="14" t="s">
        <v>33</v>
      </c>
      <c r="H79" s="14" t="s">
        <v>964</v>
      </c>
      <c r="I79" s="14" t="s">
        <v>468</v>
      </c>
      <c r="J79" s="14" t="s">
        <v>468</v>
      </c>
      <c r="K79" s="14" t="s">
        <v>204</v>
      </c>
      <c r="L79" s="14" t="s">
        <v>973</v>
      </c>
      <c r="M79" s="14" t="s">
        <v>467</v>
      </c>
      <c r="N79" s="14" t="s">
        <v>974</v>
      </c>
      <c r="O79" s="14" t="s">
        <v>991</v>
      </c>
      <c r="P79" s="14"/>
      <c r="Q79" s="14" t="s">
        <v>196</v>
      </c>
      <c r="R79" s="14" t="s">
        <v>36</v>
      </c>
      <c r="S79" s="14" t="s">
        <v>37</v>
      </c>
      <c r="T79" s="14" t="s">
        <v>64</v>
      </c>
      <c r="U79" s="14" t="s">
        <v>64</v>
      </c>
      <c r="V79" s="22">
        <v>46167.504317129627</v>
      </c>
      <c r="W79" s="22">
        <v>46169.390277777777</v>
      </c>
      <c r="X79" s="15">
        <v>2715.78</v>
      </c>
      <c r="Y79" s="22">
        <v>46167.504328703704</v>
      </c>
      <c r="Z79" s="15">
        <v>0.02</v>
      </c>
      <c r="AA79" s="15">
        <v>30</v>
      </c>
      <c r="AB79" s="15" t="s">
        <v>40</v>
      </c>
      <c r="AC79" s="22">
        <v>46167.505787037036</v>
      </c>
      <c r="AD79" s="22">
        <v>46169.388287037036</v>
      </c>
      <c r="AE79" s="15">
        <v>2710.8</v>
      </c>
      <c r="AF79" s="15">
        <v>4.9800000000000004</v>
      </c>
      <c r="AG79" s="15">
        <v>120</v>
      </c>
      <c r="AH79" s="15" t="s">
        <v>40</v>
      </c>
      <c r="AI79" s="14"/>
      <c r="AJ79" s="16">
        <v>129600</v>
      </c>
      <c r="AK79" s="1">
        <f t="shared" si="4"/>
        <v>129595.02</v>
      </c>
      <c r="AL79" s="2">
        <f t="shared" si="5"/>
        <v>99.996157407407409</v>
      </c>
      <c r="AM79" s="16">
        <f t="shared" si="6"/>
        <v>126889.2</v>
      </c>
      <c r="AN79" s="2">
        <f t="shared" si="7"/>
        <v>97.908333333333331</v>
      </c>
    </row>
    <row r="80" spans="1:40" x14ac:dyDescent="0.35">
      <c r="A80" s="14" t="s">
        <v>27</v>
      </c>
      <c r="B80" s="14" t="s">
        <v>28</v>
      </c>
      <c r="C80" s="14" t="s">
        <v>54</v>
      </c>
      <c r="D80" s="14" t="s">
        <v>547</v>
      </c>
      <c r="E80" s="14" t="s">
        <v>193</v>
      </c>
      <c r="F80" s="14" t="s">
        <v>32</v>
      </c>
      <c r="G80" s="14" t="s">
        <v>33</v>
      </c>
      <c r="H80" s="14" t="s">
        <v>964</v>
      </c>
      <c r="I80" s="14" t="s">
        <v>549</v>
      </c>
      <c r="J80" s="14" t="s">
        <v>549</v>
      </c>
      <c r="K80" s="14" t="s">
        <v>204</v>
      </c>
      <c r="L80" s="14" t="s">
        <v>973</v>
      </c>
      <c r="M80" s="14" t="s">
        <v>548</v>
      </c>
      <c r="N80" s="14" t="s">
        <v>990</v>
      </c>
      <c r="O80" s="14" t="s">
        <v>991</v>
      </c>
      <c r="P80" s="14"/>
      <c r="Q80" s="14" t="s">
        <v>196</v>
      </c>
      <c r="R80" s="14" t="s">
        <v>36</v>
      </c>
      <c r="S80" s="14" t="s">
        <v>37</v>
      </c>
      <c r="T80" s="14" t="s">
        <v>64</v>
      </c>
      <c r="U80" s="14" t="s">
        <v>550</v>
      </c>
      <c r="V80" s="22">
        <v>46167.504351851851</v>
      </c>
      <c r="W80" s="22">
        <v>46169.392361111109</v>
      </c>
      <c r="X80" s="15">
        <v>2718.73</v>
      </c>
      <c r="Y80" s="22">
        <v>46167.504351851851</v>
      </c>
      <c r="Z80" s="15">
        <v>0</v>
      </c>
      <c r="AA80" s="15">
        <v>30</v>
      </c>
      <c r="AB80" s="15" t="s">
        <v>40</v>
      </c>
      <c r="AC80" s="22">
        <v>46167.506516203706</v>
      </c>
      <c r="AD80" s="22">
        <v>46169.390023148146</v>
      </c>
      <c r="AE80" s="15">
        <v>2712.25</v>
      </c>
      <c r="AF80" s="15">
        <v>6.48</v>
      </c>
      <c r="AG80" s="15">
        <v>120</v>
      </c>
      <c r="AH80" s="15" t="s">
        <v>40</v>
      </c>
      <c r="AI80" s="14"/>
      <c r="AJ80" s="16">
        <v>129600</v>
      </c>
      <c r="AK80" s="1">
        <f t="shared" si="4"/>
        <v>129593.52</v>
      </c>
      <c r="AL80" s="2">
        <f t="shared" si="5"/>
        <v>99.995000000000005</v>
      </c>
      <c r="AM80" s="16">
        <f t="shared" si="6"/>
        <v>126887.75</v>
      </c>
      <c r="AN80" s="2">
        <f t="shared" si="7"/>
        <v>97.907214506172835</v>
      </c>
    </row>
    <row r="81" spans="1:40" x14ac:dyDescent="0.35">
      <c r="A81" s="14" t="s">
        <v>27</v>
      </c>
      <c r="B81" s="14" t="s">
        <v>28</v>
      </c>
      <c r="C81" s="14" t="s">
        <v>54</v>
      </c>
      <c r="D81" s="14" t="s">
        <v>353</v>
      </c>
      <c r="E81" s="14" t="s">
        <v>193</v>
      </c>
      <c r="F81" s="14" t="s">
        <v>32</v>
      </c>
      <c r="G81" s="14" t="s">
        <v>33</v>
      </c>
      <c r="H81" s="14" t="s">
        <v>964</v>
      </c>
      <c r="I81" s="14" t="s">
        <v>303</v>
      </c>
      <c r="J81" s="14" t="s">
        <v>303</v>
      </c>
      <c r="K81" s="14" t="s">
        <v>204</v>
      </c>
      <c r="L81" s="14" t="s">
        <v>973</v>
      </c>
      <c r="M81" s="14" t="s">
        <v>302</v>
      </c>
      <c r="N81" s="14" t="s">
        <v>974</v>
      </c>
      <c r="O81" s="14" t="s">
        <v>991</v>
      </c>
      <c r="P81" s="14"/>
      <c r="Q81" s="14" t="s">
        <v>196</v>
      </c>
      <c r="R81" s="14" t="s">
        <v>36</v>
      </c>
      <c r="S81" s="14" t="s">
        <v>37</v>
      </c>
      <c r="T81" s="14" t="s">
        <v>64</v>
      </c>
      <c r="U81" s="14" t="s">
        <v>64</v>
      </c>
      <c r="V81" s="22">
        <v>46167.504432870373</v>
      </c>
      <c r="W81" s="22">
        <v>46169.392361111109</v>
      </c>
      <c r="X81" s="15">
        <v>2718.62</v>
      </c>
      <c r="Y81" s="22">
        <v>46167.504432870373</v>
      </c>
      <c r="Z81" s="15">
        <v>0</v>
      </c>
      <c r="AA81" s="15">
        <v>30</v>
      </c>
      <c r="AB81" s="15" t="s">
        <v>40</v>
      </c>
      <c r="AC81" s="22">
        <v>46167.507106481484</v>
      </c>
      <c r="AD81" s="22">
        <v>46169.390740740739</v>
      </c>
      <c r="AE81" s="15">
        <v>2712.43</v>
      </c>
      <c r="AF81" s="15">
        <v>6.18</v>
      </c>
      <c r="AG81" s="15">
        <v>120</v>
      </c>
      <c r="AH81" s="15" t="s">
        <v>40</v>
      </c>
      <c r="AI81" s="14"/>
      <c r="AJ81" s="16">
        <v>129600</v>
      </c>
      <c r="AK81" s="1">
        <f t="shared" si="4"/>
        <v>129593.82</v>
      </c>
      <c r="AL81" s="2">
        <f t="shared" si="5"/>
        <v>99.995231481481483</v>
      </c>
      <c r="AM81" s="16">
        <f t="shared" si="6"/>
        <v>126887.57</v>
      </c>
      <c r="AN81" s="2">
        <f t="shared" si="7"/>
        <v>97.907075617283951</v>
      </c>
    </row>
    <row r="82" spans="1:40" x14ac:dyDescent="0.35">
      <c r="A82" s="14" t="s">
        <v>27</v>
      </c>
      <c r="B82" s="14" t="s">
        <v>28</v>
      </c>
      <c r="C82" s="14" t="s">
        <v>47</v>
      </c>
      <c r="D82" s="14" t="s">
        <v>757</v>
      </c>
      <c r="E82" s="14" t="s">
        <v>193</v>
      </c>
      <c r="F82" s="14" t="s">
        <v>32</v>
      </c>
      <c r="G82" s="14" t="s">
        <v>33</v>
      </c>
      <c r="H82" s="14" t="s">
        <v>964</v>
      </c>
      <c r="I82" s="14" t="s">
        <v>759</v>
      </c>
      <c r="J82" s="14" t="s">
        <v>759</v>
      </c>
      <c r="K82" s="14" t="s">
        <v>204</v>
      </c>
      <c r="L82" s="14" t="s">
        <v>973</v>
      </c>
      <c r="M82" s="14" t="s">
        <v>758</v>
      </c>
      <c r="N82" s="14" t="s">
        <v>974</v>
      </c>
      <c r="O82" s="14" t="s">
        <v>991</v>
      </c>
      <c r="P82" s="14"/>
      <c r="Q82" s="14" t="s">
        <v>196</v>
      </c>
      <c r="R82" s="14" t="s">
        <v>36</v>
      </c>
      <c r="S82" s="14" t="s">
        <v>37</v>
      </c>
      <c r="T82" s="14" t="s">
        <v>132</v>
      </c>
      <c r="U82" s="14" t="s">
        <v>588</v>
      </c>
      <c r="V82" s="22">
        <v>46167.729421296295</v>
      </c>
      <c r="W82" s="22">
        <v>46169.345833333333</v>
      </c>
      <c r="X82" s="15">
        <v>2327.63</v>
      </c>
      <c r="Y82" s="22">
        <v>46167.729432870372</v>
      </c>
      <c r="Z82" s="15">
        <v>0.02</v>
      </c>
      <c r="AA82" s="15">
        <v>30</v>
      </c>
      <c r="AB82" s="15" t="s">
        <v>40</v>
      </c>
      <c r="AC82" s="22">
        <v>46167.732372685183</v>
      </c>
      <c r="AD82" s="22">
        <v>46169.340949074074</v>
      </c>
      <c r="AE82" s="15">
        <v>2316.35</v>
      </c>
      <c r="AF82" s="15">
        <v>11.28</v>
      </c>
      <c r="AG82" s="15">
        <v>120</v>
      </c>
      <c r="AH82" s="15" t="s">
        <v>40</v>
      </c>
      <c r="AI82" s="14"/>
      <c r="AJ82" s="16">
        <v>129600</v>
      </c>
      <c r="AK82" s="1">
        <f t="shared" si="4"/>
        <v>129588.72</v>
      </c>
      <c r="AL82" s="2">
        <f t="shared" si="5"/>
        <v>99.991296296296298</v>
      </c>
      <c r="AM82" s="16">
        <f t="shared" si="6"/>
        <v>127283.65</v>
      </c>
      <c r="AN82" s="2">
        <f t="shared" si="7"/>
        <v>98.212692901234561</v>
      </c>
    </row>
    <row r="83" spans="1:40" x14ac:dyDescent="0.35">
      <c r="A83" s="14" t="s">
        <v>27</v>
      </c>
      <c r="B83" s="14" t="s">
        <v>28</v>
      </c>
      <c r="C83" s="14" t="s">
        <v>47</v>
      </c>
      <c r="D83" s="14" t="s">
        <v>346</v>
      </c>
      <c r="E83" s="14" t="s">
        <v>193</v>
      </c>
      <c r="F83" s="14" t="s">
        <v>32</v>
      </c>
      <c r="G83" s="14" t="s">
        <v>33</v>
      </c>
      <c r="H83" s="14" t="s">
        <v>964</v>
      </c>
      <c r="I83" s="14" t="s">
        <v>348</v>
      </c>
      <c r="J83" s="14" t="s">
        <v>348</v>
      </c>
      <c r="K83" s="14" t="s">
        <v>204</v>
      </c>
      <c r="L83" s="14" t="s">
        <v>973</v>
      </c>
      <c r="M83" s="14" t="s">
        <v>347</v>
      </c>
      <c r="N83" s="14" t="s">
        <v>974</v>
      </c>
      <c r="O83" s="14" t="s">
        <v>991</v>
      </c>
      <c r="P83" s="14"/>
      <c r="Q83" s="14" t="s">
        <v>196</v>
      </c>
      <c r="R83" s="14" t="s">
        <v>36</v>
      </c>
      <c r="S83" s="14" t="s">
        <v>37</v>
      </c>
      <c r="T83" s="14" t="s">
        <v>132</v>
      </c>
      <c r="U83" s="14" t="s">
        <v>37</v>
      </c>
      <c r="V83" s="22">
        <v>46167.729525462964</v>
      </c>
      <c r="W83" s="22">
        <v>46169.345833333333</v>
      </c>
      <c r="X83" s="15">
        <v>2327.48</v>
      </c>
      <c r="Y83" s="22">
        <v>46167.729537037034</v>
      </c>
      <c r="Z83" s="15">
        <v>0.02</v>
      </c>
      <c r="AA83" s="15">
        <v>30</v>
      </c>
      <c r="AB83" s="15" t="s">
        <v>40</v>
      </c>
      <c r="AC83" s="22">
        <v>46167.731932870367</v>
      </c>
      <c r="AD83" s="22">
        <v>46169.342060185183</v>
      </c>
      <c r="AE83" s="15">
        <v>2318.58</v>
      </c>
      <c r="AF83" s="15">
        <v>8.9</v>
      </c>
      <c r="AG83" s="15">
        <v>120</v>
      </c>
      <c r="AH83" s="15" t="s">
        <v>40</v>
      </c>
      <c r="AI83" s="14"/>
      <c r="AJ83" s="16">
        <v>129600</v>
      </c>
      <c r="AK83" s="1">
        <f t="shared" si="4"/>
        <v>129591.1</v>
      </c>
      <c r="AL83" s="2">
        <f t="shared" si="5"/>
        <v>99.993132716049388</v>
      </c>
      <c r="AM83" s="16">
        <f t="shared" si="6"/>
        <v>127281.42</v>
      </c>
      <c r="AN83" s="2">
        <f t="shared" si="7"/>
        <v>98.210972222222225</v>
      </c>
    </row>
    <row r="84" spans="1:40" x14ac:dyDescent="0.35">
      <c r="A84" s="14" t="s">
        <v>27</v>
      </c>
      <c r="B84" s="14" t="s">
        <v>28</v>
      </c>
      <c r="C84" s="14" t="s">
        <v>47</v>
      </c>
      <c r="D84" s="14" t="s">
        <v>701</v>
      </c>
      <c r="E84" s="14" t="s">
        <v>193</v>
      </c>
      <c r="F84" s="14" t="s">
        <v>32</v>
      </c>
      <c r="G84" s="14" t="s">
        <v>33</v>
      </c>
      <c r="H84" s="14" t="s">
        <v>964</v>
      </c>
      <c r="I84" s="14" t="s">
        <v>672</v>
      </c>
      <c r="J84" s="14" t="s">
        <v>672</v>
      </c>
      <c r="K84" s="14" t="s">
        <v>204</v>
      </c>
      <c r="L84" s="14" t="s">
        <v>973</v>
      </c>
      <c r="M84" s="14" t="s">
        <v>671</v>
      </c>
      <c r="N84" s="14" t="s">
        <v>974</v>
      </c>
      <c r="O84" s="14" t="s">
        <v>991</v>
      </c>
      <c r="P84" s="14"/>
      <c r="Q84" s="14" t="s">
        <v>196</v>
      </c>
      <c r="R84" s="14" t="s">
        <v>36</v>
      </c>
      <c r="S84" s="14" t="s">
        <v>37</v>
      </c>
      <c r="T84" s="14" t="s">
        <v>132</v>
      </c>
      <c r="U84" s="14" t="s">
        <v>132</v>
      </c>
      <c r="V84" s="22">
        <v>46167.729525462964</v>
      </c>
      <c r="W84" s="22">
        <v>46169.345833333333</v>
      </c>
      <c r="X84" s="15">
        <v>2327.48</v>
      </c>
      <c r="Y84" s="22">
        <v>46167.729537037034</v>
      </c>
      <c r="Z84" s="15">
        <v>0.02</v>
      </c>
      <c r="AA84" s="15">
        <v>30</v>
      </c>
      <c r="AB84" s="15" t="s">
        <v>40</v>
      </c>
      <c r="AC84" s="22">
        <v>46167.732881944445</v>
      </c>
      <c r="AD84" s="22">
        <v>46169.341504629629</v>
      </c>
      <c r="AE84" s="15">
        <v>2316.42</v>
      </c>
      <c r="AF84" s="15">
        <v>11.07</v>
      </c>
      <c r="AG84" s="15">
        <v>120</v>
      </c>
      <c r="AH84" s="15" t="s">
        <v>40</v>
      </c>
      <c r="AI84" s="14"/>
      <c r="AJ84" s="16">
        <v>129600</v>
      </c>
      <c r="AK84" s="1">
        <f t="shared" si="4"/>
        <v>129588.93</v>
      </c>
      <c r="AL84" s="2">
        <f t="shared" si="5"/>
        <v>99.991458333333327</v>
      </c>
      <c r="AM84" s="16">
        <f t="shared" si="6"/>
        <v>127283.58</v>
      </c>
      <c r="AN84" s="2">
        <f t="shared" si="7"/>
        <v>98.21263888888889</v>
      </c>
    </row>
    <row r="85" spans="1:40" x14ac:dyDescent="0.35">
      <c r="A85" s="14" t="s">
        <v>27</v>
      </c>
      <c r="B85" s="14" t="s">
        <v>28</v>
      </c>
      <c r="C85" s="14" t="s">
        <v>47</v>
      </c>
      <c r="D85" s="14" t="s">
        <v>773</v>
      </c>
      <c r="E85" s="14" t="s">
        <v>193</v>
      </c>
      <c r="F85" s="14" t="s">
        <v>32</v>
      </c>
      <c r="G85" s="14" t="s">
        <v>33</v>
      </c>
      <c r="H85" s="14" t="s">
        <v>964</v>
      </c>
      <c r="I85" s="14" t="s">
        <v>775</v>
      </c>
      <c r="J85" s="14" t="s">
        <v>775</v>
      </c>
      <c r="K85" s="14" t="s">
        <v>204</v>
      </c>
      <c r="L85" s="14" t="s">
        <v>973</v>
      </c>
      <c r="M85" s="14" t="s">
        <v>774</v>
      </c>
      <c r="N85" s="14" t="s">
        <v>990</v>
      </c>
      <c r="O85" s="14" t="s">
        <v>991</v>
      </c>
      <c r="P85" s="14"/>
      <c r="Q85" s="14" t="s">
        <v>196</v>
      </c>
      <c r="R85" s="14" t="s">
        <v>36</v>
      </c>
      <c r="S85" s="14" t="s">
        <v>37</v>
      </c>
      <c r="T85" s="14" t="s">
        <v>132</v>
      </c>
      <c r="U85" s="14" t="s">
        <v>37</v>
      </c>
      <c r="V85" s="22">
        <v>46167.729525462964</v>
      </c>
      <c r="W85" s="22">
        <v>46169.345833333333</v>
      </c>
      <c r="X85" s="15">
        <v>2327.48</v>
      </c>
      <c r="Y85" s="22">
        <v>46167.729537037034</v>
      </c>
      <c r="Z85" s="15">
        <v>0.02</v>
      </c>
      <c r="AA85" s="15">
        <v>30</v>
      </c>
      <c r="AB85" s="15" t="s">
        <v>40</v>
      </c>
      <c r="AC85" s="22">
        <v>46167.731180555558</v>
      </c>
      <c r="AD85" s="22">
        <v>46169.342777777776</v>
      </c>
      <c r="AE85" s="15">
        <v>2320.6999999999998</v>
      </c>
      <c r="AF85" s="15">
        <v>6.78</v>
      </c>
      <c r="AG85" s="15">
        <v>120</v>
      </c>
      <c r="AH85" s="15" t="s">
        <v>40</v>
      </c>
      <c r="AI85" s="14"/>
      <c r="AJ85" s="16">
        <v>129600</v>
      </c>
      <c r="AK85" s="1">
        <f t="shared" si="4"/>
        <v>129593.22</v>
      </c>
      <c r="AL85" s="2">
        <f t="shared" si="5"/>
        <v>99.994768518518512</v>
      </c>
      <c r="AM85" s="16">
        <f t="shared" si="6"/>
        <v>127279.3</v>
      </c>
      <c r="AN85" s="2">
        <f t="shared" si="7"/>
        <v>98.209336419753086</v>
      </c>
    </row>
    <row r="86" spans="1:40" x14ac:dyDescent="0.35">
      <c r="A86" s="14" t="s">
        <v>27</v>
      </c>
      <c r="B86" s="14" t="s">
        <v>28</v>
      </c>
      <c r="C86" s="14" t="s">
        <v>127</v>
      </c>
      <c r="D86" s="14" t="s">
        <v>511</v>
      </c>
      <c r="E86" s="14" t="s">
        <v>193</v>
      </c>
      <c r="F86" s="14" t="s">
        <v>32</v>
      </c>
      <c r="G86" s="14" t="s">
        <v>33</v>
      </c>
      <c r="H86" s="14" t="s">
        <v>966</v>
      </c>
      <c r="I86" s="14" t="s">
        <v>513</v>
      </c>
      <c r="J86" s="14" t="s">
        <v>513</v>
      </c>
      <c r="K86" s="14" t="s">
        <v>204</v>
      </c>
      <c r="L86" s="14" t="s">
        <v>973</v>
      </c>
      <c r="M86" s="14" t="s">
        <v>512</v>
      </c>
      <c r="N86" s="14" t="s">
        <v>979</v>
      </c>
      <c r="O86" s="14" t="s">
        <v>980</v>
      </c>
      <c r="P86" s="14"/>
      <c r="Q86" s="14" t="s">
        <v>196</v>
      </c>
      <c r="R86" s="14" t="s">
        <v>36</v>
      </c>
      <c r="S86" s="14" t="s">
        <v>37</v>
      </c>
      <c r="T86" s="14" t="s">
        <v>64</v>
      </c>
      <c r="U86" s="14" t="s">
        <v>129</v>
      </c>
      <c r="V86" s="22">
        <v>46169.107731481483</v>
      </c>
      <c r="W86" s="22">
        <v>46171.083333333336</v>
      </c>
      <c r="X86" s="15">
        <v>2844.87</v>
      </c>
      <c r="Y86" s="22">
        <v>46169.107743055552</v>
      </c>
      <c r="Z86" s="15">
        <v>0.02</v>
      </c>
      <c r="AA86" s="15">
        <v>30</v>
      </c>
      <c r="AB86" s="15" t="s">
        <v>40</v>
      </c>
      <c r="AC86" s="22">
        <v>46169.108576388891</v>
      </c>
      <c r="AD86" s="22">
        <v>46171.08253472222</v>
      </c>
      <c r="AE86" s="15">
        <v>2842.5</v>
      </c>
      <c r="AF86" s="15">
        <v>2.37</v>
      </c>
      <c r="AG86" s="15">
        <v>120</v>
      </c>
      <c r="AH86" s="15" t="s">
        <v>40</v>
      </c>
      <c r="AI86" s="14"/>
      <c r="AJ86" s="16">
        <v>129600</v>
      </c>
      <c r="AK86" s="1">
        <f t="shared" si="4"/>
        <v>129597.63</v>
      </c>
      <c r="AL86" s="2">
        <f t="shared" si="5"/>
        <v>99.998171296296306</v>
      </c>
      <c r="AM86" s="16">
        <f t="shared" si="6"/>
        <v>126757.5</v>
      </c>
      <c r="AN86" s="2">
        <f t="shared" si="7"/>
        <v>97.806712962962962</v>
      </c>
    </row>
    <row r="87" spans="1:40" x14ac:dyDescent="0.35">
      <c r="A87" s="14" t="s">
        <v>27</v>
      </c>
      <c r="B87" s="14" t="s">
        <v>28</v>
      </c>
      <c r="C87" s="14" t="s">
        <v>127</v>
      </c>
      <c r="D87" s="14" t="s">
        <v>640</v>
      </c>
      <c r="E87" s="14" t="s">
        <v>193</v>
      </c>
      <c r="F87" s="14" t="s">
        <v>32</v>
      </c>
      <c r="G87" s="14" t="s">
        <v>33</v>
      </c>
      <c r="H87" s="14" t="s">
        <v>966</v>
      </c>
      <c r="I87" s="14" t="s">
        <v>641</v>
      </c>
      <c r="J87" s="14" t="s">
        <v>641</v>
      </c>
      <c r="K87" s="14" t="s">
        <v>204</v>
      </c>
      <c r="L87" s="14" t="s">
        <v>973</v>
      </c>
      <c r="M87" s="14" t="s">
        <v>1003</v>
      </c>
      <c r="N87" s="14" t="s">
        <v>979</v>
      </c>
      <c r="O87" s="14" t="s">
        <v>980</v>
      </c>
      <c r="P87" s="14"/>
      <c r="Q87" s="14" t="s">
        <v>196</v>
      </c>
      <c r="R87" s="14" t="s">
        <v>36</v>
      </c>
      <c r="S87" s="14" t="s">
        <v>37</v>
      </c>
      <c r="T87" s="14" t="s">
        <v>64</v>
      </c>
      <c r="U87" s="14" t="s">
        <v>129</v>
      </c>
      <c r="V87" s="22">
        <v>46169.107766203706</v>
      </c>
      <c r="W87" s="22">
        <v>46171.086111111108</v>
      </c>
      <c r="X87" s="15">
        <v>2848.82</v>
      </c>
      <c r="Y87" s="22">
        <v>46169.107777777775</v>
      </c>
      <c r="Z87" s="15">
        <v>0.02</v>
      </c>
      <c r="AA87" s="15">
        <v>30</v>
      </c>
      <c r="AB87" s="15" t="s">
        <v>40</v>
      </c>
      <c r="AC87" s="22">
        <v>46169.109247685185</v>
      </c>
      <c r="AD87" s="22">
        <v>46171.083773148152</v>
      </c>
      <c r="AE87" s="15">
        <v>2843.32</v>
      </c>
      <c r="AF87" s="15">
        <v>5.5</v>
      </c>
      <c r="AG87" s="15">
        <v>120</v>
      </c>
      <c r="AH87" s="15" t="s">
        <v>40</v>
      </c>
      <c r="AI87" s="14"/>
      <c r="AJ87" s="16">
        <v>129600</v>
      </c>
      <c r="AK87" s="1">
        <f t="shared" si="4"/>
        <v>129594.5</v>
      </c>
      <c r="AL87" s="2">
        <f t="shared" si="5"/>
        <v>99.995756172839506</v>
      </c>
      <c r="AM87" s="16">
        <f t="shared" si="6"/>
        <v>126756.68</v>
      </c>
      <c r="AN87" s="2">
        <f t="shared" si="7"/>
        <v>97.806080246913581</v>
      </c>
    </row>
    <row r="88" spans="1:40" x14ac:dyDescent="0.35">
      <c r="A88" s="14" t="s">
        <v>27</v>
      </c>
      <c r="B88" s="14" t="s">
        <v>28</v>
      </c>
      <c r="C88" s="14" t="s">
        <v>127</v>
      </c>
      <c r="D88" s="14" t="s">
        <v>687</v>
      </c>
      <c r="E88" s="14" t="s">
        <v>193</v>
      </c>
      <c r="F88" s="14" t="s">
        <v>32</v>
      </c>
      <c r="G88" s="14" t="s">
        <v>33</v>
      </c>
      <c r="H88" s="14" t="s">
        <v>966</v>
      </c>
      <c r="I88" s="14" t="s">
        <v>297</v>
      </c>
      <c r="J88" s="14" t="s">
        <v>297</v>
      </c>
      <c r="K88" s="14" t="s">
        <v>204</v>
      </c>
      <c r="L88" s="14" t="s">
        <v>973</v>
      </c>
      <c r="M88" s="14" t="s">
        <v>296</v>
      </c>
      <c r="N88" s="14" t="s">
        <v>979</v>
      </c>
      <c r="O88" s="14" t="s">
        <v>980</v>
      </c>
      <c r="P88" s="14"/>
      <c r="Q88" s="14" t="s">
        <v>196</v>
      </c>
      <c r="R88" s="14" t="s">
        <v>36</v>
      </c>
      <c r="S88" s="14" t="s">
        <v>37</v>
      </c>
      <c r="T88" s="14" t="s">
        <v>64</v>
      </c>
      <c r="U88" s="14" t="s">
        <v>129</v>
      </c>
      <c r="V88" s="22">
        <v>46169.107824074075</v>
      </c>
      <c r="W88" s="22">
        <v>46171.086805555555</v>
      </c>
      <c r="X88" s="15">
        <v>2849.73</v>
      </c>
      <c r="Y88" s="22">
        <v>46169.107824074075</v>
      </c>
      <c r="Z88" s="15">
        <v>0</v>
      </c>
      <c r="AA88" s="15">
        <v>30</v>
      </c>
      <c r="AB88" s="15" t="s">
        <v>40</v>
      </c>
      <c r="AC88" s="22">
        <v>46169.109907407408</v>
      </c>
      <c r="AD88" s="22">
        <v>46171.0856712963</v>
      </c>
      <c r="AE88" s="15">
        <v>2845.1</v>
      </c>
      <c r="AF88" s="15">
        <v>4.63</v>
      </c>
      <c r="AG88" s="15">
        <v>120</v>
      </c>
      <c r="AH88" s="15" t="s">
        <v>40</v>
      </c>
      <c r="AI88" s="14"/>
      <c r="AJ88" s="16">
        <v>129600</v>
      </c>
      <c r="AK88" s="1">
        <f t="shared" si="4"/>
        <v>129595.37</v>
      </c>
      <c r="AL88" s="2">
        <f t="shared" si="5"/>
        <v>99.996427469135796</v>
      </c>
      <c r="AM88" s="16">
        <f t="shared" si="6"/>
        <v>126754.9</v>
      </c>
      <c r="AN88" s="2">
        <f t="shared" si="7"/>
        <v>97.804706790123447</v>
      </c>
    </row>
    <row r="89" spans="1:40" x14ac:dyDescent="0.35">
      <c r="A89" s="14" t="s">
        <v>27</v>
      </c>
      <c r="B89" s="14" t="s">
        <v>28</v>
      </c>
      <c r="C89" s="14" t="s">
        <v>127</v>
      </c>
      <c r="D89" s="14" t="s">
        <v>151</v>
      </c>
      <c r="E89" s="14" t="s">
        <v>31</v>
      </c>
      <c r="F89" s="14" t="s">
        <v>32</v>
      </c>
      <c r="G89" s="14" t="s">
        <v>33</v>
      </c>
      <c r="H89" s="14" t="s">
        <v>966</v>
      </c>
      <c r="I89" s="14" t="s">
        <v>72</v>
      </c>
      <c r="J89" s="14" t="s">
        <v>72</v>
      </c>
      <c r="K89" s="14" t="s">
        <v>1004</v>
      </c>
      <c r="L89" s="14" t="s">
        <v>967</v>
      </c>
      <c r="M89" s="14" t="s">
        <v>71</v>
      </c>
      <c r="N89" s="14" t="s">
        <v>971</v>
      </c>
      <c r="O89" s="14" t="s">
        <v>982</v>
      </c>
      <c r="P89" s="14"/>
      <c r="Q89" s="14" t="s">
        <v>35</v>
      </c>
      <c r="R89" s="14" t="s">
        <v>36</v>
      </c>
      <c r="S89" s="14" t="s">
        <v>37</v>
      </c>
      <c r="T89" s="14" t="s">
        <v>64</v>
      </c>
      <c r="U89" s="14" t="s">
        <v>129</v>
      </c>
      <c r="V89" s="22">
        <v>46169.109085648146</v>
      </c>
      <c r="W89" s="22">
        <v>46171.088194444441</v>
      </c>
      <c r="X89" s="15">
        <v>2849.92</v>
      </c>
      <c r="Y89" s="22">
        <v>46169.109097222223</v>
      </c>
      <c r="Z89" s="15">
        <v>0.02</v>
      </c>
      <c r="AA89" s="15">
        <v>30</v>
      </c>
      <c r="AB89" s="15" t="s">
        <v>40</v>
      </c>
      <c r="AC89" s="22">
        <v>46169.110601851855</v>
      </c>
      <c r="AD89" s="22">
        <v>46171.087037037039</v>
      </c>
      <c r="AE89" s="15">
        <v>2846.07</v>
      </c>
      <c r="AF89" s="15">
        <v>3.85</v>
      </c>
      <c r="AG89" s="15">
        <v>120</v>
      </c>
      <c r="AH89" s="15" t="s">
        <v>40</v>
      </c>
      <c r="AI89" s="14"/>
      <c r="AJ89" s="16">
        <v>129600</v>
      </c>
      <c r="AK89" s="1">
        <f t="shared" si="4"/>
        <v>129596.15</v>
      </c>
      <c r="AL89" s="2">
        <f t="shared" si="5"/>
        <v>99.99702932098765</v>
      </c>
      <c r="AM89" s="16">
        <f t="shared" si="6"/>
        <v>126753.93</v>
      </c>
      <c r="AN89" s="2">
        <f t="shared" si="7"/>
        <v>97.803958333333327</v>
      </c>
    </row>
    <row r="90" spans="1:40" x14ac:dyDescent="0.35">
      <c r="A90" s="14" t="s">
        <v>27</v>
      </c>
      <c r="B90" s="14" t="s">
        <v>28</v>
      </c>
      <c r="C90" s="14" t="s">
        <v>127</v>
      </c>
      <c r="D90" s="14" t="s">
        <v>128</v>
      </c>
      <c r="E90" s="14" t="s">
        <v>31</v>
      </c>
      <c r="F90" s="14" t="s">
        <v>32</v>
      </c>
      <c r="G90" s="14" t="s">
        <v>33</v>
      </c>
      <c r="H90" s="14" t="s">
        <v>966</v>
      </c>
      <c r="I90" s="14" t="s">
        <v>92</v>
      </c>
      <c r="J90" s="14" t="s">
        <v>92</v>
      </c>
      <c r="K90" s="14" t="s">
        <v>1005</v>
      </c>
      <c r="L90" s="14" t="s">
        <v>967</v>
      </c>
      <c r="M90" s="14" t="s">
        <v>91</v>
      </c>
      <c r="N90" s="14" t="s">
        <v>971</v>
      </c>
      <c r="O90" s="14" t="s">
        <v>982</v>
      </c>
      <c r="P90" s="14"/>
      <c r="Q90" s="14" t="s">
        <v>35</v>
      </c>
      <c r="R90" s="14" t="s">
        <v>36</v>
      </c>
      <c r="S90" s="14" t="s">
        <v>37</v>
      </c>
      <c r="T90" s="14" t="s">
        <v>64</v>
      </c>
      <c r="U90" s="14" t="s">
        <v>129</v>
      </c>
      <c r="V90" s="22">
        <v>46169.109201388892</v>
      </c>
      <c r="W90" s="22">
        <v>46171.089583333334</v>
      </c>
      <c r="X90" s="15">
        <v>2851.75</v>
      </c>
      <c r="Y90" s="22">
        <v>46169.109212962961</v>
      </c>
      <c r="Z90" s="15">
        <v>0.02</v>
      </c>
      <c r="AA90" s="15">
        <v>30</v>
      </c>
      <c r="AB90" s="15" t="s">
        <v>40</v>
      </c>
      <c r="AC90" s="22">
        <v>46169.111145833333</v>
      </c>
      <c r="AD90" s="22">
        <v>46171.087743055556</v>
      </c>
      <c r="AE90" s="15">
        <v>2846.3</v>
      </c>
      <c r="AF90" s="15">
        <v>5.45</v>
      </c>
      <c r="AG90" s="15">
        <v>120</v>
      </c>
      <c r="AH90" s="15" t="s">
        <v>40</v>
      </c>
      <c r="AI90" s="14"/>
      <c r="AJ90" s="16">
        <v>129600</v>
      </c>
      <c r="AK90" s="1">
        <f t="shared" si="4"/>
        <v>129594.55</v>
      </c>
      <c r="AL90" s="2">
        <f t="shared" si="5"/>
        <v>99.995794753086415</v>
      </c>
      <c r="AM90" s="16">
        <f t="shared" si="6"/>
        <v>126753.7</v>
      </c>
      <c r="AN90" s="2">
        <f t="shared" si="7"/>
        <v>97.803780864197535</v>
      </c>
    </row>
    <row r="91" spans="1:40" x14ac:dyDescent="0.35">
      <c r="A91" s="14" t="s">
        <v>27</v>
      </c>
      <c r="B91" s="14" t="s">
        <v>28</v>
      </c>
      <c r="C91" s="14" t="s">
        <v>73</v>
      </c>
      <c r="D91" s="14" t="s">
        <v>163</v>
      </c>
      <c r="E91" s="14" t="s">
        <v>31</v>
      </c>
      <c r="F91" s="14" t="s">
        <v>32</v>
      </c>
      <c r="G91" s="14" t="s">
        <v>33</v>
      </c>
      <c r="H91" s="14" t="s">
        <v>966</v>
      </c>
      <c r="I91" s="14" t="s">
        <v>68</v>
      </c>
      <c r="J91" s="14" t="s">
        <v>68</v>
      </c>
      <c r="K91" s="14" t="s">
        <v>1004</v>
      </c>
      <c r="L91" s="14" t="s">
        <v>967</v>
      </c>
      <c r="M91" s="14" t="s">
        <v>67</v>
      </c>
      <c r="N91" s="14" t="s">
        <v>971</v>
      </c>
      <c r="O91" s="14" t="s">
        <v>969</v>
      </c>
      <c r="P91" s="14"/>
      <c r="Q91" s="14" t="s">
        <v>35</v>
      </c>
      <c r="R91" s="14" t="s">
        <v>36</v>
      </c>
      <c r="S91" s="14" t="s">
        <v>37</v>
      </c>
      <c r="T91" s="14" t="s">
        <v>38</v>
      </c>
      <c r="U91" s="14" t="s">
        <v>64</v>
      </c>
      <c r="V91" s="22">
        <v>46169.109201388892</v>
      </c>
      <c r="W91" s="22">
        <v>46169.859027777777</v>
      </c>
      <c r="X91" s="15">
        <v>1079.75</v>
      </c>
      <c r="Y91" s="22">
        <v>46169.109212962961</v>
      </c>
      <c r="Z91" s="15">
        <v>0.02</v>
      </c>
      <c r="AA91" s="15">
        <v>30</v>
      </c>
      <c r="AB91" s="15" t="s">
        <v>40</v>
      </c>
      <c r="AC91" s="22">
        <v>46169.111481481479</v>
      </c>
      <c r="AD91" s="22">
        <v>46169.857048611113</v>
      </c>
      <c r="AE91" s="15">
        <v>1073.6199999999999</v>
      </c>
      <c r="AF91" s="15">
        <v>6.13</v>
      </c>
      <c r="AG91" s="15">
        <v>120</v>
      </c>
      <c r="AH91" s="15" t="s">
        <v>40</v>
      </c>
      <c r="AI91" s="14"/>
      <c r="AJ91" s="16">
        <v>129600</v>
      </c>
      <c r="AK91" s="1">
        <f t="shared" si="4"/>
        <v>129593.87</v>
      </c>
      <c r="AL91" s="2">
        <f t="shared" si="5"/>
        <v>99.995270061728391</v>
      </c>
      <c r="AM91" s="16">
        <f t="shared" si="6"/>
        <v>128526.38</v>
      </c>
      <c r="AN91" s="2">
        <f t="shared" si="7"/>
        <v>99.171589506172836</v>
      </c>
    </row>
    <row r="92" spans="1:40" x14ac:dyDescent="0.35">
      <c r="A92" s="14" t="s">
        <v>27</v>
      </c>
      <c r="B92" s="14" t="s">
        <v>28</v>
      </c>
      <c r="C92" s="14" t="s">
        <v>73</v>
      </c>
      <c r="D92" s="14" t="s">
        <v>118</v>
      </c>
      <c r="E92" s="14" t="s">
        <v>31</v>
      </c>
      <c r="F92" s="14" t="s">
        <v>32</v>
      </c>
      <c r="G92" s="14" t="s">
        <v>33</v>
      </c>
      <c r="H92" s="14" t="s">
        <v>966</v>
      </c>
      <c r="I92" s="14" t="s">
        <v>120</v>
      </c>
      <c r="J92" s="14" t="s">
        <v>120</v>
      </c>
      <c r="K92" s="14" t="s">
        <v>1005</v>
      </c>
      <c r="L92" s="14" t="s">
        <v>967</v>
      </c>
      <c r="M92" s="14" t="s">
        <v>119</v>
      </c>
      <c r="N92" s="14" t="s">
        <v>971</v>
      </c>
      <c r="O92" s="14" t="s">
        <v>982</v>
      </c>
      <c r="P92" s="14"/>
      <c r="Q92" s="14" t="s">
        <v>35</v>
      </c>
      <c r="R92" s="14" t="s">
        <v>36</v>
      </c>
      <c r="S92" s="14" t="s">
        <v>37</v>
      </c>
      <c r="T92" s="14" t="s">
        <v>121</v>
      </c>
      <c r="U92" s="14" t="s">
        <v>59</v>
      </c>
      <c r="V92" s="22">
        <v>46169.1093287037</v>
      </c>
      <c r="W92" s="22">
        <v>46169.85833333333</v>
      </c>
      <c r="X92" s="15">
        <v>1078.57</v>
      </c>
      <c r="Y92" s="22">
        <v>46169.1093287037</v>
      </c>
      <c r="Z92" s="15">
        <v>0</v>
      </c>
      <c r="AA92" s="15">
        <v>30</v>
      </c>
      <c r="AB92" s="15" t="s">
        <v>40</v>
      </c>
      <c r="AC92" s="22">
        <v>46169.11078703704</v>
      </c>
      <c r="AD92" s="22">
        <v>46169.856979166667</v>
      </c>
      <c r="AE92" s="15">
        <v>1074.52</v>
      </c>
      <c r="AF92" s="15">
        <v>4.05</v>
      </c>
      <c r="AG92" s="15">
        <v>120</v>
      </c>
      <c r="AH92" s="15" t="s">
        <v>40</v>
      </c>
      <c r="AI92" s="14"/>
      <c r="AJ92" s="16">
        <v>129600</v>
      </c>
      <c r="AK92" s="1">
        <f t="shared" si="4"/>
        <v>129595.95</v>
      </c>
      <c r="AL92" s="2">
        <f t="shared" si="5"/>
        <v>99.996875000000003</v>
      </c>
      <c r="AM92" s="16">
        <f t="shared" si="6"/>
        <v>128525.48</v>
      </c>
      <c r="AN92" s="2">
        <f t="shared" si="7"/>
        <v>99.170895061728388</v>
      </c>
    </row>
    <row r="93" spans="1:40" x14ac:dyDescent="0.35">
      <c r="A93" s="14" t="s">
        <v>27</v>
      </c>
      <c r="B93" s="14" t="s">
        <v>28</v>
      </c>
      <c r="C93" s="14" t="s">
        <v>47</v>
      </c>
      <c r="D93" s="14" t="s">
        <v>679</v>
      </c>
      <c r="E93" s="14" t="s">
        <v>218</v>
      </c>
      <c r="F93" s="14" t="s">
        <v>32</v>
      </c>
      <c r="G93" s="14" t="s">
        <v>33</v>
      </c>
      <c r="H93" s="14" t="s">
        <v>963</v>
      </c>
      <c r="I93" s="14" t="s">
        <v>103</v>
      </c>
      <c r="J93" s="14" t="s">
        <v>103</v>
      </c>
      <c r="K93" s="14" t="s">
        <v>976</v>
      </c>
      <c r="L93" s="14" t="s">
        <v>967</v>
      </c>
      <c r="M93" s="14" t="s">
        <v>102</v>
      </c>
      <c r="N93" s="14" t="s">
        <v>977</v>
      </c>
      <c r="O93" s="14" t="s">
        <v>978</v>
      </c>
      <c r="P93" s="14"/>
      <c r="Q93" s="14" t="s">
        <v>196</v>
      </c>
      <c r="R93" s="14" t="s">
        <v>36</v>
      </c>
      <c r="S93" s="14" t="s">
        <v>104</v>
      </c>
      <c r="T93" s="14" t="s">
        <v>680</v>
      </c>
      <c r="U93" s="14" t="s">
        <v>681</v>
      </c>
      <c r="V93" s="22">
        <v>46169.389282407406</v>
      </c>
      <c r="W93" s="22">
        <v>46174.484722222223</v>
      </c>
      <c r="X93" s="15">
        <v>7337.43</v>
      </c>
      <c r="Y93" s="22">
        <v>46169.389293981483</v>
      </c>
      <c r="Z93" s="15">
        <v>0.02</v>
      </c>
      <c r="AA93" s="15">
        <v>30</v>
      </c>
      <c r="AB93" s="15" t="s">
        <v>40</v>
      </c>
      <c r="AC93" s="22">
        <v>46169.390381944446</v>
      </c>
      <c r="AD93" s="22">
        <v>46174.466180555559</v>
      </c>
      <c r="AE93" s="15">
        <v>7309.15</v>
      </c>
      <c r="AF93" s="15">
        <v>28.28</v>
      </c>
      <c r="AG93" s="15">
        <v>120</v>
      </c>
      <c r="AH93" s="15" t="s">
        <v>40</v>
      </c>
      <c r="AI93" s="14"/>
      <c r="AJ93" s="16">
        <v>129600</v>
      </c>
      <c r="AK93" s="1">
        <f t="shared" si="4"/>
        <v>129571.72</v>
      </c>
      <c r="AL93" s="2">
        <f t="shared" si="5"/>
        <v>99.978179012345677</v>
      </c>
      <c r="AM93" s="16">
        <f t="shared" si="6"/>
        <v>122290.85</v>
      </c>
      <c r="AN93" s="2">
        <f t="shared" si="7"/>
        <v>94.36022376543211</v>
      </c>
    </row>
    <row r="94" spans="1:40" x14ac:dyDescent="0.35">
      <c r="A94" s="14" t="s">
        <v>27</v>
      </c>
      <c r="B94" s="14" t="s">
        <v>28</v>
      </c>
      <c r="C94" s="14" t="s">
        <v>127</v>
      </c>
      <c r="D94" s="14" t="s">
        <v>745</v>
      </c>
      <c r="E94" s="14" t="s">
        <v>218</v>
      </c>
      <c r="F94" s="14" t="s">
        <v>32</v>
      </c>
      <c r="G94" s="14" t="s">
        <v>33</v>
      </c>
      <c r="H94" s="14" t="s">
        <v>963</v>
      </c>
      <c r="I94" s="14" t="s">
        <v>103</v>
      </c>
      <c r="J94" s="14" t="s">
        <v>103</v>
      </c>
      <c r="K94" s="14" t="s">
        <v>976</v>
      </c>
      <c r="L94" s="14" t="s">
        <v>967</v>
      </c>
      <c r="M94" s="14" t="s">
        <v>102</v>
      </c>
      <c r="N94" s="14" t="s">
        <v>977</v>
      </c>
      <c r="O94" s="14" t="s">
        <v>978</v>
      </c>
      <c r="P94" s="14"/>
      <c r="Q94" s="14" t="s">
        <v>196</v>
      </c>
      <c r="R94" s="14" t="s">
        <v>36</v>
      </c>
      <c r="S94" s="14" t="s">
        <v>676</v>
      </c>
      <c r="T94" s="14" t="s">
        <v>676</v>
      </c>
      <c r="U94" s="14" t="s">
        <v>129</v>
      </c>
      <c r="V94" s="22">
        <v>46170.276909722219</v>
      </c>
      <c r="W94" s="22">
        <v>46172.313888888886</v>
      </c>
      <c r="X94" s="15">
        <v>2933.25</v>
      </c>
      <c r="Y94" s="22">
        <v>46170.276921296296</v>
      </c>
      <c r="Z94" s="15">
        <v>0.02</v>
      </c>
      <c r="AA94" s="15">
        <v>30</v>
      </c>
      <c r="AB94" s="15" t="s">
        <v>40</v>
      </c>
      <c r="AC94" s="22">
        <v>46170.278946759259</v>
      </c>
      <c r="AD94" s="22">
        <v>46172.304479166669</v>
      </c>
      <c r="AE94" s="15">
        <v>2916.77</v>
      </c>
      <c r="AF94" s="15">
        <v>16.48</v>
      </c>
      <c r="AG94" s="15">
        <v>120</v>
      </c>
      <c r="AH94" s="15" t="s">
        <v>40</v>
      </c>
      <c r="AI94" s="14"/>
      <c r="AJ94" s="16">
        <v>129600</v>
      </c>
      <c r="AK94" s="1">
        <f t="shared" si="4"/>
        <v>129583.52</v>
      </c>
      <c r="AL94" s="2">
        <f t="shared" si="5"/>
        <v>99.987283950617297</v>
      </c>
      <c r="AM94" s="16">
        <f t="shared" si="6"/>
        <v>126683.23</v>
      </c>
      <c r="AN94" s="2">
        <f t="shared" si="7"/>
        <v>97.749405864197527</v>
      </c>
    </row>
    <row r="95" spans="1:40" x14ac:dyDescent="0.35">
      <c r="A95" s="14" t="s">
        <v>27</v>
      </c>
      <c r="B95" s="14" t="s">
        <v>28</v>
      </c>
      <c r="C95" s="14" t="s">
        <v>47</v>
      </c>
      <c r="D95" s="14" t="s">
        <v>626</v>
      </c>
      <c r="E95" s="14" t="s">
        <v>193</v>
      </c>
      <c r="F95" s="14" t="s">
        <v>32</v>
      </c>
      <c r="G95" s="14" t="s">
        <v>33</v>
      </c>
      <c r="H95" s="14" t="s">
        <v>964</v>
      </c>
      <c r="I95" s="14" t="s">
        <v>207</v>
      </c>
      <c r="J95" s="14" t="s">
        <v>207</v>
      </c>
      <c r="K95" s="14" t="s">
        <v>204</v>
      </c>
      <c r="L95" s="14" t="s">
        <v>973</v>
      </c>
      <c r="M95" s="14" t="s">
        <v>206</v>
      </c>
      <c r="N95" s="14" t="s">
        <v>974</v>
      </c>
      <c r="O95" s="14" t="s">
        <v>991</v>
      </c>
      <c r="P95" s="14"/>
      <c r="Q95" s="14" t="s">
        <v>196</v>
      </c>
      <c r="R95" s="14" t="s">
        <v>36</v>
      </c>
      <c r="S95" s="14" t="s">
        <v>37</v>
      </c>
      <c r="T95" s="14" t="s">
        <v>37</v>
      </c>
      <c r="U95" s="14" t="s">
        <v>37</v>
      </c>
      <c r="V95" s="22">
        <v>46170.647557870368</v>
      </c>
      <c r="W95" s="22">
        <v>46170.65902777778</v>
      </c>
      <c r="X95" s="15">
        <v>16.52</v>
      </c>
      <c r="Y95" s="22">
        <v>46170.647569444445</v>
      </c>
      <c r="Z95" s="15">
        <v>0.02</v>
      </c>
      <c r="AA95" s="15">
        <v>30</v>
      </c>
      <c r="AB95" s="15" t="s">
        <v>40</v>
      </c>
      <c r="AC95" s="22">
        <v>46170.653981481482</v>
      </c>
      <c r="AD95" s="22">
        <v>46170.657384259262</v>
      </c>
      <c r="AE95" s="15">
        <v>4.9000000000000004</v>
      </c>
      <c r="AF95" s="15">
        <v>11.62</v>
      </c>
      <c r="AG95" s="15">
        <v>120</v>
      </c>
      <c r="AH95" s="15" t="s">
        <v>40</v>
      </c>
      <c r="AI95" s="14"/>
      <c r="AJ95" s="16">
        <v>129600</v>
      </c>
      <c r="AK95" s="1">
        <f t="shared" si="4"/>
        <v>129588.38</v>
      </c>
      <c r="AL95" s="2">
        <f t="shared" si="5"/>
        <v>99.991033950617293</v>
      </c>
      <c r="AM95" s="16">
        <f t="shared" si="6"/>
        <v>129595.1</v>
      </c>
      <c r="AN95" s="2">
        <f t="shared" si="7"/>
        <v>99.996219135802477</v>
      </c>
    </row>
    <row r="96" spans="1:40" x14ac:dyDescent="0.35">
      <c r="A96" s="14" t="s">
        <v>27</v>
      </c>
      <c r="B96" s="14" t="s">
        <v>28</v>
      </c>
      <c r="C96" s="14" t="s">
        <v>47</v>
      </c>
      <c r="D96" s="14" t="s">
        <v>823</v>
      </c>
      <c r="E96" s="14" t="s">
        <v>193</v>
      </c>
      <c r="F96" s="14" t="s">
        <v>32</v>
      </c>
      <c r="G96" s="14" t="s">
        <v>33</v>
      </c>
      <c r="H96" s="14" t="s">
        <v>964</v>
      </c>
      <c r="I96" s="14" t="s">
        <v>468</v>
      </c>
      <c r="J96" s="14" t="s">
        <v>468</v>
      </c>
      <c r="K96" s="14" t="s">
        <v>204</v>
      </c>
      <c r="L96" s="14" t="s">
        <v>973</v>
      </c>
      <c r="M96" s="14" t="s">
        <v>467</v>
      </c>
      <c r="N96" s="14" t="s">
        <v>974</v>
      </c>
      <c r="O96" s="14" t="s">
        <v>991</v>
      </c>
      <c r="P96" s="14"/>
      <c r="Q96" s="14" t="s">
        <v>196</v>
      </c>
      <c r="R96" s="14" t="s">
        <v>36</v>
      </c>
      <c r="S96" s="14" t="s">
        <v>37</v>
      </c>
      <c r="T96" s="14" t="s">
        <v>37</v>
      </c>
      <c r="U96" s="14" t="s">
        <v>37</v>
      </c>
      <c r="V96" s="22">
        <v>46170.647557870368</v>
      </c>
      <c r="W96" s="22">
        <v>46170.663194444445</v>
      </c>
      <c r="X96" s="15">
        <v>22.52</v>
      </c>
      <c r="Y96" s="22">
        <v>46170.647569444445</v>
      </c>
      <c r="Z96" s="15">
        <v>0.02</v>
      </c>
      <c r="AA96" s="15">
        <v>30</v>
      </c>
      <c r="AB96" s="15" t="s">
        <v>40</v>
      </c>
      <c r="AC96" s="22">
        <v>46170.653182870374</v>
      </c>
      <c r="AD96" s="22">
        <v>46170.658726851849</v>
      </c>
      <c r="AE96" s="15">
        <v>7.98</v>
      </c>
      <c r="AF96" s="15">
        <v>14.53</v>
      </c>
      <c r="AG96" s="15">
        <v>120</v>
      </c>
      <c r="AH96" s="15" t="s">
        <v>40</v>
      </c>
      <c r="AI96" s="14"/>
      <c r="AJ96" s="16">
        <v>129600</v>
      </c>
      <c r="AK96" s="1">
        <f t="shared" si="4"/>
        <v>129585.47</v>
      </c>
      <c r="AL96" s="2">
        <f t="shared" si="5"/>
        <v>99.988788580246919</v>
      </c>
      <c r="AM96" s="16">
        <f t="shared" si="6"/>
        <v>129592.02</v>
      </c>
      <c r="AN96" s="2">
        <f t="shared" si="7"/>
        <v>99.9938425925926</v>
      </c>
    </row>
    <row r="97" spans="1:40" x14ac:dyDescent="0.35">
      <c r="A97" s="14" t="s">
        <v>27</v>
      </c>
      <c r="B97" s="14" t="s">
        <v>28</v>
      </c>
      <c r="C97" s="14" t="s">
        <v>54</v>
      </c>
      <c r="D97" s="14" t="s">
        <v>255</v>
      </c>
      <c r="E97" s="14" t="s">
        <v>193</v>
      </c>
      <c r="F97" s="14" t="s">
        <v>32</v>
      </c>
      <c r="G97" s="14" t="s">
        <v>33</v>
      </c>
      <c r="H97" s="14" t="s">
        <v>964</v>
      </c>
      <c r="I97" s="14" t="s">
        <v>257</v>
      </c>
      <c r="J97" s="14" t="s">
        <v>257</v>
      </c>
      <c r="K97" s="14" t="s">
        <v>204</v>
      </c>
      <c r="L97" s="14" t="s">
        <v>973</v>
      </c>
      <c r="M97" s="14" t="s">
        <v>256</v>
      </c>
      <c r="N97" s="14" t="s">
        <v>996</v>
      </c>
      <c r="O97" s="14" t="s">
        <v>991</v>
      </c>
      <c r="P97" s="14"/>
      <c r="Q97" s="14" t="s">
        <v>196</v>
      </c>
      <c r="R97" s="14" t="s">
        <v>36</v>
      </c>
      <c r="S97" s="14" t="s">
        <v>37</v>
      </c>
      <c r="T97" s="14" t="s">
        <v>58</v>
      </c>
      <c r="U97" s="14" t="s">
        <v>64</v>
      </c>
      <c r="V97" s="22">
        <v>46170.647696759261</v>
      </c>
      <c r="W97" s="22">
        <v>46170.665277777778</v>
      </c>
      <c r="X97" s="15">
        <v>25.32</v>
      </c>
      <c r="Y97" s="22">
        <v>46170.64770833333</v>
      </c>
      <c r="Z97" s="15">
        <v>0.02</v>
      </c>
      <c r="AA97" s="15">
        <v>30</v>
      </c>
      <c r="AB97" s="15" t="s">
        <v>40</v>
      </c>
      <c r="AC97" s="22">
        <v>46170.652106481481</v>
      </c>
      <c r="AD97" s="22">
        <v>46170.66101851852</v>
      </c>
      <c r="AE97" s="15">
        <v>12.83</v>
      </c>
      <c r="AF97" s="15">
        <v>12.48</v>
      </c>
      <c r="AG97" s="15">
        <v>120</v>
      </c>
      <c r="AH97" s="15" t="s">
        <v>40</v>
      </c>
      <c r="AI97" s="14"/>
      <c r="AJ97" s="16">
        <v>129600</v>
      </c>
      <c r="AK97" s="1">
        <f t="shared" si="4"/>
        <v>129587.52</v>
      </c>
      <c r="AL97" s="2">
        <f t="shared" si="5"/>
        <v>99.990370370370371</v>
      </c>
      <c r="AM97" s="16">
        <f t="shared" si="6"/>
        <v>129587.17</v>
      </c>
      <c r="AN97" s="2">
        <f t="shared" si="7"/>
        <v>99.990100308641971</v>
      </c>
    </row>
    <row r="98" spans="1:40" x14ac:dyDescent="0.35">
      <c r="A98" s="14" t="s">
        <v>27</v>
      </c>
      <c r="B98" s="14" t="s">
        <v>28</v>
      </c>
      <c r="C98" s="14" t="s">
        <v>54</v>
      </c>
      <c r="D98" s="14" t="s">
        <v>662</v>
      </c>
      <c r="E98" s="14" t="s">
        <v>193</v>
      </c>
      <c r="F98" s="14" t="s">
        <v>32</v>
      </c>
      <c r="G98" s="14" t="s">
        <v>33</v>
      </c>
      <c r="H98" s="14" t="s">
        <v>964</v>
      </c>
      <c r="I98" s="14" t="s">
        <v>664</v>
      </c>
      <c r="J98" s="14" t="s">
        <v>664</v>
      </c>
      <c r="K98" s="14" t="s">
        <v>204</v>
      </c>
      <c r="L98" s="14" t="s">
        <v>973</v>
      </c>
      <c r="M98" s="14" t="s">
        <v>663</v>
      </c>
      <c r="N98" s="14" t="s">
        <v>974</v>
      </c>
      <c r="O98" s="14" t="s">
        <v>991</v>
      </c>
      <c r="P98" s="14"/>
      <c r="Q98" s="14" t="s">
        <v>196</v>
      </c>
      <c r="R98" s="14" t="s">
        <v>36</v>
      </c>
      <c r="S98" s="14" t="s">
        <v>37</v>
      </c>
      <c r="T98" s="14" t="s">
        <v>58</v>
      </c>
      <c r="U98" s="14" t="s">
        <v>64</v>
      </c>
      <c r="V98" s="22">
        <v>46170.64770833333</v>
      </c>
      <c r="W98" s="22">
        <v>46170.665277777778</v>
      </c>
      <c r="X98" s="15">
        <v>25.3</v>
      </c>
      <c r="Y98" s="22">
        <v>46170.64770833333</v>
      </c>
      <c r="Z98" s="15">
        <v>0</v>
      </c>
      <c r="AA98" s="15">
        <v>30</v>
      </c>
      <c r="AB98" s="15" t="s">
        <v>40</v>
      </c>
      <c r="AC98" s="22">
        <v>46170.654502314814</v>
      </c>
      <c r="AD98" s="22">
        <v>46170.662187499998</v>
      </c>
      <c r="AE98" s="15">
        <v>11.07</v>
      </c>
      <c r="AF98" s="15">
        <v>14.23</v>
      </c>
      <c r="AG98" s="15">
        <v>120</v>
      </c>
      <c r="AH98" s="15" t="s">
        <v>40</v>
      </c>
      <c r="AI98" s="14"/>
      <c r="AJ98" s="16">
        <v>129600</v>
      </c>
      <c r="AK98" s="1">
        <f t="shared" si="4"/>
        <v>129585.77</v>
      </c>
      <c r="AL98" s="2">
        <f t="shared" si="5"/>
        <v>99.989020061728397</v>
      </c>
      <c r="AM98" s="16">
        <f t="shared" si="6"/>
        <v>129588.93</v>
      </c>
      <c r="AN98" s="2">
        <f t="shared" si="7"/>
        <v>99.991458333333327</v>
      </c>
    </row>
    <row r="99" spans="1:40" x14ac:dyDescent="0.35">
      <c r="A99" s="14" t="s">
        <v>27</v>
      </c>
      <c r="B99" s="14" t="s">
        <v>28</v>
      </c>
      <c r="C99" s="14" t="s">
        <v>47</v>
      </c>
      <c r="D99" s="14" t="s">
        <v>544</v>
      </c>
      <c r="E99" s="14" t="s">
        <v>193</v>
      </c>
      <c r="F99" s="14" t="s">
        <v>32</v>
      </c>
      <c r="G99" s="14" t="s">
        <v>33</v>
      </c>
      <c r="H99" s="14" t="s">
        <v>964</v>
      </c>
      <c r="I99" s="14" t="s">
        <v>252</v>
      </c>
      <c r="J99" s="14" t="s">
        <v>252</v>
      </c>
      <c r="K99" s="14" t="s">
        <v>204</v>
      </c>
      <c r="L99" s="14" t="s">
        <v>973</v>
      </c>
      <c r="M99" s="14" t="s">
        <v>251</v>
      </c>
      <c r="N99" s="14" t="s">
        <v>974</v>
      </c>
      <c r="O99" s="14" t="s">
        <v>991</v>
      </c>
      <c r="P99" s="14"/>
      <c r="Q99" s="14" t="s">
        <v>196</v>
      </c>
      <c r="R99" s="14" t="s">
        <v>36</v>
      </c>
      <c r="S99" s="14" t="s">
        <v>37</v>
      </c>
      <c r="T99" s="14" t="s">
        <v>37</v>
      </c>
      <c r="U99" s="14" t="s">
        <v>37</v>
      </c>
      <c r="V99" s="22">
        <v>46170.647743055553</v>
      </c>
      <c r="W99" s="22">
        <v>46170.659722222219</v>
      </c>
      <c r="X99" s="15">
        <v>17.25</v>
      </c>
      <c r="Y99" s="22">
        <v>46170.647743055553</v>
      </c>
      <c r="Z99" s="15">
        <v>0</v>
      </c>
      <c r="AA99" s="15">
        <v>30</v>
      </c>
      <c r="AB99" s="15" t="s">
        <v>40</v>
      </c>
      <c r="AC99" s="22">
        <v>46170.651932870373</v>
      </c>
      <c r="AD99" s="22">
        <v>46170.656215277777</v>
      </c>
      <c r="AE99" s="15">
        <v>6.17</v>
      </c>
      <c r="AF99" s="15">
        <v>11.08</v>
      </c>
      <c r="AG99" s="15">
        <v>120</v>
      </c>
      <c r="AH99" s="15" t="s">
        <v>40</v>
      </c>
      <c r="AI99" s="14"/>
      <c r="AJ99" s="16">
        <v>129600</v>
      </c>
      <c r="AK99" s="1">
        <f t="shared" si="4"/>
        <v>129588.92</v>
      </c>
      <c r="AL99" s="2">
        <f t="shared" si="5"/>
        <v>99.991450617283945</v>
      </c>
      <c r="AM99" s="16">
        <f t="shared" si="6"/>
        <v>129593.83</v>
      </c>
      <c r="AN99" s="2">
        <f t="shared" si="7"/>
        <v>99.995239197530864</v>
      </c>
    </row>
    <row r="100" spans="1:40" x14ac:dyDescent="0.35">
      <c r="A100" s="14" t="s">
        <v>27</v>
      </c>
      <c r="B100" s="14" t="s">
        <v>28</v>
      </c>
      <c r="C100" s="14" t="s">
        <v>54</v>
      </c>
      <c r="D100" s="14" t="s">
        <v>201</v>
      </c>
      <c r="E100" s="14" t="s">
        <v>193</v>
      </c>
      <c r="F100" s="14" t="s">
        <v>32</v>
      </c>
      <c r="G100" s="14" t="s">
        <v>33</v>
      </c>
      <c r="H100" s="14" t="s">
        <v>966</v>
      </c>
      <c r="I100" s="14" t="s">
        <v>203</v>
      </c>
      <c r="J100" s="14" t="s">
        <v>203</v>
      </c>
      <c r="K100" s="14" t="s">
        <v>204</v>
      </c>
      <c r="L100" s="14" t="s">
        <v>973</v>
      </c>
      <c r="M100" s="14" t="s">
        <v>202</v>
      </c>
      <c r="N100" s="14" t="s">
        <v>979</v>
      </c>
      <c r="O100" s="14" t="s">
        <v>980</v>
      </c>
      <c r="P100" s="14"/>
      <c r="Q100" s="14" t="s">
        <v>196</v>
      </c>
      <c r="R100" s="14" t="s">
        <v>36</v>
      </c>
      <c r="S100" s="14" t="s">
        <v>37</v>
      </c>
      <c r="T100" s="14" t="s">
        <v>64</v>
      </c>
      <c r="U100" s="14" t="s">
        <v>64</v>
      </c>
      <c r="V100" s="22">
        <v>46170.714131944442</v>
      </c>
      <c r="W100" s="22">
        <v>46171.395833333336</v>
      </c>
      <c r="X100" s="15">
        <v>981.65</v>
      </c>
      <c r="Y100" s="22">
        <v>46170.714143518519</v>
      </c>
      <c r="Z100" s="15">
        <v>0.02</v>
      </c>
      <c r="AA100" s="15">
        <v>30</v>
      </c>
      <c r="AB100" s="15" t="s">
        <v>40</v>
      </c>
      <c r="AC100" s="22">
        <v>46170.718194444446</v>
      </c>
      <c r="AD100" s="22">
        <v>46171.394050925926</v>
      </c>
      <c r="AE100" s="15">
        <v>973.23</v>
      </c>
      <c r="AF100" s="15">
        <v>8.42</v>
      </c>
      <c r="AG100" s="15">
        <v>120</v>
      </c>
      <c r="AH100" s="15" t="s">
        <v>40</v>
      </c>
      <c r="AI100" s="14"/>
      <c r="AJ100" s="16">
        <v>129600</v>
      </c>
      <c r="AK100" s="1">
        <f t="shared" si="4"/>
        <v>129591.58</v>
      </c>
      <c r="AL100" s="2">
        <f t="shared" si="5"/>
        <v>99.99350308641975</v>
      </c>
      <c r="AM100" s="16">
        <f t="shared" si="6"/>
        <v>128626.77</v>
      </c>
      <c r="AN100" s="2">
        <f t="shared" si="7"/>
        <v>99.249050925925928</v>
      </c>
    </row>
    <row r="101" spans="1:40" x14ac:dyDescent="0.35">
      <c r="A101" s="14" t="s">
        <v>27</v>
      </c>
      <c r="B101" s="14" t="s">
        <v>28</v>
      </c>
      <c r="C101" s="14" t="s">
        <v>54</v>
      </c>
      <c r="D101" s="14" t="s">
        <v>298</v>
      </c>
      <c r="E101" s="14" t="s">
        <v>193</v>
      </c>
      <c r="F101" s="14" t="s">
        <v>32</v>
      </c>
      <c r="G101" s="14" t="s">
        <v>33</v>
      </c>
      <c r="H101" s="14" t="s">
        <v>966</v>
      </c>
      <c r="I101" s="14" t="s">
        <v>300</v>
      </c>
      <c r="J101" s="14" t="s">
        <v>300</v>
      </c>
      <c r="K101" s="14" t="s">
        <v>204</v>
      </c>
      <c r="L101" s="14" t="s">
        <v>973</v>
      </c>
      <c r="M101" s="14" t="s">
        <v>299</v>
      </c>
      <c r="N101" s="14" t="s">
        <v>979</v>
      </c>
      <c r="O101" s="14" t="s">
        <v>980</v>
      </c>
      <c r="P101" s="14"/>
      <c r="Q101" s="14" t="s">
        <v>196</v>
      </c>
      <c r="R101" s="14" t="s">
        <v>36</v>
      </c>
      <c r="S101" s="14" t="s">
        <v>37</v>
      </c>
      <c r="T101" s="14" t="s">
        <v>64</v>
      </c>
      <c r="U101" s="14" t="s">
        <v>64</v>
      </c>
      <c r="V101" s="22">
        <v>46170.714131944442</v>
      </c>
      <c r="W101" s="22">
        <v>46171.395138888889</v>
      </c>
      <c r="X101" s="15">
        <v>980.65</v>
      </c>
      <c r="Y101" s="22">
        <v>46170.714143518519</v>
      </c>
      <c r="Z101" s="15">
        <v>0.02</v>
      </c>
      <c r="AA101" s="15">
        <v>30</v>
      </c>
      <c r="AB101" s="15" t="s">
        <v>40</v>
      </c>
      <c r="AC101" s="22">
        <v>46170.719108796293</v>
      </c>
      <c r="AD101" s="22">
        <v>46171.392835648148</v>
      </c>
      <c r="AE101" s="15">
        <v>970.17</v>
      </c>
      <c r="AF101" s="15">
        <v>10.48</v>
      </c>
      <c r="AG101" s="15">
        <v>120</v>
      </c>
      <c r="AH101" s="15" t="s">
        <v>40</v>
      </c>
      <c r="AI101" s="14"/>
      <c r="AJ101" s="16">
        <v>129600</v>
      </c>
      <c r="AK101" s="1">
        <f t="shared" si="4"/>
        <v>129589.52</v>
      </c>
      <c r="AL101" s="2">
        <f t="shared" si="5"/>
        <v>99.991913580246916</v>
      </c>
      <c r="AM101" s="16">
        <f t="shared" si="6"/>
        <v>128629.83</v>
      </c>
      <c r="AN101" s="2">
        <f t="shared" si="7"/>
        <v>99.251412037037028</v>
      </c>
    </row>
    <row r="102" spans="1:40" x14ac:dyDescent="0.35">
      <c r="A102" s="14" t="s">
        <v>27</v>
      </c>
      <c r="B102" s="14" t="s">
        <v>28</v>
      </c>
      <c r="C102" s="14" t="s">
        <v>54</v>
      </c>
      <c r="D102" s="14" t="s">
        <v>335</v>
      </c>
      <c r="E102" s="14" t="s">
        <v>193</v>
      </c>
      <c r="F102" s="14" t="s">
        <v>32</v>
      </c>
      <c r="G102" s="14" t="s">
        <v>33</v>
      </c>
      <c r="H102" s="14" t="s">
        <v>966</v>
      </c>
      <c r="I102" s="14" t="s">
        <v>337</v>
      </c>
      <c r="J102" s="14" t="s">
        <v>337</v>
      </c>
      <c r="K102" s="14" t="s">
        <v>204</v>
      </c>
      <c r="L102" s="14" t="s">
        <v>973</v>
      </c>
      <c r="M102" s="14" t="s">
        <v>336</v>
      </c>
      <c r="N102" s="14" t="s">
        <v>979</v>
      </c>
      <c r="O102" s="14" t="s">
        <v>980</v>
      </c>
      <c r="P102" s="14"/>
      <c r="Q102" s="14" t="s">
        <v>196</v>
      </c>
      <c r="R102" s="14" t="s">
        <v>36</v>
      </c>
      <c r="S102" s="14" t="s">
        <v>37</v>
      </c>
      <c r="T102" s="14" t="s">
        <v>64</v>
      </c>
      <c r="U102" s="14" t="s">
        <v>64</v>
      </c>
      <c r="V102" s="22">
        <v>46170.714131944442</v>
      </c>
      <c r="W102" s="22">
        <v>46171.397916666669</v>
      </c>
      <c r="X102" s="15">
        <v>984.65</v>
      </c>
      <c r="Y102" s="22">
        <v>46170.714143518519</v>
      </c>
      <c r="Z102" s="15">
        <v>0.02</v>
      </c>
      <c r="AA102" s="15">
        <v>30</v>
      </c>
      <c r="AB102" s="15" t="s">
        <v>40</v>
      </c>
      <c r="AC102" s="22">
        <v>46170.717187499999</v>
      </c>
      <c r="AD102" s="22">
        <v>46171.395833333336</v>
      </c>
      <c r="AE102" s="15">
        <v>977.25</v>
      </c>
      <c r="AF102" s="15">
        <v>7.4</v>
      </c>
      <c r="AG102" s="15">
        <v>120</v>
      </c>
      <c r="AH102" s="15" t="s">
        <v>40</v>
      </c>
      <c r="AI102" s="14"/>
      <c r="AJ102" s="16">
        <v>129600</v>
      </c>
      <c r="AK102" s="1">
        <f t="shared" si="4"/>
        <v>129592.6</v>
      </c>
      <c r="AL102" s="2">
        <f t="shared" si="5"/>
        <v>99.994290123456793</v>
      </c>
      <c r="AM102" s="16">
        <f t="shared" si="6"/>
        <v>128622.75</v>
      </c>
      <c r="AN102" s="2">
        <f t="shared" si="7"/>
        <v>99.245949074074076</v>
      </c>
    </row>
    <row r="103" spans="1:40" x14ac:dyDescent="0.35">
      <c r="A103" s="14" t="s">
        <v>27</v>
      </c>
      <c r="B103" s="14" t="s">
        <v>28</v>
      </c>
      <c r="C103" s="14" t="s">
        <v>54</v>
      </c>
      <c r="D103" s="14" t="s">
        <v>170</v>
      </c>
      <c r="E103" s="14" t="s">
        <v>31</v>
      </c>
      <c r="F103" s="14" t="s">
        <v>32</v>
      </c>
      <c r="G103" s="14" t="s">
        <v>33</v>
      </c>
      <c r="H103" s="14" t="s">
        <v>966</v>
      </c>
      <c r="I103" s="14" t="s">
        <v>172</v>
      </c>
      <c r="J103" s="14" t="s">
        <v>172</v>
      </c>
      <c r="K103" s="14" t="s">
        <v>63</v>
      </c>
      <c r="L103" s="14" t="s">
        <v>967</v>
      </c>
      <c r="M103" s="14" t="s">
        <v>171</v>
      </c>
      <c r="N103" s="14" t="s">
        <v>971</v>
      </c>
      <c r="O103" s="14" t="s">
        <v>982</v>
      </c>
      <c r="P103" s="14"/>
      <c r="Q103" s="14" t="s">
        <v>35</v>
      </c>
      <c r="R103" s="14" t="s">
        <v>36</v>
      </c>
      <c r="S103" s="14" t="s">
        <v>37</v>
      </c>
      <c r="T103" s="14" t="s">
        <v>58</v>
      </c>
      <c r="U103" s="14" t="s">
        <v>64</v>
      </c>
      <c r="V103" s="22">
        <v>46170.715497685182</v>
      </c>
      <c r="W103" s="22">
        <v>46171.399305555555</v>
      </c>
      <c r="X103" s="15">
        <v>984.68</v>
      </c>
      <c r="Y103" s="22">
        <v>46170.715497685182</v>
      </c>
      <c r="Z103" s="15">
        <v>0</v>
      </c>
      <c r="AA103" s="15">
        <v>30</v>
      </c>
      <c r="AB103" s="15" t="s">
        <v>40</v>
      </c>
      <c r="AC103" s="22">
        <v>46170.717870370368</v>
      </c>
      <c r="AD103" s="22">
        <v>46171.396851851852</v>
      </c>
      <c r="AE103" s="15">
        <v>977.73</v>
      </c>
      <c r="AF103" s="15">
        <v>6.95</v>
      </c>
      <c r="AG103" s="15">
        <v>120</v>
      </c>
      <c r="AH103" s="15" t="s">
        <v>40</v>
      </c>
      <c r="AI103" s="14"/>
      <c r="AJ103" s="16">
        <v>129600</v>
      </c>
      <c r="AK103" s="1">
        <f t="shared" si="4"/>
        <v>129593.05</v>
      </c>
      <c r="AL103" s="2">
        <f t="shared" si="5"/>
        <v>99.99463734567901</v>
      </c>
      <c r="AM103" s="16">
        <f t="shared" si="6"/>
        <v>128622.27</v>
      </c>
      <c r="AN103" s="2">
        <f t="shared" si="7"/>
        <v>99.245578703703714</v>
      </c>
    </row>
    <row r="104" spans="1:40" x14ac:dyDescent="0.35">
      <c r="A104" s="14" t="s">
        <v>27</v>
      </c>
      <c r="B104" s="14" t="s">
        <v>28</v>
      </c>
      <c r="C104" s="14" t="s">
        <v>54</v>
      </c>
      <c r="D104" s="14" t="s">
        <v>60</v>
      </c>
      <c r="E104" s="14" t="s">
        <v>31</v>
      </c>
      <c r="F104" s="14" t="s">
        <v>32</v>
      </c>
      <c r="G104" s="14" t="s">
        <v>33</v>
      </c>
      <c r="H104" s="14" t="s">
        <v>966</v>
      </c>
      <c r="I104" s="14" t="s">
        <v>62</v>
      </c>
      <c r="J104" s="14" t="s">
        <v>62</v>
      </c>
      <c r="K104" s="14" t="s">
        <v>63</v>
      </c>
      <c r="L104" s="14" t="s">
        <v>967</v>
      </c>
      <c r="M104" s="14" t="s">
        <v>61</v>
      </c>
      <c r="N104" s="14" t="s">
        <v>971</v>
      </c>
      <c r="O104" s="14" t="s">
        <v>969</v>
      </c>
      <c r="P104" s="14"/>
      <c r="Q104" s="14" t="s">
        <v>35</v>
      </c>
      <c r="R104" s="14" t="s">
        <v>36</v>
      </c>
      <c r="S104" s="14" t="s">
        <v>37</v>
      </c>
      <c r="T104" s="14" t="s">
        <v>58</v>
      </c>
      <c r="U104" s="14" t="s">
        <v>64</v>
      </c>
      <c r="V104" s="22">
        <v>46170.715613425928</v>
      </c>
      <c r="W104" s="22">
        <v>46171.401388888888</v>
      </c>
      <c r="X104" s="15">
        <v>987.52</v>
      </c>
      <c r="Y104" s="22">
        <v>46170.715624999997</v>
      </c>
      <c r="Z104" s="15">
        <v>0.02</v>
      </c>
      <c r="AA104" s="15">
        <v>30</v>
      </c>
      <c r="AB104" s="15" t="s">
        <v>40</v>
      </c>
      <c r="AC104" s="22">
        <v>46170.717060185183</v>
      </c>
      <c r="AD104" s="22">
        <v>46171.398043981484</v>
      </c>
      <c r="AE104" s="15">
        <v>980.62</v>
      </c>
      <c r="AF104" s="15">
        <v>6.9</v>
      </c>
      <c r="AG104" s="15">
        <v>120</v>
      </c>
      <c r="AH104" s="15" t="s">
        <v>40</v>
      </c>
      <c r="AI104" s="14"/>
      <c r="AJ104" s="16">
        <v>129600</v>
      </c>
      <c r="AK104" s="1">
        <f t="shared" si="4"/>
        <v>129593.1</v>
      </c>
      <c r="AL104" s="2">
        <f t="shared" si="5"/>
        <v>99.994675925925932</v>
      </c>
      <c r="AM104" s="16">
        <f t="shared" si="6"/>
        <v>128619.38</v>
      </c>
      <c r="AN104" s="2">
        <f t="shared" si="7"/>
        <v>99.243348765432103</v>
      </c>
    </row>
    <row r="105" spans="1:40" x14ac:dyDescent="0.35">
      <c r="A105" s="14" t="s">
        <v>27</v>
      </c>
      <c r="B105" s="14" t="s">
        <v>28</v>
      </c>
      <c r="C105" s="14" t="s">
        <v>110</v>
      </c>
      <c r="D105" s="14" t="s">
        <v>799</v>
      </c>
      <c r="E105" s="14" t="s">
        <v>193</v>
      </c>
      <c r="F105" s="14" t="s">
        <v>32</v>
      </c>
      <c r="G105" s="14" t="s">
        <v>33</v>
      </c>
      <c r="H105" s="14" t="s">
        <v>964</v>
      </c>
      <c r="I105" s="14" t="s">
        <v>240</v>
      </c>
      <c r="J105" s="14" t="s">
        <v>240</v>
      </c>
      <c r="K105" s="14" t="s">
        <v>204</v>
      </c>
      <c r="L105" s="14" t="s">
        <v>973</v>
      </c>
      <c r="M105" s="14" t="s">
        <v>239</v>
      </c>
      <c r="N105" s="14" t="s">
        <v>990</v>
      </c>
      <c r="O105" s="14" t="s">
        <v>991</v>
      </c>
      <c r="P105" s="14"/>
      <c r="Q105" s="14" t="s">
        <v>196</v>
      </c>
      <c r="R105" s="14" t="s">
        <v>36</v>
      </c>
      <c r="S105" s="14" t="s">
        <v>37</v>
      </c>
      <c r="T105" s="14" t="s">
        <v>126</v>
      </c>
      <c r="U105" s="14" t="s">
        <v>800</v>
      </c>
      <c r="V105" s="22">
        <v>46170.818530092591</v>
      </c>
      <c r="W105" s="22">
        <v>46175.374305555553</v>
      </c>
      <c r="X105" s="15">
        <v>6560.32</v>
      </c>
      <c r="Y105" s="22">
        <v>46170.818541666667</v>
      </c>
      <c r="Z105" s="15">
        <v>0.02</v>
      </c>
      <c r="AA105" s="15">
        <v>30</v>
      </c>
      <c r="AB105" s="15" t="s">
        <v>40</v>
      </c>
      <c r="AC105" s="22">
        <v>46170.822534722225</v>
      </c>
      <c r="AD105" s="22">
        <v>46175.373402777775</v>
      </c>
      <c r="AE105" s="15">
        <v>6553.25</v>
      </c>
      <c r="AF105" s="15">
        <v>7.07</v>
      </c>
      <c r="AG105" s="15">
        <v>120</v>
      </c>
      <c r="AH105" s="15" t="s">
        <v>40</v>
      </c>
      <c r="AI105" s="14"/>
      <c r="AJ105" s="16">
        <v>129600</v>
      </c>
      <c r="AK105" s="1">
        <f t="shared" si="4"/>
        <v>129592.93</v>
      </c>
      <c r="AL105" s="2">
        <f t="shared" si="5"/>
        <v>99.994544753086416</v>
      </c>
      <c r="AM105" s="16">
        <f t="shared" si="6"/>
        <v>123046.75</v>
      </c>
      <c r="AN105" s="2">
        <f t="shared" si="7"/>
        <v>94.943479938271608</v>
      </c>
    </row>
    <row r="106" spans="1:40" x14ac:dyDescent="0.35">
      <c r="A106" s="14" t="s">
        <v>27</v>
      </c>
      <c r="B106" s="14" t="s">
        <v>28</v>
      </c>
      <c r="C106" s="14" t="s">
        <v>47</v>
      </c>
      <c r="D106" s="14" t="s">
        <v>692</v>
      </c>
      <c r="E106" s="14" t="s">
        <v>193</v>
      </c>
      <c r="F106" s="14" t="s">
        <v>32</v>
      </c>
      <c r="G106" s="14" t="s">
        <v>33</v>
      </c>
      <c r="H106" s="14" t="s">
        <v>972</v>
      </c>
      <c r="I106" s="14" t="s">
        <v>417</v>
      </c>
      <c r="J106" s="14" t="s">
        <v>417</v>
      </c>
      <c r="K106" s="14" t="s">
        <v>204</v>
      </c>
      <c r="L106" s="14" t="s">
        <v>973</v>
      </c>
      <c r="M106" s="14" t="s">
        <v>416</v>
      </c>
      <c r="N106" s="14" t="s">
        <v>974</v>
      </c>
      <c r="O106" s="14" t="s">
        <v>975</v>
      </c>
      <c r="P106" s="14"/>
      <c r="Q106" s="14" t="s">
        <v>196</v>
      </c>
      <c r="R106" s="14" t="s">
        <v>36</v>
      </c>
      <c r="S106" s="14" t="s">
        <v>51</v>
      </c>
      <c r="T106" s="14"/>
      <c r="U106" s="14" t="s">
        <v>693</v>
      </c>
      <c r="V106" s="22">
        <v>46171.631111111114</v>
      </c>
      <c r="W106" s="22">
        <v>46171.643750000003</v>
      </c>
      <c r="X106" s="15">
        <v>18.2</v>
      </c>
      <c r="Y106" s="22">
        <v>46171.631122685183</v>
      </c>
      <c r="Z106" s="15">
        <v>0.02</v>
      </c>
      <c r="AA106" s="15">
        <v>30</v>
      </c>
      <c r="AB106" s="15" t="s">
        <v>40</v>
      </c>
      <c r="AC106" s="15"/>
      <c r="AD106" s="15"/>
      <c r="AE106" s="15">
        <v>0</v>
      </c>
      <c r="AF106" s="15">
        <v>18.2</v>
      </c>
      <c r="AG106" s="15">
        <v>120</v>
      </c>
      <c r="AH106" s="15" t="s">
        <v>40</v>
      </c>
      <c r="AI106" s="14"/>
      <c r="AJ106" s="16">
        <v>129600</v>
      </c>
      <c r="AK106" s="1">
        <f t="shared" si="4"/>
        <v>129581.8</v>
      </c>
      <c r="AL106" s="2">
        <f t="shared" si="5"/>
        <v>99.985956790123453</v>
      </c>
      <c r="AM106" s="16">
        <f t="shared" si="6"/>
        <v>129600</v>
      </c>
      <c r="AN106" s="2">
        <f t="shared" si="7"/>
        <v>100</v>
      </c>
    </row>
    <row r="107" spans="1:40" x14ac:dyDescent="0.35">
      <c r="A107" s="14" t="s">
        <v>27</v>
      </c>
      <c r="B107" s="14" t="s">
        <v>28</v>
      </c>
      <c r="C107" s="14" t="s">
        <v>47</v>
      </c>
      <c r="D107" s="14" t="s">
        <v>706</v>
      </c>
      <c r="E107" s="14" t="s">
        <v>193</v>
      </c>
      <c r="F107" s="14" t="s">
        <v>32</v>
      </c>
      <c r="G107" s="14" t="s">
        <v>33</v>
      </c>
      <c r="H107" s="14" t="s">
        <v>972</v>
      </c>
      <c r="I107" s="14" t="s">
        <v>525</v>
      </c>
      <c r="J107" s="14" t="s">
        <v>525</v>
      </c>
      <c r="K107" s="14" t="s">
        <v>204</v>
      </c>
      <c r="L107" s="14" t="s">
        <v>973</v>
      </c>
      <c r="M107" s="14" t="s">
        <v>524</v>
      </c>
      <c r="N107" s="14" t="s">
        <v>990</v>
      </c>
      <c r="O107" s="14" t="s">
        <v>975</v>
      </c>
      <c r="P107" s="14"/>
      <c r="Q107" s="14" t="s">
        <v>196</v>
      </c>
      <c r="R107" s="14" t="s">
        <v>36</v>
      </c>
      <c r="S107" s="14" t="s">
        <v>51</v>
      </c>
      <c r="T107" s="14" t="s">
        <v>707</v>
      </c>
      <c r="U107" s="14" t="s">
        <v>708</v>
      </c>
      <c r="V107" s="22">
        <v>46171.652800925927</v>
      </c>
      <c r="W107" s="22">
        <v>46172.708333333336</v>
      </c>
      <c r="X107" s="15">
        <v>1519.97</v>
      </c>
      <c r="Y107" s="22">
        <v>46171.65283564815</v>
      </c>
      <c r="Z107" s="15">
        <v>0.05</v>
      </c>
      <c r="AA107" s="15">
        <v>30</v>
      </c>
      <c r="AB107" s="15" t="s">
        <v>40</v>
      </c>
      <c r="AC107" s="22">
        <v>46171.654629629629</v>
      </c>
      <c r="AD107" s="22">
        <v>46172.700428240743</v>
      </c>
      <c r="AE107" s="15">
        <v>1505.95</v>
      </c>
      <c r="AF107" s="15">
        <v>14.02</v>
      </c>
      <c r="AG107" s="15">
        <v>120</v>
      </c>
      <c r="AH107" s="15" t="s">
        <v>40</v>
      </c>
      <c r="AI107" s="14"/>
      <c r="AJ107" s="16">
        <v>129600</v>
      </c>
      <c r="AK107" s="1">
        <f t="shared" si="4"/>
        <v>129585.98</v>
      </c>
      <c r="AL107" s="2">
        <f t="shared" si="5"/>
        <v>99.989182098765426</v>
      </c>
      <c r="AM107" s="16">
        <f t="shared" si="6"/>
        <v>128094.05</v>
      </c>
      <c r="AN107" s="2">
        <f t="shared" si="7"/>
        <v>98.83800154320987</v>
      </c>
    </row>
    <row r="108" spans="1:40" x14ac:dyDescent="0.35">
      <c r="A108" s="14" t="s">
        <v>27</v>
      </c>
      <c r="B108" s="14" t="s">
        <v>28</v>
      </c>
      <c r="C108" s="14" t="s">
        <v>47</v>
      </c>
      <c r="D108" s="14" t="s">
        <v>790</v>
      </c>
      <c r="E108" s="14" t="s">
        <v>193</v>
      </c>
      <c r="F108" s="14" t="s">
        <v>32</v>
      </c>
      <c r="G108" s="14" t="s">
        <v>33</v>
      </c>
      <c r="H108" s="14" t="s">
        <v>972</v>
      </c>
      <c r="I108" s="14" t="s">
        <v>417</v>
      </c>
      <c r="J108" s="14" t="s">
        <v>417</v>
      </c>
      <c r="K108" s="14" t="s">
        <v>204</v>
      </c>
      <c r="L108" s="14" t="s">
        <v>973</v>
      </c>
      <c r="M108" s="14" t="s">
        <v>416</v>
      </c>
      <c r="N108" s="14" t="s">
        <v>974</v>
      </c>
      <c r="O108" s="14" t="s">
        <v>975</v>
      </c>
      <c r="P108" s="14"/>
      <c r="Q108" s="14" t="s">
        <v>196</v>
      </c>
      <c r="R108" s="14" t="s">
        <v>36</v>
      </c>
      <c r="S108" s="14" t="s">
        <v>51</v>
      </c>
      <c r="T108" s="14" t="s">
        <v>791</v>
      </c>
      <c r="U108" s="14" t="s">
        <v>693</v>
      </c>
      <c r="V108" s="22">
        <v>46171.652870370373</v>
      </c>
      <c r="W108" s="22">
        <v>46172.708333333336</v>
      </c>
      <c r="X108" s="15">
        <v>1519.87</v>
      </c>
      <c r="Y108" s="22">
        <v>46171.652870370373</v>
      </c>
      <c r="Z108" s="15">
        <v>0</v>
      </c>
      <c r="AA108" s="15">
        <v>30</v>
      </c>
      <c r="AB108" s="15" t="s">
        <v>40</v>
      </c>
      <c r="AC108" s="22">
        <v>46171.65519675926</v>
      </c>
      <c r="AD108" s="22">
        <v>46172.703344907408</v>
      </c>
      <c r="AE108" s="15">
        <v>1509.33</v>
      </c>
      <c r="AF108" s="15">
        <v>10.53</v>
      </c>
      <c r="AG108" s="15">
        <v>120</v>
      </c>
      <c r="AH108" s="15" t="s">
        <v>40</v>
      </c>
      <c r="AI108" s="14"/>
      <c r="AJ108" s="16">
        <v>129600</v>
      </c>
      <c r="AK108" s="1">
        <f t="shared" si="4"/>
        <v>129589.47</v>
      </c>
      <c r="AL108" s="2">
        <f t="shared" si="5"/>
        <v>99.991874999999993</v>
      </c>
      <c r="AM108" s="16">
        <f t="shared" si="6"/>
        <v>128090.67</v>
      </c>
      <c r="AN108" s="2">
        <f t="shared" si="7"/>
        <v>98.835393518518515</v>
      </c>
    </row>
    <row r="109" spans="1:40" x14ac:dyDescent="0.35">
      <c r="A109" s="14" t="s">
        <v>27</v>
      </c>
      <c r="B109" s="14" t="s">
        <v>28</v>
      </c>
      <c r="C109" s="14" t="s">
        <v>47</v>
      </c>
      <c r="D109" s="14" t="s">
        <v>48</v>
      </c>
      <c r="E109" s="14" t="s">
        <v>31</v>
      </c>
      <c r="F109" s="14" t="s">
        <v>32</v>
      </c>
      <c r="G109" s="14" t="s">
        <v>33</v>
      </c>
      <c r="H109" s="14" t="s">
        <v>972</v>
      </c>
      <c r="I109" s="14" t="s">
        <v>50</v>
      </c>
      <c r="J109" s="14" t="s">
        <v>50</v>
      </c>
      <c r="K109" s="14" t="s">
        <v>180</v>
      </c>
      <c r="L109" s="14" t="s">
        <v>967</v>
      </c>
      <c r="M109" s="14" t="s">
        <v>49</v>
      </c>
      <c r="N109" s="14" t="s">
        <v>992</v>
      </c>
      <c r="O109" s="14" t="s">
        <v>993</v>
      </c>
      <c r="P109" s="14"/>
      <c r="Q109" s="14" t="s">
        <v>35</v>
      </c>
      <c r="R109" s="14" t="s">
        <v>36</v>
      </c>
      <c r="S109" s="14" t="s">
        <v>51</v>
      </c>
      <c r="T109" s="14" t="s">
        <v>52</v>
      </c>
      <c r="U109" s="14" t="s">
        <v>53</v>
      </c>
      <c r="V109" s="22">
        <v>46171.653032407405</v>
      </c>
      <c r="W109" s="22">
        <v>46172.708333333336</v>
      </c>
      <c r="X109" s="15">
        <v>1519.63</v>
      </c>
      <c r="Y109" s="22">
        <v>46171.653043981481</v>
      </c>
      <c r="Z109" s="15">
        <v>0.02</v>
      </c>
      <c r="AA109" s="15">
        <v>30</v>
      </c>
      <c r="AB109" s="15" t="s">
        <v>40</v>
      </c>
      <c r="AC109" s="22">
        <v>46171.653900462959</v>
      </c>
      <c r="AD109" s="22">
        <v>46172.704363425924</v>
      </c>
      <c r="AE109" s="15">
        <v>1512.67</v>
      </c>
      <c r="AF109" s="15">
        <v>6.97</v>
      </c>
      <c r="AG109" s="15">
        <v>120</v>
      </c>
      <c r="AH109" s="15" t="s">
        <v>40</v>
      </c>
      <c r="AI109" s="14"/>
      <c r="AJ109" s="16">
        <v>129600</v>
      </c>
      <c r="AK109" s="1">
        <f t="shared" si="4"/>
        <v>129593.03</v>
      </c>
      <c r="AL109" s="2">
        <f t="shared" si="5"/>
        <v>99.994621913580247</v>
      </c>
      <c r="AM109" s="16">
        <f t="shared" si="6"/>
        <v>128087.33</v>
      </c>
      <c r="AN109" s="2">
        <f t="shared" si="7"/>
        <v>98.832816358024687</v>
      </c>
    </row>
    <row r="110" spans="1:40" x14ac:dyDescent="0.35">
      <c r="A110" s="14" t="s">
        <v>27</v>
      </c>
      <c r="B110" s="14" t="s">
        <v>28</v>
      </c>
      <c r="C110" s="14" t="s">
        <v>47</v>
      </c>
      <c r="D110" s="14" t="s">
        <v>742</v>
      </c>
      <c r="E110" s="14" t="s">
        <v>193</v>
      </c>
      <c r="F110" s="14" t="s">
        <v>32</v>
      </c>
      <c r="G110" s="14" t="s">
        <v>33</v>
      </c>
      <c r="H110" s="14" t="s">
        <v>964</v>
      </c>
      <c r="I110" s="14" t="s">
        <v>240</v>
      </c>
      <c r="J110" s="14" t="s">
        <v>240</v>
      </c>
      <c r="K110" s="14" t="s">
        <v>204</v>
      </c>
      <c r="L110" s="14" t="s">
        <v>973</v>
      </c>
      <c r="M110" s="14" t="s">
        <v>239</v>
      </c>
      <c r="N110" s="14" t="s">
        <v>990</v>
      </c>
      <c r="O110" s="14" t="s">
        <v>991</v>
      </c>
      <c r="P110" s="14"/>
      <c r="Q110" s="14" t="s">
        <v>196</v>
      </c>
      <c r="R110" s="14" t="s">
        <v>36</v>
      </c>
      <c r="S110" s="14" t="s">
        <v>461</v>
      </c>
      <c r="T110" s="14" t="s">
        <v>743</v>
      </c>
      <c r="U110" s="14" t="s">
        <v>575</v>
      </c>
      <c r="V110" s="22">
        <v>46172.722233796296</v>
      </c>
      <c r="W110" s="22">
        <v>46172.80972222222</v>
      </c>
      <c r="X110" s="15">
        <v>125.98</v>
      </c>
      <c r="Y110" s="22">
        <v>46172.722245370373</v>
      </c>
      <c r="Z110" s="15">
        <v>0.02</v>
      </c>
      <c r="AA110" s="15">
        <v>30</v>
      </c>
      <c r="AB110" s="15" t="s">
        <v>40</v>
      </c>
      <c r="AC110" s="22">
        <v>46172.725219907406</v>
      </c>
      <c r="AD110" s="22">
        <v>46172.790960648148</v>
      </c>
      <c r="AE110" s="15">
        <v>94.67</v>
      </c>
      <c r="AF110" s="15">
        <v>31.32</v>
      </c>
      <c r="AG110" s="15">
        <v>120</v>
      </c>
      <c r="AH110" s="15" t="s">
        <v>40</v>
      </c>
      <c r="AI110" s="14"/>
      <c r="AJ110" s="16">
        <v>129600</v>
      </c>
      <c r="AK110" s="1">
        <f t="shared" si="4"/>
        <v>129568.68</v>
      </c>
      <c r="AL110" s="2">
        <f t="shared" si="5"/>
        <v>99.975833333333327</v>
      </c>
      <c r="AM110" s="16">
        <f t="shared" si="6"/>
        <v>129505.33</v>
      </c>
      <c r="AN110" s="2">
        <f t="shared" si="7"/>
        <v>99.926952160493826</v>
      </c>
    </row>
    <row r="111" spans="1:40" x14ac:dyDescent="0.35">
      <c r="A111" s="14" t="s">
        <v>27</v>
      </c>
      <c r="B111" s="14" t="s">
        <v>28</v>
      </c>
      <c r="C111" s="14" t="s">
        <v>41</v>
      </c>
      <c r="D111" s="14" t="s">
        <v>834</v>
      </c>
      <c r="E111" s="14" t="s">
        <v>193</v>
      </c>
      <c r="F111" s="14" t="s">
        <v>32</v>
      </c>
      <c r="G111" s="14" t="s">
        <v>33</v>
      </c>
      <c r="H111" s="14" t="s">
        <v>964</v>
      </c>
      <c r="I111" s="14" t="s">
        <v>240</v>
      </c>
      <c r="J111" s="14" t="s">
        <v>240</v>
      </c>
      <c r="K111" s="14" t="s">
        <v>204</v>
      </c>
      <c r="L111" s="14" t="s">
        <v>973</v>
      </c>
      <c r="M111" s="14" t="s">
        <v>239</v>
      </c>
      <c r="N111" s="14" t="s">
        <v>990</v>
      </c>
      <c r="O111" s="14" t="s">
        <v>991</v>
      </c>
      <c r="P111" s="14"/>
      <c r="Q111" s="14" t="s">
        <v>196</v>
      </c>
      <c r="R111" s="14" t="s">
        <v>36</v>
      </c>
      <c r="S111" s="14" t="s">
        <v>104</v>
      </c>
      <c r="T111" s="14" t="s">
        <v>104</v>
      </c>
      <c r="U111" s="14" t="s">
        <v>669</v>
      </c>
      <c r="V111" s="22">
        <v>46173.606932870367</v>
      </c>
      <c r="W111" s="22">
        <v>46175.379861111112</v>
      </c>
      <c r="X111" s="15">
        <v>2553.02</v>
      </c>
      <c r="Y111" s="22">
        <v>46173.606932870367</v>
      </c>
      <c r="Z111" s="15">
        <v>0</v>
      </c>
      <c r="AA111" s="15">
        <v>30</v>
      </c>
      <c r="AB111" s="15" t="s">
        <v>40</v>
      </c>
      <c r="AC111" s="22">
        <v>46173.614768518521</v>
      </c>
      <c r="AD111" s="22">
        <v>46175.377858796295</v>
      </c>
      <c r="AE111" s="15">
        <v>2538.85</v>
      </c>
      <c r="AF111" s="15">
        <v>14.17</v>
      </c>
      <c r="AG111" s="15">
        <v>120</v>
      </c>
      <c r="AH111" s="15" t="s">
        <v>40</v>
      </c>
      <c r="AI111" s="14"/>
      <c r="AJ111" s="16">
        <v>129600</v>
      </c>
      <c r="AK111" s="1">
        <f t="shared" si="4"/>
        <v>129585.83</v>
      </c>
      <c r="AL111" s="2">
        <f t="shared" si="5"/>
        <v>99.989066358024687</v>
      </c>
      <c r="AM111" s="16">
        <f t="shared" si="6"/>
        <v>127061.15</v>
      </c>
      <c r="AN111" s="2">
        <f t="shared" si="7"/>
        <v>98.041010802469131</v>
      </c>
    </row>
    <row r="112" spans="1:40" x14ac:dyDescent="0.35">
      <c r="A112" s="14" t="s">
        <v>27</v>
      </c>
      <c r="B112" s="14" t="s">
        <v>28</v>
      </c>
      <c r="C112" s="14" t="s">
        <v>41</v>
      </c>
      <c r="D112" s="14" t="s">
        <v>668</v>
      </c>
      <c r="E112" s="14" t="s">
        <v>193</v>
      </c>
      <c r="F112" s="14" t="s">
        <v>32</v>
      </c>
      <c r="G112" s="14" t="s">
        <v>33</v>
      </c>
      <c r="H112" s="14" t="s">
        <v>964</v>
      </c>
      <c r="I112" s="14" t="s">
        <v>240</v>
      </c>
      <c r="J112" s="14" t="s">
        <v>240</v>
      </c>
      <c r="K112" s="14" t="s">
        <v>204</v>
      </c>
      <c r="L112" s="14" t="s">
        <v>973</v>
      </c>
      <c r="M112" s="14" t="s">
        <v>239</v>
      </c>
      <c r="N112" s="14" t="s">
        <v>990</v>
      </c>
      <c r="O112" s="14" t="s">
        <v>991</v>
      </c>
      <c r="P112" s="14"/>
      <c r="Q112" s="14" t="s">
        <v>196</v>
      </c>
      <c r="R112" s="14" t="s">
        <v>36</v>
      </c>
      <c r="S112" s="14" t="s">
        <v>104</v>
      </c>
      <c r="T112" s="14" t="s">
        <v>104</v>
      </c>
      <c r="U112" s="14" t="s">
        <v>669</v>
      </c>
      <c r="V112" s="22">
        <v>46173.621944444443</v>
      </c>
      <c r="W112" s="22">
        <v>46175.390972222223</v>
      </c>
      <c r="X112" s="15">
        <v>2547.4</v>
      </c>
      <c r="Y112" s="22">
        <v>46173.62195601852</v>
      </c>
      <c r="Z112" s="15">
        <v>0.02</v>
      </c>
      <c r="AA112" s="15">
        <v>30</v>
      </c>
      <c r="AB112" s="15" t="s">
        <v>40</v>
      </c>
      <c r="AC112" s="22">
        <v>46173.623900462961</v>
      </c>
      <c r="AD112" s="22">
        <v>46175.387083333335</v>
      </c>
      <c r="AE112" s="15">
        <v>2538.98</v>
      </c>
      <c r="AF112" s="15">
        <v>8.42</v>
      </c>
      <c r="AG112" s="15">
        <v>120</v>
      </c>
      <c r="AH112" s="15" t="s">
        <v>40</v>
      </c>
      <c r="AI112" s="14"/>
      <c r="AJ112" s="16">
        <v>129600</v>
      </c>
      <c r="AK112" s="1">
        <f t="shared" si="4"/>
        <v>129591.58</v>
      </c>
      <c r="AL112" s="2">
        <f t="shared" si="5"/>
        <v>99.99350308641975</v>
      </c>
      <c r="AM112" s="16">
        <f t="shared" si="6"/>
        <v>127061.02</v>
      </c>
      <c r="AN112" s="2">
        <f t="shared" si="7"/>
        <v>98.040910493827155</v>
      </c>
    </row>
    <row r="113" spans="1:40" x14ac:dyDescent="0.35">
      <c r="A113" s="14" t="s">
        <v>27</v>
      </c>
      <c r="B113" s="14" t="s">
        <v>28</v>
      </c>
      <c r="C113" s="14" t="s">
        <v>41</v>
      </c>
      <c r="D113" s="14" t="s">
        <v>565</v>
      </c>
      <c r="E113" s="14" t="s">
        <v>193</v>
      </c>
      <c r="F113" s="14" t="s">
        <v>32</v>
      </c>
      <c r="G113" s="14" t="s">
        <v>33</v>
      </c>
      <c r="H113" s="14" t="s">
        <v>964</v>
      </c>
      <c r="I113" s="14" t="s">
        <v>240</v>
      </c>
      <c r="J113" s="14" t="s">
        <v>240</v>
      </c>
      <c r="K113" s="14" t="s">
        <v>204</v>
      </c>
      <c r="L113" s="14" t="s">
        <v>973</v>
      </c>
      <c r="M113" s="14" t="s">
        <v>239</v>
      </c>
      <c r="N113" s="14" t="s">
        <v>990</v>
      </c>
      <c r="O113" s="14" t="s">
        <v>991</v>
      </c>
      <c r="P113" s="14"/>
      <c r="Q113" s="14" t="s">
        <v>196</v>
      </c>
      <c r="R113" s="14" t="s">
        <v>36</v>
      </c>
      <c r="S113" s="14" t="s">
        <v>104</v>
      </c>
      <c r="T113" s="14" t="s">
        <v>104</v>
      </c>
      <c r="U113" s="14" t="s">
        <v>566</v>
      </c>
      <c r="V113" s="22">
        <v>46173.630416666667</v>
      </c>
      <c r="W113" s="22">
        <v>46175.377083333333</v>
      </c>
      <c r="X113" s="15">
        <v>2515.1999999999998</v>
      </c>
      <c r="Y113" s="22">
        <v>46173.630428240744</v>
      </c>
      <c r="Z113" s="15">
        <v>0.02</v>
      </c>
      <c r="AA113" s="15">
        <v>30</v>
      </c>
      <c r="AB113" s="15" t="s">
        <v>40</v>
      </c>
      <c r="AC113" s="22">
        <v>46173.662974537037</v>
      </c>
      <c r="AD113" s="22">
        <v>46175.375717592593</v>
      </c>
      <c r="AE113" s="15">
        <v>2466.35</v>
      </c>
      <c r="AF113" s="15">
        <v>48.85</v>
      </c>
      <c r="AG113" s="15">
        <v>120</v>
      </c>
      <c r="AH113" s="15" t="s">
        <v>40</v>
      </c>
      <c r="AI113" s="14"/>
      <c r="AJ113" s="16">
        <v>129600</v>
      </c>
      <c r="AK113" s="1">
        <f t="shared" si="4"/>
        <v>129551.15</v>
      </c>
      <c r="AL113" s="2">
        <f t="shared" si="5"/>
        <v>99.962307098765422</v>
      </c>
      <c r="AM113" s="16">
        <f t="shared" si="6"/>
        <v>127133.65</v>
      </c>
      <c r="AN113" s="2">
        <f t="shared" si="7"/>
        <v>98.096952160493828</v>
      </c>
    </row>
    <row r="114" spans="1:40" x14ac:dyDescent="0.35">
      <c r="A114" s="14" t="s">
        <v>27</v>
      </c>
      <c r="B114" s="14" t="s">
        <v>28</v>
      </c>
      <c r="C114" s="14" t="s">
        <v>47</v>
      </c>
      <c r="D114" s="14" t="s">
        <v>574</v>
      </c>
      <c r="E114" s="14" t="s">
        <v>193</v>
      </c>
      <c r="F114" s="14" t="s">
        <v>32</v>
      </c>
      <c r="G114" s="14" t="s">
        <v>33</v>
      </c>
      <c r="H114" s="14" t="s">
        <v>964</v>
      </c>
      <c r="I114" s="14" t="s">
        <v>437</v>
      </c>
      <c r="J114" s="14" t="s">
        <v>437</v>
      </c>
      <c r="K114" s="14" t="s">
        <v>204</v>
      </c>
      <c r="L114" s="14" t="s">
        <v>973</v>
      </c>
      <c r="M114" s="14" t="s">
        <v>436</v>
      </c>
      <c r="N114" s="14" t="s">
        <v>974</v>
      </c>
      <c r="O114" s="14" t="s">
        <v>991</v>
      </c>
      <c r="P114" s="14"/>
      <c r="Q114" s="14" t="s">
        <v>196</v>
      </c>
      <c r="R114" s="14" t="s">
        <v>36</v>
      </c>
      <c r="S114" s="14" t="s">
        <v>461</v>
      </c>
      <c r="T114" s="14"/>
      <c r="U114" s="14" t="s">
        <v>575</v>
      </c>
      <c r="V114" s="22">
        <v>46174.396944444445</v>
      </c>
      <c r="W114" s="22">
        <v>46174.411805555559</v>
      </c>
      <c r="X114" s="15">
        <v>21.4</v>
      </c>
      <c r="Y114" s="22">
        <v>46174.396956018521</v>
      </c>
      <c r="Z114" s="15">
        <v>0.02</v>
      </c>
      <c r="AA114" s="15">
        <v>30</v>
      </c>
      <c r="AB114" s="15" t="s">
        <v>40</v>
      </c>
      <c r="AC114" s="15"/>
      <c r="AD114" s="15"/>
      <c r="AE114" s="15">
        <v>0</v>
      </c>
      <c r="AF114" s="15">
        <v>21.4</v>
      </c>
      <c r="AG114" s="15">
        <v>120</v>
      </c>
      <c r="AH114" s="15" t="s">
        <v>40</v>
      </c>
      <c r="AI114" s="14"/>
      <c r="AJ114" s="16">
        <v>129600</v>
      </c>
      <c r="AK114" s="1">
        <f t="shared" si="4"/>
        <v>129578.6</v>
      </c>
      <c r="AL114" s="2">
        <f t="shared" si="5"/>
        <v>99.983487654320996</v>
      </c>
      <c r="AM114" s="16">
        <f t="shared" si="6"/>
        <v>129600</v>
      </c>
      <c r="AN114" s="2">
        <f t="shared" si="7"/>
        <v>100</v>
      </c>
    </row>
    <row r="115" spans="1:40" x14ac:dyDescent="0.35">
      <c r="A115" s="14" t="s">
        <v>27</v>
      </c>
      <c r="B115" s="14" t="s">
        <v>28</v>
      </c>
      <c r="C115" s="14" t="s">
        <v>47</v>
      </c>
      <c r="D115" s="14" t="s">
        <v>537</v>
      </c>
      <c r="E115" s="14" t="s">
        <v>193</v>
      </c>
      <c r="F115" s="14" t="s">
        <v>32</v>
      </c>
      <c r="G115" s="14" t="s">
        <v>33</v>
      </c>
      <c r="H115" s="14" t="s">
        <v>964</v>
      </c>
      <c r="I115" s="14" t="s">
        <v>539</v>
      </c>
      <c r="J115" s="14" t="s">
        <v>539</v>
      </c>
      <c r="K115" s="14" t="s">
        <v>204</v>
      </c>
      <c r="L115" s="14" t="s">
        <v>973</v>
      </c>
      <c r="M115" s="14" t="s">
        <v>538</v>
      </c>
      <c r="N115" s="14" t="s">
        <v>974</v>
      </c>
      <c r="O115" s="14" t="s">
        <v>991</v>
      </c>
      <c r="P115" s="14"/>
      <c r="Q115" s="14" t="s">
        <v>196</v>
      </c>
      <c r="R115" s="14" t="s">
        <v>36</v>
      </c>
      <c r="S115" s="14" t="s">
        <v>37</v>
      </c>
      <c r="T115" s="14" t="s">
        <v>540</v>
      </c>
      <c r="U115" s="14" t="s">
        <v>37</v>
      </c>
      <c r="V115" s="22">
        <v>46174.630891203706</v>
      </c>
      <c r="W115" s="22">
        <v>46175.758333333331</v>
      </c>
      <c r="X115" s="15">
        <v>1623.52</v>
      </c>
      <c r="Y115" s="22">
        <v>46174.630902777775</v>
      </c>
      <c r="Z115" s="15">
        <v>0.02</v>
      </c>
      <c r="AA115" s="15">
        <v>30</v>
      </c>
      <c r="AB115" s="15" t="s">
        <v>40</v>
      </c>
      <c r="AC115" s="22">
        <v>46174.632592592592</v>
      </c>
      <c r="AD115" s="22">
        <v>46175.751909722225</v>
      </c>
      <c r="AE115" s="15">
        <v>1611.82</v>
      </c>
      <c r="AF115" s="15">
        <v>11.7</v>
      </c>
      <c r="AG115" s="15">
        <v>120</v>
      </c>
      <c r="AH115" s="15" t="s">
        <v>40</v>
      </c>
      <c r="AI115" s="14"/>
      <c r="AJ115" s="16">
        <v>129600</v>
      </c>
      <c r="AK115" s="1">
        <f t="shared" si="4"/>
        <v>129588.3</v>
      </c>
      <c r="AL115" s="2">
        <f t="shared" si="5"/>
        <v>99.990972222222226</v>
      </c>
      <c r="AM115" s="16">
        <f t="shared" si="6"/>
        <v>127988.18</v>
      </c>
      <c r="AN115" s="2">
        <f t="shared" si="7"/>
        <v>98.756311728395048</v>
      </c>
    </row>
    <row r="116" spans="1:40" x14ac:dyDescent="0.35">
      <c r="A116" s="14" t="s">
        <v>27</v>
      </c>
      <c r="B116" s="14" t="s">
        <v>28</v>
      </c>
      <c r="C116" s="14" t="s">
        <v>41</v>
      </c>
      <c r="D116" s="14" t="s">
        <v>273</v>
      </c>
      <c r="E116" s="14" t="s">
        <v>218</v>
      </c>
      <c r="F116" s="14" t="s">
        <v>32</v>
      </c>
      <c r="G116" s="14" t="s">
        <v>33</v>
      </c>
      <c r="H116" s="14" t="s">
        <v>963</v>
      </c>
      <c r="I116" s="14" t="s">
        <v>103</v>
      </c>
      <c r="J116" s="14" t="s">
        <v>103</v>
      </c>
      <c r="K116" s="14" t="s">
        <v>976</v>
      </c>
      <c r="L116" s="14" t="s">
        <v>967</v>
      </c>
      <c r="M116" s="14" t="s">
        <v>102</v>
      </c>
      <c r="N116" s="14" t="s">
        <v>977</v>
      </c>
      <c r="O116" s="14" t="s">
        <v>978</v>
      </c>
      <c r="P116" s="14"/>
      <c r="Q116" s="14" t="s">
        <v>196</v>
      </c>
      <c r="R116" s="14" t="s">
        <v>36</v>
      </c>
      <c r="S116" s="14" t="s">
        <v>104</v>
      </c>
      <c r="T116" s="14" t="s">
        <v>274</v>
      </c>
      <c r="U116" s="14" t="s">
        <v>270</v>
      </c>
      <c r="V116" s="22">
        <v>46175.285324074073</v>
      </c>
      <c r="W116" s="22">
        <v>46175.392361111109</v>
      </c>
      <c r="X116" s="15">
        <v>154.13</v>
      </c>
      <c r="Y116" s="22">
        <v>46175.28533564815</v>
      </c>
      <c r="Z116" s="15">
        <v>0.02</v>
      </c>
      <c r="AA116" s="15">
        <v>30</v>
      </c>
      <c r="AB116" s="15" t="s">
        <v>40</v>
      </c>
      <c r="AC116" s="22">
        <v>46175.287291666667</v>
      </c>
      <c r="AD116" s="22">
        <v>46175.389456018522</v>
      </c>
      <c r="AE116" s="15">
        <v>147.12</v>
      </c>
      <c r="AF116" s="15">
        <v>7.02</v>
      </c>
      <c r="AG116" s="15">
        <v>120</v>
      </c>
      <c r="AH116" s="15" t="s">
        <v>40</v>
      </c>
      <c r="AI116" s="14"/>
      <c r="AJ116" s="16">
        <v>129600</v>
      </c>
      <c r="AK116" s="1">
        <f t="shared" si="4"/>
        <v>129592.98</v>
      </c>
      <c r="AL116" s="2">
        <f t="shared" si="5"/>
        <v>99.994583333333338</v>
      </c>
      <c r="AM116" s="16">
        <f t="shared" si="6"/>
        <v>129452.88</v>
      </c>
      <c r="AN116" s="2">
        <f t="shared" si="7"/>
        <v>99.886481481481482</v>
      </c>
    </row>
    <row r="117" spans="1:40" x14ac:dyDescent="0.35">
      <c r="A117" s="14" t="s">
        <v>27</v>
      </c>
      <c r="B117" s="14" t="s">
        <v>28</v>
      </c>
      <c r="C117" s="14" t="s">
        <v>47</v>
      </c>
      <c r="D117" s="14" t="s">
        <v>354</v>
      </c>
      <c r="E117" s="14" t="s">
        <v>218</v>
      </c>
      <c r="F117" s="14" t="s">
        <v>32</v>
      </c>
      <c r="G117" s="14" t="s">
        <v>33</v>
      </c>
      <c r="H117" s="14" t="s">
        <v>963</v>
      </c>
      <c r="I117" s="14" t="s">
        <v>103</v>
      </c>
      <c r="J117" s="14" t="s">
        <v>103</v>
      </c>
      <c r="K117" s="14" t="s">
        <v>976</v>
      </c>
      <c r="L117" s="14" t="s">
        <v>967</v>
      </c>
      <c r="M117" s="14" t="s">
        <v>102</v>
      </c>
      <c r="N117" s="14" t="s">
        <v>977</v>
      </c>
      <c r="O117" s="14" t="s">
        <v>978</v>
      </c>
      <c r="P117" s="14"/>
      <c r="Q117" s="14" t="s">
        <v>196</v>
      </c>
      <c r="R117" s="14" t="s">
        <v>36</v>
      </c>
      <c r="S117" s="14" t="s">
        <v>279</v>
      </c>
      <c r="T117" s="14" t="s">
        <v>355</v>
      </c>
      <c r="U117" s="14" t="s">
        <v>356</v>
      </c>
      <c r="V117" s="22">
        <v>46176.627847222226</v>
      </c>
      <c r="W117" s="22">
        <v>46176.707638888889</v>
      </c>
      <c r="X117" s="15">
        <v>114.9</v>
      </c>
      <c r="Y117" s="22">
        <v>46176.627858796295</v>
      </c>
      <c r="Z117" s="15">
        <v>0.02</v>
      </c>
      <c r="AA117" s="15">
        <v>30</v>
      </c>
      <c r="AB117" s="15" t="s">
        <v>40</v>
      </c>
      <c r="AC117" s="22">
        <v>46176.632048611114</v>
      </c>
      <c r="AD117" s="22">
        <v>46176.705983796295</v>
      </c>
      <c r="AE117" s="15">
        <v>106.47</v>
      </c>
      <c r="AF117" s="15">
        <v>8.43</v>
      </c>
      <c r="AG117" s="15">
        <v>120</v>
      </c>
      <c r="AH117" s="15" t="s">
        <v>40</v>
      </c>
      <c r="AI117" s="14"/>
      <c r="AJ117" s="16">
        <v>129600</v>
      </c>
      <c r="AK117" s="1">
        <f t="shared" si="4"/>
        <v>129591.57</v>
      </c>
      <c r="AL117" s="2">
        <f t="shared" si="5"/>
        <v>99.993495370370383</v>
      </c>
      <c r="AM117" s="16">
        <f t="shared" si="6"/>
        <v>129493.53</v>
      </c>
      <c r="AN117" s="2">
        <f t="shared" si="7"/>
        <v>99.917847222222221</v>
      </c>
    </row>
    <row r="118" spans="1:40" x14ac:dyDescent="0.35">
      <c r="A118" s="14" t="s">
        <v>27</v>
      </c>
      <c r="B118" s="14" t="s">
        <v>28</v>
      </c>
      <c r="C118" s="14" t="s">
        <v>73</v>
      </c>
      <c r="D118" s="14" t="s">
        <v>289</v>
      </c>
      <c r="E118" s="14" t="s">
        <v>218</v>
      </c>
      <c r="F118" s="14" t="s">
        <v>32</v>
      </c>
      <c r="G118" s="14" t="s">
        <v>33</v>
      </c>
      <c r="H118" s="14" t="s">
        <v>963</v>
      </c>
      <c r="I118" s="14" t="s">
        <v>103</v>
      </c>
      <c r="J118" s="14" t="s">
        <v>103</v>
      </c>
      <c r="K118" s="14" t="s">
        <v>976</v>
      </c>
      <c r="L118" s="14" t="s">
        <v>967</v>
      </c>
      <c r="M118" s="14" t="s">
        <v>102</v>
      </c>
      <c r="N118" s="14" t="s">
        <v>977</v>
      </c>
      <c r="O118" s="14" t="s">
        <v>978</v>
      </c>
      <c r="P118" s="14"/>
      <c r="Q118" s="14" t="s">
        <v>196</v>
      </c>
      <c r="R118" s="14" t="s">
        <v>36</v>
      </c>
      <c r="S118" s="14" t="s">
        <v>221</v>
      </c>
      <c r="T118" s="14" t="s">
        <v>290</v>
      </c>
      <c r="U118" s="14" t="s">
        <v>291</v>
      </c>
      <c r="V118" s="22">
        <v>46178.33520833333</v>
      </c>
      <c r="W118" s="22">
        <v>46181.702777777777</v>
      </c>
      <c r="X118" s="15">
        <v>4849.3</v>
      </c>
      <c r="Y118" s="22">
        <v>46178.33520833333</v>
      </c>
      <c r="Z118" s="15">
        <v>0</v>
      </c>
      <c r="AA118" s="15">
        <v>30</v>
      </c>
      <c r="AB118" s="15" t="s">
        <v>40</v>
      </c>
      <c r="AC118" s="22">
        <v>46178.338194444441</v>
      </c>
      <c r="AD118" s="22">
        <v>46181.701527777775</v>
      </c>
      <c r="AE118" s="15">
        <v>4843.2</v>
      </c>
      <c r="AF118" s="15">
        <v>6.1</v>
      </c>
      <c r="AG118" s="15">
        <v>120</v>
      </c>
      <c r="AH118" s="15" t="s">
        <v>40</v>
      </c>
      <c r="AI118" s="14"/>
      <c r="AJ118" s="16">
        <v>129600</v>
      </c>
      <c r="AK118" s="1">
        <f t="shared" si="4"/>
        <v>129593.9</v>
      </c>
      <c r="AL118" s="2">
        <f t="shared" si="5"/>
        <v>99.995293209876536</v>
      </c>
      <c r="AM118" s="16">
        <f t="shared" si="6"/>
        <v>124756.8</v>
      </c>
      <c r="AN118" s="2">
        <f t="shared" si="7"/>
        <v>96.262962962962959</v>
      </c>
    </row>
    <row r="119" spans="1:40" x14ac:dyDescent="0.35">
      <c r="A119" s="14" t="s">
        <v>27</v>
      </c>
      <c r="B119" s="14" t="s">
        <v>28</v>
      </c>
      <c r="C119" s="14" t="s">
        <v>54</v>
      </c>
      <c r="D119" s="14" t="s">
        <v>593</v>
      </c>
      <c r="E119" s="14" t="s">
        <v>218</v>
      </c>
      <c r="F119" s="14" t="s">
        <v>32</v>
      </c>
      <c r="G119" s="14" t="s">
        <v>33</v>
      </c>
      <c r="H119" s="14" t="s">
        <v>963</v>
      </c>
      <c r="I119" s="14" t="s">
        <v>103</v>
      </c>
      <c r="J119" s="14" t="s">
        <v>103</v>
      </c>
      <c r="K119" s="14" t="s">
        <v>976</v>
      </c>
      <c r="L119" s="14" t="s">
        <v>967</v>
      </c>
      <c r="M119" s="14" t="s">
        <v>102</v>
      </c>
      <c r="N119" s="14" t="s">
        <v>977</v>
      </c>
      <c r="O119" s="14" t="s">
        <v>978</v>
      </c>
      <c r="P119" s="14"/>
      <c r="Q119" s="14" t="s">
        <v>196</v>
      </c>
      <c r="R119" s="14" t="s">
        <v>36</v>
      </c>
      <c r="S119" s="14" t="s">
        <v>97</v>
      </c>
      <c r="T119" s="14" t="s">
        <v>290</v>
      </c>
      <c r="U119" s="14" t="s">
        <v>594</v>
      </c>
      <c r="V119" s="22">
        <v>46178.394178240742</v>
      </c>
      <c r="W119" s="22">
        <v>46189.947222222225</v>
      </c>
      <c r="X119" s="15">
        <v>16636.38</v>
      </c>
      <c r="Y119" s="22">
        <v>46178.394201388888</v>
      </c>
      <c r="Z119" s="15">
        <v>0.03</v>
      </c>
      <c r="AA119" s="15">
        <v>30</v>
      </c>
      <c r="AB119" s="15" t="s">
        <v>40</v>
      </c>
      <c r="AC119" s="22">
        <v>46178.395821759259</v>
      </c>
      <c r="AD119" s="22">
        <v>46189.943425925929</v>
      </c>
      <c r="AE119" s="15">
        <v>16628.55</v>
      </c>
      <c r="AF119" s="15">
        <v>7.83</v>
      </c>
      <c r="AG119" s="15">
        <v>120</v>
      </c>
      <c r="AH119" s="15" t="s">
        <v>40</v>
      </c>
      <c r="AI119" s="14"/>
      <c r="AJ119" s="16">
        <v>129600</v>
      </c>
      <c r="AK119" s="1">
        <f t="shared" si="4"/>
        <v>129592.17</v>
      </c>
      <c r="AL119" s="2">
        <f t="shared" si="5"/>
        <v>99.993958333333339</v>
      </c>
      <c r="AM119" s="16">
        <f t="shared" si="6"/>
        <v>112971.45</v>
      </c>
      <c r="AN119" s="2">
        <f t="shared" si="7"/>
        <v>87.169328703703698</v>
      </c>
    </row>
    <row r="120" spans="1:40" x14ac:dyDescent="0.35">
      <c r="A120" s="14" t="s">
        <v>27</v>
      </c>
      <c r="B120" s="14" t="s">
        <v>28</v>
      </c>
      <c r="C120" s="14" t="s">
        <v>47</v>
      </c>
      <c r="D120" s="14" t="s">
        <v>529</v>
      </c>
      <c r="E120" s="14" t="s">
        <v>218</v>
      </c>
      <c r="F120" s="14" t="s">
        <v>32</v>
      </c>
      <c r="G120" s="14" t="s">
        <v>33</v>
      </c>
      <c r="H120" s="14" t="s">
        <v>963</v>
      </c>
      <c r="I120" s="14" t="s">
        <v>103</v>
      </c>
      <c r="J120" s="14" t="s">
        <v>103</v>
      </c>
      <c r="K120" s="14" t="s">
        <v>976</v>
      </c>
      <c r="L120" s="14" t="s">
        <v>967</v>
      </c>
      <c r="M120" s="14" t="s">
        <v>102</v>
      </c>
      <c r="N120" s="14" t="s">
        <v>977</v>
      </c>
      <c r="O120" s="14" t="s">
        <v>978</v>
      </c>
      <c r="P120" s="14"/>
      <c r="Q120" s="14" t="s">
        <v>196</v>
      </c>
      <c r="R120" s="14" t="s">
        <v>36</v>
      </c>
      <c r="S120" s="14" t="s">
        <v>279</v>
      </c>
      <c r="T120" s="14" t="s">
        <v>530</v>
      </c>
      <c r="U120" s="14" t="s">
        <v>531</v>
      </c>
      <c r="V120" s="22">
        <v>46178.439386574071</v>
      </c>
      <c r="W120" s="22">
        <v>46181.591666666667</v>
      </c>
      <c r="X120" s="15">
        <v>4539.28</v>
      </c>
      <c r="Y120" s="22">
        <v>46178.439386574071</v>
      </c>
      <c r="Z120" s="15">
        <v>0</v>
      </c>
      <c r="AA120" s="15">
        <v>30</v>
      </c>
      <c r="AB120" s="15" t="s">
        <v>40</v>
      </c>
      <c r="AC120" s="22">
        <v>46178.443124999998</v>
      </c>
      <c r="AD120" s="22">
        <v>46181.588252314818</v>
      </c>
      <c r="AE120" s="15">
        <v>4528.9799999999996</v>
      </c>
      <c r="AF120" s="15">
        <v>10.3</v>
      </c>
      <c r="AG120" s="15">
        <v>120</v>
      </c>
      <c r="AH120" s="15" t="s">
        <v>40</v>
      </c>
      <c r="AI120" s="14"/>
      <c r="AJ120" s="16">
        <v>129600</v>
      </c>
      <c r="AK120" s="1">
        <f t="shared" si="4"/>
        <v>129589.7</v>
      </c>
      <c r="AL120" s="2">
        <f t="shared" si="5"/>
        <v>99.9920524691358</v>
      </c>
      <c r="AM120" s="16">
        <f t="shared" si="6"/>
        <v>125071.02</v>
      </c>
      <c r="AN120" s="2">
        <f t="shared" si="7"/>
        <v>96.505416666666662</v>
      </c>
    </row>
    <row r="121" spans="1:40" x14ac:dyDescent="0.35">
      <c r="A121" s="14" t="s">
        <v>27</v>
      </c>
      <c r="B121" s="14" t="s">
        <v>28</v>
      </c>
      <c r="C121" s="14" t="s">
        <v>47</v>
      </c>
      <c r="D121" s="14" t="s">
        <v>122</v>
      </c>
      <c r="E121" s="14" t="s">
        <v>31</v>
      </c>
      <c r="F121" s="14" t="s">
        <v>32</v>
      </c>
      <c r="G121" s="14" t="s">
        <v>33</v>
      </c>
      <c r="H121" s="14" t="s">
        <v>964</v>
      </c>
      <c r="I121" s="14" t="s">
        <v>124</v>
      </c>
      <c r="J121" s="14" t="s">
        <v>124</v>
      </c>
      <c r="K121" s="14" t="s">
        <v>35</v>
      </c>
      <c r="L121" s="14" t="s">
        <v>967</v>
      </c>
      <c r="M121" s="14" t="s">
        <v>123</v>
      </c>
      <c r="N121" s="14" t="s">
        <v>994</v>
      </c>
      <c r="O121" s="14" t="s">
        <v>995</v>
      </c>
      <c r="P121" s="14"/>
      <c r="Q121" s="14" t="s">
        <v>35</v>
      </c>
      <c r="R121" s="14" t="s">
        <v>36</v>
      </c>
      <c r="S121" s="14" t="s">
        <v>37</v>
      </c>
      <c r="T121" s="14" t="s">
        <v>125</v>
      </c>
      <c r="U121" s="14" t="s">
        <v>126</v>
      </c>
      <c r="V121" s="22">
        <v>46178.520416666666</v>
      </c>
      <c r="W121" s="22">
        <v>46178.531944444447</v>
      </c>
      <c r="X121" s="15">
        <v>16.600000000000001</v>
      </c>
      <c r="Y121" s="22">
        <v>46178.520428240743</v>
      </c>
      <c r="Z121" s="15">
        <v>0.02</v>
      </c>
      <c r="AA121" s="15">
        <v>30</v>
      </c>
      <c r="AB121" s="15" t="s">
        <v>40</v>
      </c>
      <c r="AC121" s="22">
        <v>46178.523414351854</v>
      </c>
      <c r="AD121" s="22">
        <v>46178.530497685184</v>
      </c>
      <c r="AE121" s="15">
        <v>10.199999999999999</v>
      </c>
      <c r="AF121" s="15">
        <v>6.4</v>
      </c>
      <c r="AG121" s="15">
        <v>120</v>
      </c>
      <c r="AH121" s="15" t="s">
        <v>40</v>
      </c>
      <c r="AI121" s="14"/>
      <c r="AJ121" s="16">
        <v>129600</v>
      </c>
      <c r="AK121" s="1">
        <f t="shared" si="4"/>
        <v>129593.60000000001</v>
      </c>
      <c r="AL121" s="2">
        <f t="shared" si="5"/>
        <v>99.995061728395058</v>
      </c>
      <c r="AM121" s="16">
        <f t="shared" si="6"/>
        <v>129589.8</v>
      </c>
      <c r="AN121" s="2">
        <f t="shared" si="7"/>
        <v>99.99212962962963</v>
      </c>
    </row>
    <row r="122" spans="1:40" x14ac:dyDescent="0.35">
      <c r="A122" s="14" t="s">
        <v>27</v>
      </c>
      <c r="B122" s="14" t="s">
        <v>94</v>
      </c>
      <c r="C122" s="14" t="s">
        <v>110</v>
      </c>
      <c r="D122" s="14" t="s">
        <v>923</v>
      </c>
      <c r="E122" s="14" t="s">
        <v>924</v>
      </c>
      <c r="F122" s="14" t="s">
        <v>32</v>
      </c>
      <c r="G122" s="14" t="s">
        <v>925</v>
      </c>
      <c r="H122" s="14" t="s">
        <v>964</v>
      </c>
      <c r="I122" s="14" t="s">
        <v>199</v>
      </c>
      <c r="J122" s="14" t="s">
        <v>199</v>
      </c>
      <c r="K122" s="14" t="s">
        <v>204</v>
      </c>
      <c r="L122" s="14" t="s">
        <v>973</v>
      </c>
      <c r="M122" s="14" t="s">
        <v>198</v>
      </c>
      <c r="N122" s="14" t="s">
        <v>990</v>
      </c>
      <c r="O122" s="14" t="s">
        <v>991</v>
      </c>
      <c r="P122" s="14"/>
      <c r="Q122" s="14" t="s">
        <v>872</v>
      </c>
      <c r="R122" s="14" t="s">
        <v>36</v>
      </c>
      <c r="S122" s="14" t="s">
        <v>104</v>
      </c>
      <c r="T122" s="14" t="s">
        <v>926</v>
      </c>
      <c r="U122" s="14"/>
      <c r="V122" s="22">
        <v>46179.399085648147</v>
      </c>
      <c r="W122" s="22">
        <v>46189.738888888889</v>
      </c>
      <c r="X122" s="15">
        <v>14889.32</v>
      </c>
      <c r="Y122" s="22">
        <v>46179.399074074077</v>
      </c>
      <c r="Z122" s="15">
        <v>0</v>
      </c>
      <c r="AA122" s="15">
        <v>30</v>
      </c>
      <c r="AB122" s="15" t="s">
        <v>40</v>
      </c>
      <c r="AC122" s="22">
        <v>46179.423333333332</v>
      </c>
      <c r="AD122" s="22">
        <v>46189.735347222224</v>
      </c>
      <c r="AE122" s="15">
        <v>14849.3</v>
      </c>
      <c r="AF122" s="15">
        <v>40.020000000000003</v>
      </c>
      <c r="AG122" s="15">
        <v>2880</v>
      </c>
      <c r="AH122" s="15" t="s">
        <v>40</v>
      </c>
      <c r="AI122" s="14"/>
      <c r="AJ122" s="16">
        <v>129600</v>
      </c>
      <c r="AK122" s="1">
        <f t="shared" si="4"/>
        <v>129559.98</v>
      </c>
      <c r="AL122" s="2">
        <f t="shared" si="5"/>
        <v>99.969120370370362</v>
      </c>
      <c r="AM122" s="16">
        <f t="shared" si="6"/>
        <v>114750.7</v>
      </c>
      <c r="AN122" s="2">
        <f t="shared" si="7"/>
        <v>88.542206790123458</v>
      </c>
    </row>
    <row r="123" spans="1:40" x14ac:dyDescent="0.35">
      <c r="A123" s="14" t="s">
        <v>27</v>
      </c>
      <c r="B123" s="14" t="s">
        <v>94</v>
      </c>
      <c r="C123" s="14" t="s">
        <v>110</v>
      </c>
      <c r="D123" s="14" t="s">
        <v>934</v>
      </c>
      <c r="E123" s="14" t="s">
        <v>935</v>
      </c>
      <c r="F123" s="14" t="s">
        <v>32</v>
      </c>
      <c r="G123" s="14" t="s">
        <v>925</v>
      </c>
      <c r="H123" s="14" t="s">
        <v>963</v>
      </c>
      <c r="I123" s="14" t="s">
        <v>460</v>
      </c>
      <c r="J123" s="14" t="s">
        <v>460</v>
      </c>
      <c r="K123" s="14" t="s">
        <v>204</v>
      </c>
      <c r="L123" s="14" t="s">
        <v>973</v>
      </c>
      <c r="M123" s="14" t="s">
        <v>459</v>
      </c>
      <c r="N123" s="14" t="s">
        <v>990</v>
      </c>
      <c r="O123" s="14" t="s">
        <v>980</v>
      </c>
      <c r="P123" s="14"/>
      <c r="Q123" s="14" t="s">
        <v>872</v>
      </c>
      <c r="R123" s="14" t="s">
        <v>36</v>
      </c>
      <c r="S123" s="14" t="s">
        <v>104</v>
      </c>
      <c r="T123" s="14" t="s">
        <v>936</v>
      </c>
      <c r="U123" s="14"/>
      <c r="V123" s="22">
        <v>46179.400625000002</v>
      </c>
      <c r="W123" s="22">
        <v>46189.738194444442</v>
      </c>
      <c r="X123" s="15">
        <v>14886.1</v>
      </c>
      <c r="Y123" s="22">
        <v>46179.400613425925</v>
      </c>
      <c r="Z123" s="15">
        <v>0</v>
      </c>
      <c r="AA123" s="15">
        <v>30</v>
      </c>
      <c r="AB123" s="15" t="s">
        <v>40</v>
      </c>
      <c r="AC123" s="22">
        <v>46179.422754629632</v>
      </c>
      <c r="AD123" s="22">
        <v>46189.734884259262</v>
      </c>
      <c r="AE123" s="15">
        <v>14849.47</v>
      </c>
      <c r="AF123" s="15">
        <v>36.630000000000003</v>
      </c>
      <c r="AG123" s="15">
        <v>2880</v>
      </c>
      <c r="AH123" s="15" t="s">
        <v>40</v>
      </c>
      <c r="AI123" s="14"/>
      <c r="AJ123" s="16">
        <v>129600</v>
      </c>
      <c r="AK123" s="1">
        <f t="shared" si="4"/>
        <v>129563.37</v>
      </c>
      <c r="AL123" s="2">
        <f t="shared" si="5"/>
        <v>99.971736111111113</v>
      </c>
      <c r="AM123" s="16">
        <f t="shared" si="6"/>
        <v>114750.53</v>
      </c>
      <c r="AN123" s="2">
        <f t="shared" si="7"/>
        <v>88.542075617283956</v>
      </c>
    </row>
    <row r="124" spans="1:40" x14ac:dyDescent="0.35">
      <c r="A124" s="14" t="s">
        <v>27</v>
      </c>
      <c r="B124" s="14" t="s">
        <v>28</v>
      </c>
      <c r="C124" s="14" t="s">
        <v>65</v>
      </c>
      <c r="D124" s="14" t="s">
        <v>463</v>
      </c>
      <c r="E124" s="14" t="s">
        <v>193</v>
      </c>
      <c r="F124" s="14" t="s">
        <v>32</v>
      </c>
      <c r="G124" s="14" t="s">
        <v>33</v>
      </c>
      <c r="H124" s="14" t="s">
        <v>964</v>
      </c>
      <c r="I124" s="14" t="s">
        <v>465</v>
      </c>
      <c r="J124" s="14" t="s">
        <v>465</v>
      </c>
      <c r="K124" s="14" t="s">
        <v>204</v>
      </c>
      <c r="L124" s="14" t="s">
        <v>973</v>
      </c>
      <c r="M124" s="14" t="s">
        <v>464</v>
      </c>
      <c r="N124" s="14" t="s">
        <v>990</v>
      </c>
      <c r="O124" s="14" t="s">
        <v>991</v>
      </c>
      <c r="P124" s="14"/>
      <c r="Q124" s="14" t="s">
        <v>196</v>
      </c>
      <c r="R124" s="14" t="s">
        <v>36</v>
      </c>
      <c r="S124" s="14" t="s">
        <v>37</v>
      </c>
      <c r="T124" s="14" t="s">
        <v>59</v>
      </c>
      <c r="U124" s="14" t="s">
        <v>246</v>
      </c>
      <c r="V124" s="22">
        <v>46179.479907407411</v>
      </c>
      <c r="W124" s="22">
        <v>46180.001388888886</v>
      </c>
      <c r="X124" s="15">
        <v>750.93</v>
      </c>
      <c r="Y124" s="22">
        <v>46179.47991898148</v>
      </c>
      <c r="Z124" s="15">
        <v>0.02</v>
      </c>
      <c r="AA124" s="15">
        <v>30</v>
      </c>
      <c r="AB124" s="15" t="s">
        <v>40</v>
      </c>
      <c r="AC124" s="22">
        <v>46179.482210648152</v>
      </c>
      <c r="AD124" s="22">
        <v>46179.999756944446</v>
      </c>
      <c r="AE124" s="15">
        <v>745.27</v>
      </c>
      <c r="AF124" s="15">
        <v>5.67</v>
      </c>
      <c r="AG124" s="15">
        <v>120</v>
      </c>
      <c r="AH124" s="15" t="s">
        <v>40</v>
      </c>
      <c r="AI124" s="14"/>
      <c r="AJ124" s="16">
        <v>129600</v>
      </c>
      <c r="AK124" s="1">
        <f t="shared" si="4"/>
        <v>129594.33</v>
      </c>
      <c r="AL124" s="2">
        <f t="shared" si="5"/>
        <v>99.995625000000004</v>
      </c>
      <c r="AM124" s="16">
        <f t="shared" si="6"/>
        <v>128854.73</v>
      </c>
      <c r="AN124" s="2">
        <f t="shared" si="7"/>
        <v>99.424945987654326</v>
      </c>
    </row>
    <row r="125" spans="1:40" x14ac:dyDescent="0.35">
      <c r="A125" s="14" t="s">
        <v>27</v>
      </c>
      <c r="B125" s="14" t="s">
        <v>28</v>
      </c>
      <c r="C125" s="14" t="s">
        <v>65</v>
      </c>
      <c r="D125" s="14" t="s">
        <v>703</v>
      </c>
      <c r="E125" s="14" t="s">
        <v>193</v>
      </c>
      <c r="F125" s="14" t="s">
        <v>32</v>
      </c>
      <c r="G125" s="14" t="s">
        <v>33</v>
      </c>
      <c r="H125" s="14" t="s">
        <v>964</v>
      </c>
      <c r="I125" s="14" t="s">
        <v>705</v>
      </c>
      <c r="J125" s="14" t="s">
        <v>705</v>
      </c>
      <c r="K125" s="14" t="s">
        <v>204</v>
      </c>
      <c r="L125" s="14" t="s">
        <v>973</v>
      </c>
      <c r="M125" s="14" t="s">
        <v>704</v>
      </c>
      <c r="N125" s="14" t="s">
        <v>974</v>
      </c>
      <c r="O125" s="14" t="s">
        <v>991</v>
      </c>
      <c r="P125" s="14"/>
      <c r="Q125" s="14" t="s">
        <v>196</v>
      </c>
      <c r="R125" s="14" t="s">
        <v>36</v>
      </c>
      <c r="S125" s="14" t="s">
        <v>37</v>
      </c>
      <c r="T125" s="14" t="s">
        <v>59</v>
      </c>
      <c r="U125" s="14" t="s">
        <v>407</v>
      </c>
      <c r="V125" s="22">
        <v>46179.479907407411</v>
      </c>
      <c r="W125" s="22">
        <v>46179.999305555553</v>
      </c>
      <c r="X125" s="15">
        <v>747.93</v>
      </c>
      <c r="Y125" s="22">
        <v>46179.47991898148</v>
      </c>
      <c r="Z125" s="15">
        <v>0.02</v>
      </c>
      <c r="AA125" s="15">
        <v>30</v>
      </c>
      <c r="AB125" s="15" t="s">
        <v>40</v>
      </c>
      <c r="AC125" s="22">
        <v>46179.482812499999</v>
      </c>
      <c r="AD125" s="22">
        <v>46179.998333333337</v>
      </c>
      <c r="AE125" s="15">
        <v>742.35</v>
      </c>
      <c r="AF125" s="15">
        <v>5.58</v>
      </c>
      <c r="AG125" s="15">
        <v>120</v>
      </c>
      <c r="AH125" s="15" t="s">
        <v>40</v>
      </c>
      <c r="AI125" s="14"/>
      <c r="AJ125" s="16">
        <v>129600</v>
      </c>
      <c r="AK125" s="1">
        <f t="shared" si="4"/>
        <v>129594.42</v>
      </c>
      <c r="AL125" s="2">
        <f t="shared" si="5"/>
        <v>99.995694444444439</v>
      </c>
      <c r="AM125" s="16">
        <f t="shared" si="6"/>
        <v>128857.65</v>
      </c>
      <c r="AN125" s="2">
        <f t="shared" si="7"/>
        <v>99.427199074074068</v>
      </c>
    </row>
    <row r="126" spans="1:40" x14ac:dyDescent="0.35">
      <c r="A126" s="14" t="s">
        <v>27</v>
      </c>
      <c r="B126" s="14" t="s">
        <v>28</v>
      </c>
      <c r="C126" s="14" t="s">
        <v>65</v>
      </c>
      <c r="D126" s="14" t="s">
        <v>762</v>
      </c>
      <c r="E126" s="14" t="s">
        <v>193</v>
      </c>
      <c r="F126" s="14" t="s">
        <v>32</v>
      </c>
      <c r="G126" s="14" t="s">
        <v>33</v>
      </c>
      <c r="H126" s="14" t="s">
        <v>964</v>
      </c>
      <c r="I126" s="14" t="s">
        <v>284</v>
      </c>
      <c r="J126" s="14" t="s">
        <v>284</v>
      </c>
      <c r="K126" s="14" t="s">
        <v>204</v>
      </c>
      <c r="L126" s="14" t="s">
        <v>973</v>
      </c>
      <c r="M126" s="14" t="s">
        <v>283</v>
      </c>
      <c r="N126" s="14" t="s">
        <v>974</v>
      </c>
      <c r="O126" s="14" t="s">
        <v>991</v>
      </c>
      <c r="P126" s="14"/>
      <c r="Q126" s="14" t="s">
        <v>196</v>
      </c>
      <c r="R126" s="14" t="s">
        <v>36</v>
      </c>
      <c r="S126" s="14" t="s">
        <v>37</v>
      </c>
      <c r="T126" s="14" t="s">
        <v>59</v>
      </c>
      <c r="U126" s="14" t="s">
        <v>536</v>
      </c>
      <c r="V126" s="22">
        <v>46179.479907407411</v>
      </c>
      <c r="W126" s="22">
        <v>46180.00277777778</v>
      </c>
      <c r="X126" s="15">
        <v>752.93</v>
      </c>
      <c r="Y126" s="22">
        <v>46179.47991898148</v>
      </c>
      <c r="Z126" s="15">
        <v>0.02</v>
      </c>
      <c r="AA126" s="15">
        <v>30</v>
      </c>
      <c r="AB126" s="15" t="s">
        <v>40</v>
      </c>
      <c r="AC126" s="22">
        <v>46179.481828703705</v>
      </c>
      <c r="AD126" s="22">
        <v>46180.001643518517</v>
      </c>
      <c r="AE126" s="15">
        <v>748.53</v>
      </c>
      <c r="AF126" s="15">
        <v>4.4000000000000004</v>
      </c>
      <c r="AG126" s="15">
        <v>120</v>
      </c>
      <c r="AH126" s="15" t="s">
        <v>40</v>
      </c>
      <c r="AI126" s="14"/>
      <c r="AJ126" s="16">
        <v>129600</v>
      </c>
      <c r="AK126" s="1">
        <f t="shared" si="4"/>
        <v>129595.6</v>
      </c>
      <c r="AL126" s="2">
        <f t="shared" si="5"/>
        <v>99.996604938271602</v>
      </c>
      <c r="AM126" s="16">
        <f t="shared" si="6"/>
        <v>128851.47</v>
      </c>
      <c r="AN126" s="2">
        <f t="shared" si="7"/>
        <v>99.42243055555555</v>
      </c>
    </row>
    <row r="127" spans="1:40" x14ac:dyDescent="0.35">
      <c r="A127" s="14" t="s">
        <v>27</v>
      </c>
      <c r="B127" s="14" t="s">
        <v>94</v>
      </c>
      <c r="C127" s="14" t="s">
        <v>309</v>
      </c>
      <c r="D127" s="14" t="s">
        <v>310</v>
      </c>
      <c r="E127" s="14" t="s">
        <v>311</v>
      </c>
      <c r="F127" s="14" t="s">
        <v>32</v>
      </c>
      <c r="G127" s="14" t="s">
        <v>312</v>
      </c>
      <c r="H127" s="14" t="s">
        <v>964</v>
      </c>
      <c r="I127" s="14" t="s">
        <v>313</v>
      </c>
      <c r="J127" s="14" t="s">
        <v>313</v>
      </c>
      <c r="K127" s="14" t="s">
        <v>1006</v>
      </c>
      <c r="L127" s="14" t="s">
        <v>967</v>
      </c>
      <c r="M127" s="14" t="s">
        <v>1006</v>
      </c>
      <c r="N127" s="14" t="s">
        <v>1007</v>
      </c>
      <c r="O127" s="14" t="s">
        <v>1008</v>
      </c>
      <c r="P127" s="14"/>
      <c r="Q127" s="14" t="s">
        <v>196</v>
      </c>
      <c r="R127" s="14" t="s">
        <v>36</v>
      </c>
      <c r="S127" s="14" t="s">
        <v>279</v>
      </c>
      <c r="T127" s="14" t="s">
        <v>314</v>
      </c>
      <c r="U127" s="14" t="s">
        <v>315</v>
      </c>
      <c r="V127" s="22">
        <v>46179.502453703702</v>
      </c>
      <c r="W127" s="22">
        <v>46184.231249999997</v>
      </c>
      <c r="X127" s="15">
        <v>6809.47</v>
      </c>
      <c r="Y127" s="22">
        <v>46179.502442129633</v>
      </c>
      <c r="Z127" s="15">
        <v>0</v>
      </c>
      <c r="AA127" s="15">
        <v>30</v>
      </c>
      <c r="AB127" s="15" t="s">
        <v>40</v>
      </c>
      <c r="AC127" s="22">
        <v>46179.508460648147</v>
      </c>
      <c r="AD127" s="22">
        <v>46184.721342592595</v>
      </c>
      <c r="AE127" s="15">
        <v>7506.55</v>
      </c>
      <c r="AF127" s="15">
        <v>-697.08</v>
      </c>
      <c r="AG127" s="15">
        <v>120</v>
      </c>
      <c r="AH127" s="15" t="s">
        <v>40</v>
      </c>
      <c r="AI127" s="14"/>
      <c r="AJ127" s="16">
        <v>129600</v>
      </c>
      <c r="AK127" s="1">
        <f t="shared" si="4"/>
        <v>130297.08</v>
      </c>
      <c r="AL127" s="2">
        <f t="shared" si="5"/>
        <v>100.53787037037037</v>
      </c>
      <c r="AM127" s="16">
        <f t="shared" si="6"/>
        <v>122093.45</v>
      </c>
      <c r="AN127" s="2">
        <f t="shared" si="7"/>
        <v>94.207908950617281</v>
      </c>
    </row>
    <row r="128" spans="1:40" x14ac:dyDescent="0.35">
      <c r="A128" s="14" t="s">
        <v>27</v>
      </c>
      <c r="B128" s="14" t="s">
        <v>94</v>
      </c>
      <c r="C128" s="14" t="s">
        <v>110</v>
      </c>
      <c r="D128" s="14" t="s">
        <v>561</v>
      </c>
      <c r="E128" s="14" t="s">
        <v>562</v>
      </c>
      <c r="F128" s="14" t="s">
        <v>32</v>
      </c>
      <c r="G128" s="14" t="s">
        <v>33</v>
      </c>
      <c r="H128" s="14" t="s">
        <v>964</v>
      </c>
      <c r="I128" s="14" t="s">
        <v>359</v>
      </c>
      <c r="J128" s="14" t="s">
        <v>359</v>
      </c>
      <c r="K128" s="14" t="s">
        <v>204</v>
      </c>
      <c r="L128" s="14" t="s">
        <v>973</v>
      </c>
      <c r="M128" s="14" t="s">
        <v>358</v>
      </c>
      <c r="N128" s="14" t="s">
        <v>990</v>
      </c>
      <c r="O128" s="14" t="s">
        <v>991</v>
      </c>
      <c r="P128" s="14"/>
      <c r="Q128" s="14" t="s">
        <v>196</v>
      </c>
      <c r="R128" s="14" t="s">
        <v>36</v>
      </c>
      <c r="S128" s="14" t="s">
        <v>104</v>
      </c>
      <c r="T128" s="14" t="s">
        <v>563</v>
      </c>
      <c r="U128" s="14" t="s">
        <v>563</v>
      </c>
      <c r="V128" s="22">
        <v>46179.543541666666</v>
      </c>
      <c r="W128" s="22">
        <v>46220.547222222223</v>
      </c>
      <c r="X128" s="15">
        <v>59045.3</v>
      </c>
      <c r="Y128" s="22">
        <v>46179.543530092589</v>
      </c>
      <c r="Z128" s="15">
        <v>0</v>
      </c>
      <c r="AA128" s="15">
        <v>30</v>
      </c>
      <c r="AB128" s="15" t="s">
        <v>40</v>
      </c>
      <c r="AC128" s="22">
        <v>46179.560023148151</v>
      </c>
      <c r="AD128" s="22">
        <v>46220.546886574077</v>
      </c>
      <c r="AE128" s="15">
        <v>59021.08</v>
      </c>
      <c r="AF128" s="15">
        <v>24.22</v>
      </c>
      <c r="AG128" s="15">
        <v>120</v>
      </c>
      <c r="AH128" s="15" t="s">
        <v>40</v>
      </c>
      <c r="AI128" s="14"/>
      <c r="AJ128" s="16">
        <v>129600</v>
      </c>
      <c r="AK128" s="1">
        <f t="shared" si="4"/>
        <v>129575.78</v>
      </c>
      <c r="AL128" s="2">
        <f t="shared" si="5"/>
        <v>99.981311728395056</v>
      </c>
      <c r="AM128" s="16">
        <f t="shared" si="6"/>
        <v>70578.92</v>
      </c>
      <c r="AN128" s="2">
        <f t="shared" si="7"/>
        <v>54.459043209876548</v>
      </c>
    </row>
    <row r="129" spans="1:40" x14ac:dyDescent="0.35">
      <c r="A129" s="14" t="s">
        <v>27</v>
      </c>
      <c r="B129" s="14" t="s">
        <v>94</v>
      </c>
      <c r="C129" s="14" t="s">
        <v>110</v>
      </c>
      <c r="D129" s="14" t="s">
        <v>653</v>
      </c>
      <c r="E129" s="14" t="s">
        <v>654</v>
      </c>
      <c r="F129" s="14" t="s">
        <v>32</v>
      </c>
      <c r="G129" s="14" t="s">
        <v>33</v>
      </c>
      <c r="H129" s="14" t="s">
        <v>964</v>
      </c>
      <c r="I129" s="14" t="s">
        <v>465</v>
      </c>
      <c r="J129" s="14" t="s">
        <v>465</v>
      </c>
      <c r="K129" s="14" t="s">
        <v>204</v>
      </c>
      <c r="L129" s="14" t="s">
        <v>973</v>
      </c>
      <c r="M129" s="14" t="s">
        <v>464</v>
      </c>
      <c r="N129" s="14" t="s">
        <v>990</v>
      </c>
      <c r="O129" s="14" t="s">
        <v>991</v>
      </c>
      <c r="P129" s="14"/>
      <c r="Q129" s="14" t="s">
        <v>196</v>
      </c>
      <c r="R129" s="14" t="s">
        <v>36</v>
      </c>
      <c r="S129" s="14" t="s">
        <v>37</v>
      </c>
      <c r="T129" s="14"/>
      <c r="U129" s="14" t="s">
        <v>655</v>
      </c>
      <c r="V129" s="22">
        <v>46179.552974537037</v>
      </c>
      <c r="W129" s="22">
        <v>46179.57708333333</v>
      </c>
      <c r="X129" s="15">
        <v>34.72</v>
      </c>
      <c r="Y129" s="22">
        <v>46179.552974537037</v>
      </c>
      <c r="Z129" s="15">
        <v>0</v>
      </c>
      <c r="AA129" s="15">
        <v>30</v>
      </c>
      <c r="AB129" s="15" t="s">
        <v>40</v>
      </c>
      <c r="AC129" s="15"/>
      <c r="AD129" s="15"/>
      <c r="AE129" s="15">
        <v>0</v>
      </c>
      <c r="AF129" s="15">
        <v>34.72</v>
      </c>
      <c r="AG129" s="15">
        <v>120</v>
      </c>
      <c r="AH129" s="15" t="s">
        <v>40</v>
      </c>
      <c r="AI129" s="14"/>
      <c r="AJ129" s="16">
        <v>129600</v>
      </c>
      <c r="AK129" s="1">
        <f t="shared" si="4"/>
        <v>129565.28</v>
      </c>
      <c r="AL129" s="2">
        <f t="shared" si="5"/>
        <v>99.973209876543208</v>
      </c>
      <c r="AM129" s="16">
        <f t="shared" si="6"/>
        <v>129600</v>
      </c>
      <c r="AN129" s="2">
        <f t="shared" si="7"/>
        <v>100</v>
      </c>
    </row>
    <row r="130" spans="1:40" x14ac:dyDescent="0.35">
      <c r="A130" s="14" t="s">
        <v>27</v>
      </c>
      <c r="B130" s="14" t="s">
        <v>28</v>
      </c>
      <c r="C130" s="14" t="s">
        <v>65</v>
      </c>
      <c r="D130" s="14" t="s">
        <v>247</v>
      </c>
      <c r="E130" s="14" t="s">
        <v>193</v>
      </c>
      <c r="F130" s="14" t="s">
        <v>32</v>
      </c>
      <c r="G130" s="14" t="s">
        <v>33</v>
      </c>
      <c r="H130" s="14" t="s">
        <v>964</v>
      </c>
      <c r="I130" s="14" t="s">
        <v>249</v>
      </c>
      <c r="J130" s="14" t="s">
        <v>249</v>
      </c>
      <c r="K130" s="14" t="s">
        <v>204</v>
      </c>
      <c r="L130" s="14" t="s">
        <v>973</v>
      </c>
      <c r="M130" s="14" t="s">
        <v>248</v>
      </c>
      <c r="N130" s="14" t="s">
        <v>990</v>
      </c>
      <c r="O130" s="14" t="s">
        <v>991</v>
      </c>
      <c r="P130" s="14"/>
      <c r="Q130" s="14" t="s">
        <v>196</v>
      </c>
      <c r="R130" s="14" t="s">
        <v>36</v>
      </c>
      <c r="S130" s="14" t="s">
        <v>37</v>
      </c>
      <c r="T130" s="14" t="s">
        <v>59</v>
      </c>
      <c r="U130" s="14" t="s">
        <v>246</v>
      </c>
      <c r="V130" s="22">
        <v>46179.846018518518</v>
      </c>
      <c r="W130" s="22">
        <v>46179.982638888891</v>
      </c>
      <c r="X130" s="15">
        <v>196.73</v>
      </c>
      <c r="Y130" s="22">
        <v>46179.846018518518</v>
      </c>
      <c r="Z130" s="15">
        <v>0</v>
      </c>
      <c r="AA130" s="15">
        <v>30</v>
      </c>
      <c r="AB130" s="15" t="s">
        <v>40</v>
      </c>
      <c r="AC130" s="22">
        <v>46179.847407407404</v>
      </c>
      <c r="AD130" s="22">
        <v>46179.980914351851</v>
      </c>
      <c r="AE130" s="15">
        <v>192.25</v>
      </c>
      <c r="AF130" s="15">
        <v>4.4800000000000004</v>
      </c>
      <c r="AG130" s="15">
        <v>120</v>
      </c>
      <c r="AH130" s="15" t="s">
        <v>40</v>
      </c>
      <c r="AI130" s="14"/>
      <c r="AJ130" s="16">
        <v>129600</v>
      </c>
      <c r="AK130" s="1">
        <f t="shared" si="4"/>
        <v>129595.52</v>
      </c>
      <c r="AL130" s="2">
        <f t="shared" si="5"/>
        <v>99.996543209876549</v>
      </c>
      <c r="AM130" s="16">
        <f t="shared" si="6"/>
        <v>129407.75</v>
      </c>
      <c r="AN130" s="2">
        <f t="shared" si="7"/>
        <v>99.851658950617278</v>
      </c>
    </row>
    <row r="131" spans="1:40" x14ac:dyDescent="0.35">
      <c r="A131" s="14" t="s">
        <v>27</v>
      </c>
      <c r="B131" s="14" t="s">
        <v>28</v>
      </c>
      <c r="C131" s="14" t="s">
        <v>65</v>
      </c>
      <c r="D131" s="14" t="s">
        <v>832</v>
      </c>
      <c r="E131" s="14" t="s">
        <v>193</v>
      </c>
      <c r="F131" s="14" t="s">
        <v>32</v>
      </c>
      <c r="G131" s="14" t="s">
        <v>33</v>
      </c>
      <c r="H131" s="14" t="s">
        <v>964</v>
      </c>
      <c r="I131" s="14" t="s">
        <v>249</v>
      </c>
      <c r="J131" s="14" t="s">
        <v>249</v>
      </c>
      <c r="K131" s="14" t="s">
        <v>204</v>
      </c>
      <c r="L131" s="14" t="s">
        <v>973</v>
      </c>
      <c r="M131" s="14" t="s">
        <v>248</v>
      </c>
      <c r="N131" s="14" t="s">
        <v>990</v>
      </c>
      <c r="O131" s="14" t="s">
        <v>991</v>
      </c>
      <c r="P131" s="14"/>
      <c r="Q131" s="14" t="s">
        <v>196</v>
      </c>
      <c r="R131" s="14" t="s">
        <v>36</v>
      </c>
      <c r="S131" s="14" t="s">
        <v>37</v>
      </c>
      <c r="T131" s="14" t="s">
        <v>64</v>
      </c>
      <c r="U131" s="14" t="s">
        <v>536</v>
      </c>
      <c r="V131" s="22">
        <v>46179.853888888887</v>
      </c>
      <c r="W131" s="22">
        <v>46179.98333333333</v>
      </c>
      <c r="X131" s="15">
        <v>186.4</v>
      </c>
      <c r="Y131" s="22">
        <v>46179.853900462964</v>
      </c>
      <c r="Z131" s="15">
        <v>0.02</v>
      </c>
      <c r="AA131" s="15">
        <v>30</v>
      </c>
      <c r="AB131" s="15" t="s">
        <v>40</v>
      </c>
      <c r="AC131" s="22">
        <v>46179.855752314812</v>
      </c>
      <c r="AD131" s="22">
        <v>46179.982453703706</v>
      </c>
      <c r="AE131" s="15">
        <v>182.45</v>
      </c>
      <c r="AF131" s="15">
        <v>3.95</v>
      </c>
      <c r="AG131" s="15">
        <v>120</v>
      </c>
      <c r="AH131" s="15" t="s">
        <v>40</v>
      </c>
      <c r="AI131" s="14"/>
      <c r="AJ131" s="16">
        <v>129600</v>
      </c>
      <c r="AK131" s="1">
        <f t="shared" ref="AK131:AK194" si="8">AJ131-AF131</f>
        <v>129596.05</v>
      </c>
      <c r="AL131" s="2">
        <f t="shared" ref="AL131:AL194" si="9">AK131/AJ131*100</f>
        <v>99.996952160493834</v>
      </c>
      <c r="AM131" s="16">
        <f t="shared" ref="AM131:AM194" si="10">AJ131-AE131</f>
        <v>129417.55</v>
      </c>
      <c r="AN131" s="2">
        <f t="shared" ref="AN131:AN194" si="11">AM131/AJ131*100</f>
        <v>99.859220679012353</v>
      </c>
    </row>
    <row r="132" spans="1:40" x14ac:dyDescent="0.35">
      <c r="A132" s="14" t="s">
        <v>27</v>
      </c>
      <c r="B132" s="14" t="s">
        <v>28</v>
      </c>
      <c r="C132" s="14" t="s">
        <v>65</v>
      </c>
      <c r="D132" s="14" t="s">
        <v>778</v>
      </c>
      <c r="E132" s="14" t="s">
        <v>193</v>
      </c>
      <c r="F132" s="14" t="s">
        <v>32</v>
      </c>
      <c r="G132" s="14" t="s">
        <v>33</v>
      </c>
      <c r="H132" s="14" t="s">
        <v>964</v>
      </c>
      <c r="I132" s="14" t="s">
        <v>249</v>
      </c>
      <c r="J132" s="14" t="s">
        <v>249</v>
      </c>
      <c r="K132" s="14" t="s">
        <v>204</v>
      </c>
      <c r="L132" s="14" t="s">
        <v>973</v>
      </c>
      <c r="M132" s="14" t="s">
        <v>248</v>
      </c>
      <c r="N132" s="14" t="s">
        <v>990</v>
      </c>
      <c r="O132" s="14" t="s">
        <v>991</v>
      </c>
      <c r="P132" s="14"/>
      <c r="Q132" s="14" t="s">
        <v>196</v>
      </c>
      <c r="R132" s="14" t="s">
        <v>36</v>
      </c>
      <c r="S132" s="14" t="s">
        <v>37</v>
      </c>
      <c r="T132" s="14" t="s">
        <v>64</v>
      </c>
      <c r="U132" s="14" t="s">
        <v>246</v>
      </c>
      <c r="V132" s="22">
        <v>46179.907326388886</v>
      </c>
      <c r="W132" s="22">
        <v>46179.977083333331</v>
      </c>
      <c r="X132" s="15">
        <v>100.45</v>
      </c>
      <c r="Y132" s="22">
        <v>46179.907337962963</v>
      </c>
      <c r="Z132" s="15">
        <v>0.02</v>
      </c>
      <c r="AA132" s="15">
        <v>30</v>
      </c>
      <c r="AB132" s="15" t="s">
        <v>40</v>
      </c>
      <c r="AC132" s="22">
        <v>46179.909988425927</v>
      </c>
      <c r="AD132" s="22">
        <v>46179.976145833331</v>
      </c>
      <c r="AE132" s="15">
        <v>95.27</v>
      </c>
      <c r="AF132" s="15">
        <v>5.18</v>
      </c>
      <c r="AG132" s="15">
        <v>120</v>
      </c>
      <c r="AH132" s="15" t="s">
        <v>40</v>
      </c>
      <c r="AI132" s="14"/>
      <c r="AJ132" s="16">
        <v>129600</v>
      </c>
      <c r="AK132" s="1">
        <f t="shared" si="8"/>
        <v>129594.82</v>
      </c>
      <c r="AL132" s="2">
        <f t="shared" si="9"/>
        <v>99.996003086419762</v>
      </c>
      <c r="AM132" s="16">
        <f t="shared" si="10"/>
        <v>129504.73</v>
      </c>
      <c r="AN132" s="2">
        <f t="shared" si="11"/>
        <v>99.92648919753087</v>
      </c>
    </row>
    <row r="133" spans="1:40" x14ac:dyDescent="0.35">
      <c r="A133" s="14" t="s">
        <v>27</v>
      </c>
      <c r="B133" s="14" t="s">
        <v>28</v>
      </c>
      <c r="C133" s="14" t="s">
        <v>65</v>
      </c>
      <c r="D133" s="14" t="s">
        <v>406</v>
      </c>
      <c r="E133" s="14" t="s">
        <v>193</v>
      </c>
      <c r="F133" s="14" t="s">
        <v>32</v>
      </c>
      <c r="G133" s="14" t="s">
        <v>33</v>
      </c>
      <c r="H133" s="14" t="s">
        <v>964</v>
      </c>
      <c r="I133" s="14" t="s">
        <v>249</v>
      </c>
      <c r="J133" s="14" t="s">
        <v>249</v>
      </c>
      <c r="K133" s="14" t="s">
        <v>204</v>
      </c>
      <c r="L133" s="14" t="s">
        <v>973</v>
      </c>
      <c r="M133" s="14" t="s">
        <v>248</v>
      </c>
      <c r="N133" s="14" t="s">
        <v>990</v>
      </c>
      <c r="O133" s="14" t="s">
        <v>991</v>
      </c>
      <c r="P133" s="14"/>
      <c r="Q133" s="14" t="s">
        <v>196</v>
      </c>
      <c r="R133" s="14" t="s">
        <v>36</v>
      </c>
      <c r="S133" s="14" t="s">
        <v>37</v>
      </c>
      <c r="T133" s="14" t="s">
        <v>64</v>
      </c>
      <c r="U133" s="14" t="s">
        <v>407</v>
      </c>
      <c r="V133" s="22">
        <v>46179.925300925926</v>
      </c>
      <c r="W133" s="22">
        <v>46179.980555555558</v>
      </c>
      <c r="X133" s="15">
        <v>79.569999999999993</v>
      </c>
      <c r="Y133" s="22">
        <v>46179.925300925926</v>
      </c>
      <c r="Z133" s="15">
        <v>0</v>
      </c>
      <c r="AA133" s="15">
        <v>30</v>
      </c>
      <c r="AB133" s="15" t="s">
        <v>40</v>
      </c>
      <c r="AC133" s="22">
        <v>46179.927372685182</v>
      </c>
      <c r="AD133" s="22">
        <v>46179.97755787037</v>
      </c>
      <c r="AE133" s="15">
        <v>72.27</v>
      </c>
      <c r="AF133" s="15">
        <v>7.3</v>
      </c>
      <c r="AG133" s="15">
        <v>120</v>
      </c>
      <c r="AH133" s="15" t="s">
        <v>40</v>
      </c>
      <c r="AI133" s="14"/>
      <c r="AJ133" s="16">
        <v>129600</v>
      </c>
      <c r="AK133" s="1">
        <f t="shared" si="8"/>
        <v>129592.7</v>
      </c>
      <c r="AL133" s="2">
        <f t="shared" si="9"/>
        <v>99.994367283950609</v>
      </c>
      <c r="AM133" s="16">
        <f t="shared" si="10"/>
        <v>129527.73</v>
      </c>
      <c r="AN133" s="2">
        <f t="shared" si="11"/>
        <v>99.94423611111111</v>
      </c>
    </row>
    <row r="134" spans="1:40" x14ac:dyDescent="0.35">
      <c r="A134" s="14" t="s">
        <v>27</v>
      </c>
      <c r="B134" s="14" t="s">
        <v>28</v>
      </c>
      <c r="C134" s="14" t="s">
        <v>73</v>
      </c>
      <c r="D134" s="14" t="s">
        <v>450</v>
      </c>
      <c r="E134" s="14" t="s">
        <v>193</v>
      </c>
      <c r="F134" s="14" t="s">
        <v>32</v>
      </c>
      <c r="G134" s="14" t="s">
        <v>33</v>
      </c>
      <c r="H134" s="14" t="s">
        <v>984</v>
      </c>
      <c r="I134" s="14" t="s">
        <v>452</v>
      </c>
      <c r="J134" s="14" t="s">
        <v>452</v>
      </c>
      <c r="K134" s="14" t="s">
        <v>204</v>
      </c>
      <c r="L134" s="14" t="s">
        <v>973</v>
      </c>
      <c r="M134" s="14" t="s">
        <v>451</v>
      </c>
      <c r="N134" s="14" t="s">
        <v>974</v>
      </c>
      <c r="O134" s="14" t="s">
        <v>991</v>
      </c>
      <c r="P134" s="14"/>
      <c r="Q134" s="14" t="s">
        <v>196</v>
      </c>
      <c r="R134" s="14" t="s">
        <v>36</v>
      </c>
      <c r="S134" s="14" t="s">
        <v>104</v>
      </c>
      <c r="T134" s="14" t="s">
        <v>64</v>
      </c>
      <c r="U134" s="14" t="s">
        <v>453</v>
      </c>
      <c r="V134" s="22">
        <v>46179.948449074072</v>
      </c>
      <c r="W134" s="22">
        <v>46180.467361111114</v>
      </c>
      <c r="X134" s="15">
        <v>747.23</v>
      </c>
      <c r="Y134" s="22">
        <v>46179.948460648149</v>
      </c>
      <c r="Z134" s="15">
        <v>0.02</v>
      </c>
      <c r="AA134" s="15">
        <v>30</v>
      </c>
      <c r="AB134" s="15" t="s">
        <v>40</v>
      </c>
      <c r="AC134" s="22">
        <v>46179.949583333335</v>
      </c>
      <c r="AD134" s="22">
        <v>46180.465925925928</v>
      </c>
      <c r="AE134" s="15">
        <v>743.53</v>
      </c>
      <c r="AF134" s="15">
        <v>3.7</v>
      </c>
      <c r="AG134" s="15">
        <v>120</v>
      </c>
      <c r="AH134" s="15" t="s">
        <v>40</v>
      </c>
      <c r="AI134" s="14"/>
      <c r="AJ134" s="16">
        <v>129600</v>
      </c>
      <c r="AK134" s="1">
        <f t="shared" si="8"/>
        <v>129596.3</v>
      </c>
      <c r="AL134" s="2">
        <f t="shared" si="9"/>
        <v>99.997145061728403</v>
      </c>
      <c r="AM134" s="16">
        <f t="shared" si="10"/>
        <v>128856.47</v>
      </c>
      <c r="AN134" s="2">
        <f t="shared" si="11"/>
        <v>99.426288580246919</v>
      </c>
    </row>
    <row r="135" spans="1:40" x14ac:dyDescent="0.35">
      <c r="A135" s="14" t="s">
        <v>27</v>
      </c>
      <c r="B135" s="14" t="s">
        <v>28</v>
      </c>
      <c r="C135" s="14" t="s">
        <v>73</v>
      </c>
      <c r="D135" s="14" t="s">
        <v>182</v>
      </c>
      <c r="E135" s="14" t="s">
        <v>31</v>
      </c>
      <c r="F135" s="14" t="s">
        <v>32</v>
      </c>
      <c r="G135" s="14" t="s">
        <v>33</v>
      </c>
      <c r="H135" s="14" t="s">
        <v>984</v>
      </c>
      <c r="I135" s="14" t="s">
        <v>114</v>
      </c>
      <c r="J135" s="14" t="s">
        <v>114</v>
      </c>
      <c r="K135" s="14" t="s">
        <v>180</v>
      </c>
      <c r="L135" s="14" t="s">
        <v>967</v>
      </c>
      <c r="M135" s="14" t="s">
        <v>113</v>
      </c>
      <c r="N135" s="14" t="s">
        <v>992</v>
      </c>
      <c r="O135" s="14" t="s">
        <v>998</v>
      </c>
      <c r="P135" s="14"/>
      <c r="Q135" s="14" t="s">
        <v>35</v>
      </c>
      <c r="R135" s="14" t="s">
        <v>36</v>
      </c>
      <c r="S135" s="14" t="s">
        <v>104</v>
      </c>
      <c r="T135" s="14" t="s">
        <v>64</v>
      </c>
      <c r="U135" s="14" t="s">
        <v>183</v>
      </c>
      <c r="V135" s="22">
        <v>46179.948564814818</v>
      </c>
      <c r="W135" s="22">
        <v>46180.469444444447</v>
      </c>
      <c r="X135" s="15">
        <v>750.07</v>
      </c>
      <c r="Y135" s="22">
        <v>46179.948564814818</v>
      </c>
      <c r="Z135" s="15">
        <v>0</v>
      </c>
      <c r="AA135" s="15">
        <v>30</v>
      </c>
      <c r="AB135" s="15" t="s">
        <v>40</v>
      </c>
      <c r="AC135" s="22">
        <v>46179.950312499997</v>
      </c>
      <c r="AD135" s="22">
        <v>46180.468148148146</v>
      </c>
      <c r="AE135" s="15">
        <v>745.68</v>
      </c>
      <c r="AF135" s="15">
        <v>4.38</v>
      </c>
      <c r="AG135" s="15">
        <v>120</v>
      </c>
      <c r="AH135" s="15" t="s">
        <v>40</v>
      </c>
      <c r="AI135" s="14"/>
      <c r="AJ135" s="16">
        <v>129600</v>
      </c>
      <c r="AK135" s="1">
        <f t="shared" si="8"/>
        <v>129595.62</v>
      </c>
      <c r="AL135" s="2">
        <f t="shared" si="9"/>
        <v>99.996620370370366</v>
      </c>
      <c r="AM135" s="16">
        <f t="shared" si="10"/>
        <v>128854.32</v>
      </c>
      <c r="AN135" s="2">
        <f t="shared" si="11"/>
        <v>99.424629629629635</v>
      </c>
    </row>
    <row r="136" spans="1:40" x14ac:dyDescent="0.35">
      <c r="A136" s="14" t="s">
        <v>27</v>
      </c>
      <c r="B136" s="14" t="s">
        <v>28</v>
      </c>
      <c r="C136" s="14" t="s">
        <v>73</v>
      </c>
      <c r="D136" s="14" t="s">
        <v>208</v>
      </c>
      <c r="E136" s="14" t="s">
        <v>193</v>
      </c>
      <c r="F136" s="14" t="s">
        <v>32</v>
      </c>
      <c r="G136" s="14" t="s">
        <v>33</v>
      </c>
      <c r="H136" s="14" t="s">
        <v>984</v>
      </c>
      <c r="I136" s="14" t="s">
        <v>210</v>
      </c>
      <c r="J136" s="14" t="s">
        <v>210</v>
      </c>
      <c r="K136" s="14" t="s">
        <v>204</v>
      </c>
      <c r="L136" s="14" t="s">
        <v>973</v>
      </c>
      <c r="M136" s="14" t="s">
        <v>209</v>
      </c>
      <c r="N136" s="14" t="s">
        <v>974</v>
      </c>
      <c r="O136" s="14" t="s">
        <v>991</v>
      </c>
      <c r="P136" s="14"/>
      <c r="Q136" s="14" t="s">
        <v>196</v>
      </c>
      <c r="R136" s="14" t="s">
        <v>36</v>
      </c>
      <c r="S136" s="14" t="s">
        <v>104</v>
      </c>
      <c r="T136" s="14" t="s">
        <v>211</v>
      </c>
      <c r="U136" s="14" t="s">
        <v>212</v>
      </c>
      <c r="V136" s="22">
        <v>46180.611805555556</v>
      </c>
      <c r="W136" s="22">
        <v>46180.688888888886</v>
      </c>
      <c r="X136" s="15">
        <v>111</v>
      </c>
      <c r="Y136" s="22">
        <v>46180.611817129633</v>
      </c>
      <c r="Z136" s="15">
        <v>0.02</v>
      </c>
      <c r="AA136" s="15">
        <v>30</v>
      </c>
      <c r="AB136" s="15" t="s">
        <v>40</v>
      </c>
      <c r="AC136" s="22">
        <v>46180.61787037037</v>
      </c>
      <c r="AD136" s="22">
        <v>46180.687708333331</v>
      </c>
      <c r="AE136" s="15">
        <v>100.57</v>
      </c>
      <c r="AF136" s="15">
        <v>10.43</v>
      </c>
      <c r="AG136" s="15">
        <v>120</v>
      </c>
      <c r="AH136" s="15" t="s">
        <v>40</v>
      </c>
      <c r="AI136" s="14"/>
      <c r="AJ136" s="16">
        <v>129600</v>
      </c>
      <c r="AK136" s="1">
        <f t="shared" si="8"/>
        <v>129589.57</v>
      </c>
      <c r="AL136" s="2">
        <f t="shared" si="9"/>
        <v>99.991952160493838</v>
      </c>
      <c r="AM136" s="16">
        <f t="shared" si="10"/>
        <v>129499.43</v>
      </c>
      <c r="AN136" s="2">
        <f t="shared" si="11"/>
        <v>99.922399691358024</v>
      </c>
    </row>
    <row r="137" spans="1:40" x14ac:dyDescent="0.35">
      <c r="A137" s="14" t="s">
        <v>27</v>
      </c>
      <c r="B137" s="14" t="s">
        <v>28</v>
      </c>
      <c r="C137" s="14" t="s">
        <v>73</v>
      </c>
      <c r="D137" s="14" t="s">
        <v>652</v>
      </c>
      <c r="E137" s="14" t="s">
        <v>193</v>
      </c>
      <c r="F137" s="14" t="s">
        <v>32</v>
      </c>
      <c r="G137" s="14" t="s">
        <v>33</v>
      </c>
      <c r="H137" s="14" t="s">
        <v>984</v>
      </c>
      <c r="I137" s="14" t="s">
        <v>611</v>
      </c>
      <c r="J137" s="14" t="s">
        <v>611</v>
      </c>
      <c r="K137" s="14" t="s">
        <v>204</v>
      </c>
      <c r="L137" s="14" t="s">
        <v>973</v>
      </c>
      <c r="M137" s="14" t="s">
        <v>610</v>
      </c>
      <c r="N137" s="14" t="s">
        <v>990</v>
      </c>
      <c r="O137" s="14" t="s">
        <v>991</v>
      </c>
      <c r="P137" s="14"/>
      <c r="Q137" s="14" t="s">
        <v>196</v>
      </c>
      <c r="R137" s="14" t="s">
        <v>36</v>
      </c>
      <c r="S137" s="14" t="s">
        <v>104</v>
      </c>
      <c r="T137" s="14" t="s">
        <v>211</v>
      </c>
      <c r="U137" s="14" t="s">
        <v>212</v>
      </c>
      <c r="V137" s="22">
        <v>46180.611921296295</v>
      </c>
      <c r="W137" s="22">
        <v>46180.688888888886</v>
      </c>
      <c r="X137" s="15">
        <v>110.83</v>
      </c>
      <c r="Y137" s="22">
        <v>46180.611921296295</v>
      </c>
      <c r="Z137" s="15">
        <v>0</v>
      </c>
      <c r="AA137" s="15">
        <v>30</v>
      </c>
      <c r="AB137" s="15" t="s">
        <v>40</v>
      </c>
      <c r="AC137" s="22">
        <v>46180.618171296293</v>
      </c>
      <c r="AD137" s="22">
        <v>46180.686574074076</v>
      </c>
      <c r="AE137" s="15">
        <v>98.5</v>
      </c>
      <c r="AF137" s="15">
        <v>12.33</v>
      </c>
      <c r="AG137" s="15">
        <v>120</v>
      </c>
      <c r="AH137" s="15" t="s">
        <v>40</v>
      </c>
      <c r="AI137" s="14"/>
      <c r="AJ137" s="16">
        <v>129600</v>
      </c>
      <c r="AK137" s="1">
        <f t="shared" si="8"/>
        <v>129587.67</v>
      </c>
      <c r="AL137" s="2">
        <f t="shared" si="9"/>
        <v>99.99048611111111</v>
      </c>
      <c r="AM137" s="16">
        <f t="shared" si="10"/>
        <v>129501.5</v>
      </c>
      <c r="AN137" s="2">
        <f t="shared" si="11"/>
        <v>99.923996913580254</v>
      </c>
    </row>
    <row r="138" spans="1:40" x14ac:dyDescent="0.35">
      <c r="A138" s="14" t="s">
        <v>27</v>
      </c>
      <c r="B138" s="14" t="s">
        <v>28</v>
      </c>
      <c r="C138" s="14" t="s">
        <v>73</v>
      </c>
      <c r="D138" s="14" t="s">
        <v>837</v>
      </c>
      <c r="E138" s="14" t="s">
        <v>193</v>
      </c>
      <c r="F138" s="14" t="s">
        <v>32</v>
      </c>
      <c r="G138" s="14" t="s">
        <v>33</v>
      </c>
      <c r="H138" s="14" t="s">
        <v>984</v>
      </c>
      <c r="I138" s="14" t="s">
        <v>517</v>
      </c>
      <c r="J138" s="14" t="s">
        <v>517</v>
      </c>
      <c r="K138" s="14" t="s">
        <v>204</v>
      </c>
      <c r="L138" s="14" t="s">
        <v>973</v>
      </c>
      <c r="M138" s="14" t="s">
        <v>516</v>
      </c>
      <c r="N138" s="14" t="s">
        <v>974</v>
      </c>
      <c r="O138" s="14" t="s">
        <v>991</v>
      </c>
      <c r="P138" s="14"/>
      <c r="Q138" s="14" t="s">
        <v>196</v>
      </c>
      <c r="R138" s="14" t="s">
        <v>36</v>
      </c>
      <c r="S138" s="14" t="s">
        <v>104</v>
      </c>
      <c r="T138" s="14" t="s">
        <v>211</v>
      </c>
      <c r="U138" s="14" t="s">
        <v>212</v>
      </c>
      <c r="V138" s="22">
        <v>46180.611921296295</v>
      </c>
      <c r="W138" s="22">
        <v>46180.688888888886</v>
      </c>
      <c r="X138" s="15">
        <v>110.83</v>
      </c>
      <c r="Y138" s="22">
        <v>46180.611921296295</v>
      </c>
      <c r="Z138" s="15">
        <v>0</v>
      </c>
      <c r="AA138" s="15">
        <v>30</v>
      </c>
      <c r="AB138" s="15" t="s">
        <v>40</v>
      </c>
      <c r="AC138" s="22">
        <v>46180.618020833332</v>
      </c>
      <c r="AD138" s="22">
        <v>46180.687951388885</v>
      </c>
      <c r="AE138" s="15">
        <v>100.7</v>
      </c>
      <c r="AF138" s="15">
        <v>10.130000000000001</v>
      </c>
      <c r="AG138" s="15">
        <v>120</v>
      </c>
      <c r="AH138" s="15" t="s">
        <v>40</v>
      </c>
      <c r="AI138" s="14"/>
      <c r="AJ138" s="16">
        <v>129600</v>
      </c>
      <c r="AK138" s="1">
        <f t="shared" si="8"/>
        <v>129589.87</v>
      </c>
      <c r="AL138" s="2">
        <f t="shared" si="9"/>
        <v>99.992183641975302</v>
      </c>
      <c r="AM138" s="16">
        <f t="shared" si="10"/>
        <v>129499.3</v>
      </c>
      <c r="AN138" s="2">
        <f t="shared" si="11"/>
        <v>99.922299382716048</v>
      </c>
    </row>
    <row r="139" spans="1:40" x14ac:dyDescent="0.35">
      <c r="A139" s="14" t="s">
        <v>27</v>
      </c>
      <c r="B139" s="14" t="s">
        <v>28</v>
      </c>
      <c r="C139" s="14" t="s">
        <v>73</v>
      </c>
      <c r="D139" s="14" t="s">
        <v>873</v>
      </c>
      <c r="E139" s="14" t="s">
        <v>874</v>
      </c>
      <c r="F139" s="14" t="s">
        <v>32</v>
      </c>
      <c r="G139" s="14" t="s">
        <v>312</v>
      </c>
      <c r="H139" s="14" t="s">
        <v>966</v>
      </c>
      <c r="I139" s="14"/>
      <c r="J139" s="14" t="s">
        <v>946</v>
      </c>
      <c r="K139" s="14" t="s">
        <v>1009</v>
      </c>
      <c r="L139" s="14" t="s">
        <v>967</v>
      </c>
      <c r="M139" s="14" t="s">
        <v>1009</v>
      </c>
      <c r="N139" s="14" t="s">
        <v>971</v>
      </c>
      <c r="O139" s="14" t="s">
        <v>982</v>
      </c>
      <c r="P139" s="14"/>
      <c r="Q139" s="14" t="s">
        <v>872</v>
      </c>
      <c r="R139" s="14" t="s">
        <v>36</v>
      </c>
      <c r="S139" s="14" t="s">
        <v>279</v>
      </c>
      <c r="T139" s="14"/>
      <c r="U139" s="14" t="s">
        <v>875</v>
      </c>
      <c r="V139" s="22">
        <v>46181.644317129627</v>
      </c>
      <c r="W139" s="22">
        <v>46181.651388888888</v>
      </c>
      <c r="X139" s="15">
        <v>10.18</v>
      </c>
      <c r="Y139" s="22">
        <v>46181.644328703704</v>
      </c>
      <c r="Z139" s="15">
        <v>0.02</v>
      </c>
      <c r="AA139" s="15">
        <v>30</v>
      </c>
      <c r="AB139" s="15" t="s">
        <v>40</v>
      </c>
      <c r="AC139" s="15"/>
      <c r="AD139" s="15"/>
      <c r="AE139" s="15">
        <v>0</v>
      </c>
      <c r="AF139" s="15">
        <v>10.18</v>
      </c>
      <c r="AG139" s="15">
        <v>2880</v>
      </c>
      <c r="AH139" s="15" t="s">
        <v>40</v>
      </c>
      <c r="AI139" s="14"/>
      <c r="AJ139" s="16">
        <v>129600</v>
      </c>
      <c r="AK139" s="1">
        <f t="shared" si="8"/>
        <v>129589.82</v>
      </c>
      <c r="AL139" s="2">
        <f t="shared" si="9"/>
        <v>99.992145061728394</v>
      </c>
      <c r="AM139" s="16">
        <f t="shared" si="10"/>
        <v>129600</v>
      </c>
      <c r="AN139" s="2">
        <f t="shared" si="11"/>
        <v>100</v>
      </c>
    </row>
    <row r="140" spans="1:40" x14ac:dyDescent="0.35">
      <c r="A140" s="14" t="s">
        <v>27</v>
      </c>
      <c r="B140" s="14" t="s">
        <v>28</v>
      </c>
      <c r="C140" s="14" t="s">
        <v>47</v>
      </c>
      <c r="D140" s="14" t="s">
        <v>931</v>
      </c>
      <c r="E140" s="14" t="s">
        <v>932</v>
      </c>
      <c r="F140" s="14" t="s">
        <v>32</v>
      </c>
      <c r="G140" s="14" t="s">
        <v>312</v>
      </c>
      <c r="H140" s="14" t="s">
        <v>966</v>
      </c>
      <c r="I140" s="14" t="s">
        <v>87</v>
      </c>
      <c r="J140" s="14" t="s">
        <v>87</v>
      </c>
      <c r="K140" s="14" t="s">
        <v>970</v>
      </c>
      <c r="L140" s="14" t="s">
        <v>967</v>
      </c>
      <c r="M140" s="14" t="s">
        <v>86</v>
      </c>
      <c r="N140" s="14" t="s">
        <v>971</v>
      </c>
      <c r="O140" s="14" t="s">
        <v>969</v>
      </c>
      <c r="P140" s="14"/>
      <c r="Q140" s="14" t="s">
        <v>872</v>
      </c>
      <c r="R140" s="14" t="s">
        <v>36</v>
      </c>
      <c r="S140" s="14" t="s">
        <v>279</v>
      </c>
      <c r="T140" s="14"/>
      <c r="U140" s="14" t="s">
        <v>933</v>
      </c>
      <c r="V140" s="22">
        <v>46181.685879629629</v>
      </c>
      <c r="W140" s="22">
        <v>46181.701388888891</v>
      </c>
      <c r="X140" s="15">
        <v>22.33</v>
      </c>
      <c r="Y140" s="22">
        <v>46181.685891203706</v>
      </c>
      <c r="Z140" s="15">
        <v>0.02</v>
      </c>
      <c r="AA140" s="15">
        <v>30</v>
      </c>
      <c r="AB140" s="15" t="s">
        <v>40</v>
      </c>
      <c r="AC140" s="22">
        <v>46181.693715277775</v>
      </c>
      <c r="AD140" s="22">
        <v>46181.693784722222</v>
      </c>
      <c r="AE140" s="15">
        <v>0.1</v>
      </c>
      <c r="AF140" s="15">
        <v>22.23</v>
      </c>
      <c r="AG140" s="15">
        <v>2880</v>
      </c>
      <c r="AH140" s="15" t="s">
        <v>40</v>
      </c>
      <c r="AI140" s="14"/>
      <c r="AJ140" s="16">
        <v>129600</v>
      </c>
      <c r="AK140" s="1">
        <f t="shared" si="8"/>
        <v>129577.77</v>
      </c>
      <c r="AL140" s="2">
        <f t="shared" si="9"/>
        <v>99.982847222222233</v>
      </c>
      <c r="AM140" s="16">
        <f t="shared" si="10"/>
        <v>129599.9</v>
      </c>
      <c r="AN140" s="2">
        <f t="shared" si="11"/>
        <v>99.999922839506169</v>
      </c>
    </row>
    <row r="141" spans="1:40" x14ac:dyDescent="0.35">
      <c r="A141" s="14" t="s">
        <v>27</v>
      </c>
      <c r="B141" s="14" t="s">
        <v>28</v>
      </c>
      <c r="C141" s="14" t="s">
        <v>127</v>
      </c>
      <c r="D141" s="14" t="s">
        <v>616</v>
      </c>
      <c r="E141" s="14" t="s">
        <v>193</v>
      </c>
      <c r="F141" s="14" t="s">
        <v>32</v>
      </c>
      <c r="G141" s="14" t="s">
        <v>33</v>
      </c>
      <c r="H141" s="14" t="s">
        <v>964</v>
      </c>
      <c r="I141" s="14" t="s">
        <v>387</v>
      </c>
      <c r="J141" s="14" t="s">
        <v>387</v>
      </c>
      <c r="K141" s="14" t="s">
        <v>204</v>
      </c>
      <c r="L141" s="14" t="s">
        <v>973</v>
      </c>
      <c r="M141" s="14" t="s">
        <v>386</v>
      </c>
      <c r="N141" s="14" t="s">
        <v>974</v>
      </c>
      <c r="O141" s="14" t="s">
        <v>991</v>
      </c>
      <c r="P141" s="14"/>
      <c r="Q141" s="14" t="s">
        <v>196</v>
      </c>
      <c r="R141" s="14" t="s">
        <v>36</v>
      </c>
      <c r="S141" s="14" t="s">
        <v>37</v>
      </c>
      <c r="T141" s="14" t="s">
        <v>617</v>
      </c>
      <c r="U141" s="14" t="s">
        <v>129</v>
      </c>
      <c r="V141" s="22">
        <v>46182.595567129632</v>
      </c>
      <c r="W141" s="22">
        <v>46204.5</v>
      </c>
      <c r="X141" s="15">
        <v>31542.38</v>
      </c>
      <c r="Y141" s="22">
        <v>46182.595578703702</v>
      </c>
      <c r="Z141" s="15">
        <v>0.02</v>
      </c>
      <c r="AA141" s="15">
        <v>30</v>
      </c>
      <c r="AB141" s="15" t="s">
        <v>40</v>
      </c>
      <c r="AC141" s="22">
        <v>46182.625289351854</v>
      </c>
      <c r="AD141" s="22">
        <v>46204.498622685183</v>
      </c>
      <c r="AE141" s="15">
        <v>31497.599999999999</v>
      </c>
      <c r="AF141" s="15">
        <v>44.78</v>
      </c>
      <c r="AG141" s="15">
        <v>120</v>
      </c>
      <c r="AH141" s="15" t="s">
        <v>40</v>
      </c>
      <c r="AI141" s="14"/>
      <c r="AJ141" s="16">
        <v>129600</v>
      </c>
      <c r="AK141" s="1">
        <f t="shared" si="8"/>
        <v>129555.22</v>
      </c>
      <c r="AL141" s="2">
        <f t="shared" si="9"/>
        <v>99.965447530864196</v>
      </c>
      <c r="AM141" s="16">
        <f t="shared" si="10"/>
        <v>98102.399999999994</v>
      </c>
      <c r="AN141" s="2">
        <f t="shared" si="11"/>
        <v>75.696296296296296</v>
      </c>
    </row>
    <row r="142" spans="1:40" x14ac:dyDescent="0.35">
      <c r="A142" s="14" t="s">
        <v>27</v>
      </c>
      <c r="B142" s="14" t="s">
        <v>28</v>
      </c>
      <c r="C142" s="14" t="s">
        <v>127</v>
      </c>
      <c r="D142" s="14" t="s">
        <v>618</v>
      </c>
      <c r="E142" s="14" t="s">
        <v>193</v>
      </c>
      <c r="F142" s="14" t="s">
        <v>32</v>
      </c>
      <c r="G142" s="14" t="s">
        <v>33</v>
      </c>
      <c r="H142" s="14" t="s">
        <v>964</v>
      </c>
      <c r="I142" s="14" t="s">
        <v>231</v>
      </c>
      <c r="J142" s="14" t="s">
        <v>231</v>
      </c>
      <c r="K142" s="14" t="s">
        <v>204</v>
      </c>
      <c r="L142" s="14" t="s">
        <v>973</v>
      </c>
      <c r="M142" s="14" t="s">
        <v>230</v>
      </c>
      <c r="N142" s="14" t="s">
        <v>974</v>
      </c>
      <c r="O142" s="14" t="s">
        <v>991</v>
      </c>
      <c r="P142" s="14"/>
      <c r="Q142" s="14" t="s">
        <v>196</v>
      </c>
      <c r="R142" s="14" t="s">
        <v>36</v>
      </c>
      <c r="S142" s="14" t="s">
        <v>37</v>
      </c>
      <c r="T142" s="14" t="s">
        <v>64</v>
      </c>
      <c r="U142" s="14" t="s">
        <v>129</v>
      </c>
      <c r="V142" s="22">
        <v>46182.64334490741</v>
      </c>
      <c r="W142" s="22">
        <v>46197.5</v>
      </c>
      <c r="X142" s="15">
        <v>21393.58</v>
      </c>
      <c r="Y142" s="22">
        <v>46182.64335648148</v>
      </c>
      <c r="Z142" s="15">
        <v>0.02</v>
      </c>
      <c r="AA142" s="15">
        <v>30</v>
      </c>
      <c r="AB142" s="15" t="s">
        <v>40</v>
      </c>
      <c r="AC142" s="22">
        <v>46182.666018518517</v>
      </c>
      <c r="AD142" s="22">
        <v>46197.494953703703</v>
      </c>
      <c r="AE142" s="15">
        <v>21353.67</v>
      </c>
      <c r="AF142" s="15">
        <v>39.92</v>
      </c>
      <c r="AG142" s="15">
        <v>120</v>
      </c>
      <c r="AH142" s="15" t="s">
        <v>40</v>
      </c>
      <c r="AI142" s="14"/>
      <c r="AJ142" s="16">
        <v>129600</v>
      </c>
      <c r="AK142" s="1">
        <f t="shared" si="8"/>
        <v>129560.08</v>
      </c>
      <c r="AL142" s="2">
        <f t="shared" si="9"/>
        <v>99.969197530864193</v>
      </c>
      <c r="AM142" s="16">
        <f t="shared" si="10"/>
        <v>108246.33</v>
      </c>
      <c r="AN142" s="2">
        <f t="shared" si="11"/>
        <v>83.523402777777775</v>
      </c>
    </row>
    <row r="143" spans="1:40" x14ac:dyDescent="0.35">
      <c r="A143" s="14" t="s">
        <v>27</v>
      </c>
      <c r="B143" s="14" t="s">
        <v>28</v>
      </c>
      <c r="C143" s="14" t="s">
        <v>127</v>
      </c>
      <c r="D143" s="14" t="s">
        <v>702</v>
      </c>
      <c r="E143" s="14" t="s">
        <v>193</v>
      </c>
      <c r="F143" s="14" t="s">
        <v>32</v>
      </c>
      <c r="G143" s="14" t="s">
        <v>33</v>
      </c>
      <c r="H143" s="14" t="s">
        <v>964</v>
      </c>
      <c r="I143" s="14" t="s">
        <v>240</v>
      </c>
      <c r="J143" s="14" t="s">
        <v>240</v>
      </c>
      <c r="K143" s="14" t="s">
        <v>204</v>
      </c>
      <c r="L143" s="14" t="s">
        <v>973</v>
      </c>
      <c r="M143" s="14" t="s">
        <v>239</v>
      </c>
      <c r="N143" s="14" t="s">
        <v>990</v>
      </c>
      <c r="O143" s="14" t="s">
        <v>991</v>
      </c>
      <c r="P143" s="14"/>
      <c r="Q143" s="14" t="s">
        <v>196</v>
      </c>
      <c r="R143" s="14" t="s">
        <v>36</v>
      </c>
      <c r="S143" s="14" t="s">
        <v>37</v>
      </c>
      <c r="T143" s="14" t="s">
        <v>64</v>
      </c>
      <c r="U143" s="14" t="s">
        <v>129</v>
      </c>
      <c r="V143" s="22">
        <v>46182.649965277778</v>
      </c>
      <c r="W143" s="22">
        <v>46192.5</v>
      </c>
      <c r="X143" s="15">
        <v>14184.05</v>
      </c>
      <c r="Y143" s="22">
        <v>46182.649976851855</v>
      </c>
      <c r="Z143" s="15">
        <v>0.02</v>
      </c>
      <c r="AA143" s="15">
        <v>30</v>
      </c>
      <c r="AB143" s="15" t="s">
        <v>40</v>
      </c>
      <c r="AC143" s="22">
        <v>46182.670231481483</v>
      </c>
      <c r="AD143" s="22">
        <v>46192.472268518519</v>
      </c>
      <c r="AE143" s="15">
        <v>14114.93</v>
      </c>
      <c r="AF143" s="15">
        <v>69.12</v>
      </c>
      <c r="AG143" s="15">
        <v>120</v>
      </c>
      <c r="AH143" s="15" t="s">
        <v>40</v>
      </c>
      <c r="AI143" s="14"/>
      <c r="AJ143" s="16">
        <v>129600</v>
      </c>
      <c r="AK143" s="1">
        <f t="shared" si="8"/>
        <v>129530.88</v>
      </c>
      <c r="AL143" s="2">
        <f t="shared" si="9"/>
        <v>99.946666666666673</v>
      </c>
      <c r="AM143" s="16">
        <f t="shared" si="10"/>
        <v>115485.07</v>
      </c>
      <c r="AN143" s="2">
        <f t="shared" si="11"/>
        <v>89.108850308641991</v>
      </c>
    </row>
    <row r="144" spans="1:40" x14ac:dyDescent="0.35">
      <c r="A144" s="14" t="s">
        <v>27</v>
      </c>
      <c r="B144" s="14" t="s">
        <v>28</v>
      </c>
      <c r="C144" s="14" t="s">
        <v>127</v>
      </c>
      <c r="D144" s="14" t="s">
        <v>421</v>
      </c>
      <c r="E144" s="14" t="s">
        <v>193</v>
      </c>
      <c r="F144" s="14" t="s">
        <v>32</v>
      </c>
      <c r="G144" s="14" t="s">
        <v>33</v>
      </c>
      <c r="H144" s="14" t="s">
        <v>964</v>
      </c>
      <c r="I144" s="14" t="s">
        <v>423</v>
      </c>
      <c r="J144" s="14" t="s">
        <v>423</v>
      </c>
      <c r="K144" s="14" t="s">
        <v>204</v>
      </c>
      <c r="L144" s="14" t="s">
        <v>973</v>
      </c>
      <c r="M144" s="14" t="s">
        <v>422</v>
      </c>
      <c r="N144" s="14" t="s">
        <v>974</v>
      </c>
      <c r="O144" s="14" t="s">
        <v>991</v>
      </c>
      <c r="P144" s="14"/>
      <c r="Q144" s="14" t="s">
        <v>196</v>
      </c>
      <c r="R144" s="14" t="s">
        <v>36</v>
      </c>
      <c r="S144" s="14" t="s">
        <v>37</v>
      </c>
      <c r="T144" s="14" t="s">
        <v>64</v>
      </c>
      <c r="U144" s="14" t="s">
        <v>129</v>
      </c>
      <c r="V144" s="22">
        <v>46182.663958333331</v>
      </c>
      <c r="W144" s="22">
        <v>46185.5</v>
      </c>
      <c r="X144" s="15">
        <v>4083.9</v>
      </c>
      <c r="Y144" s="22">
        <v>46182.663969907408</v>
      </c>
      <c r="Z144" s="15">
        <v>0.02</v>
      </c>
      <c r="AA144" s="15">
        <v>30</v>
      </c>
      <c r="AB144" s="15" t="s">
        <v>40</v>
      </c>
      <c r="AC144" s="22">
        <v>46182.666527777779</v>
      </c>
      <c r="AD144" s="22">
        <v>46185.458368055559</v>
      </c>
      <c r="AE144" s="15">
        <v>4020.25</v>
      </c>
      <c r="AF144" s="15">
        <v>63.65</v>
      </c>
      <c r="AG144" s="15">
        <v>120</v>
      </c>
      <c r="AH144" s="15" t="s">
        <v>40</v>
      </c>
      <c r="AI144" s="14"/>
      <c r="AJ144" s="16">
        <v>129600</v>
      </c>
      <c r="AK144" s="1">
        <f t="shared" si="8"/>
        <v>129536.35</v>
      </c>
      <c r="AL144" s="2">
        <f t="shared" si="9"/>
        <v>99.950887345679021</v>
      </c>
      <c r="AM144" s="16">
        <f t="shared" si="10"/>
        <v>125579.75</v>
      </c>
      <c r="AN144" s="2">
        <f t="shared" si="11"/>
        <v>96.897955246913583</v>
      </c>
    </row>
    <row r="145" spans="1:40" x14ac:dyDescent="0.35">
      <c r="A145" s="14" t="s">
        <v>27</v>
      </c>
      <c r="B145" s="14" t="s">
        <v>28</v>
      </c>
      <c r="C145" s="14" t="s">
        <v>47</v>
      </c>
      <c r="D145" s="14" t="s">
        <v>580</v>
      </c>
      <c r="E145" s="14" t="s">
        <v>581</v>
      </c>
      <c r="F145" s="14" t="s">
        <v>32</v>
      </c>
      <c r="G145" s="14" t="s">
        <v>33</v>
      </c>
      <c r="H145" s="14" t="s">
        <v>972</v>
      </c>
      <c r="I145" s="14" t="s">
        <v>417</v>
      </c>
      <c r="J145" s="14" t="s">
        <v>417</v>
      </c>
      <c r="K145" s="14" t="s">
        <v>204</v>
      </c>
      <c r="L145" s="14" t="s">
        <v>973</v>
      </c>
      <c r="M145" s="14" t="s">
        <v>416</v>
      </c>
      <c r="N145" s="14" t="s">
        <v>974</v>
      </c>
      <c r="O145" s="14" t="s">
        <v>975</v>
      </c>
      <c r="P145" s="14"/>
      <c r="Q145" s="14" t="s">
        <v>196</v>
      </c>
      <c r="R145" s="14" t="s">
        <v>36</v>
      </c>
      <c r="S145" s="14" t="s">
        <v>37</v>
      </c>
      <c r="T145" s="14" t="s">
        <v>582</v>
      </c>
      <c r="U145" s="14" t="s">
        <v>37</v>
      </c>
      <c r="V145" s="22">
        <v>46182.664768518516</v>
      </c>
      <c r="W145" s="22">
        <v>46182.67083333333</v>
      </c>
      <c r="X145" s="15">
        <v>8.73</v>
      </c>
      <c r="Y145" s="22">
        <v>46182.664768518516</v>
      </c>
      <c r="Z145" s="15">
        <v>0</v>
      </c>
      <c r="AA145" s="15">
        <v>30</v>
      </c>
      <c r="AB145" s="15" t="s">
        <v>40</v>
      </c>
      <c r="AC145" s="22">
        <v>46182.665613425925</v>
      </c>
      <c r="AD145" s="22">
        <v>46182.667569444442</v>
      </c>
      <c r="AE145" s="15">
        <v>2.82</v>
      </c>
      <c r="AF145" s="15">
        <v>5.92</v>
      </c>
      <c r="AG145" s="15">
        <v>120</v>
      </c>
      <c r="AH145" s="15" t="s">
        <v>40</v>
      </c>
      <c r="AI145" s="14"/>
      <c r="AJ145" s="16">
        <v>129600</v>
      </c>
      <c r="AK145" s="1">
        <f t="shared" si="8"/>
        <v>129594.08</v>
      </c>
      <c r="AL145" s="2">
        <f t="shared" si="9"/>
        <v>99.995432098765434</v>
      </c>
      <c r="AM145" s="16">
        <f t="shared" si="10"/>
        <v>129597.18</v>
      </c>
      <c r="AN145" s="2">
        <f t="shared" si="11"/>
        <v>99.997824074074074</v>
      </c>
    </row>
    <row r="146" spans="1:40" x14ac:dyDescent="0.35">
      <c r="A146" s="14" t="s">
        <v>27</v>
      </c>
      <c r="B146" s="14" t="s">
        <v>28</v>
      </c>
      <c r="C146" s="14" t="s">
        <v>127</v>
      </c>
      <c r="D146" s="14" t="s">
        <v>556</v>
      </c>
      <c r="E146" s="14" t="s">
        <v>193</v>
      </c>
      <c r="F146" s="14" t="s">
        <v>32</v>
      </c>
      <c r="G146" s="14" t="s">
        <v>33</v>
      </c>
      <c r="H146" s="14" t="s">
        <v>964</v>
      </c>
      <c r="I146" s="14" t="s">
        <v>557</v>
      </c>
      <c r="J146" s="14" t="s">
        <v>557</v>
      </c>
      <c r="K146" s="14" t="s">
        <v>1033</v>
      </c>
      <c r="L146" s="14" t="s">
        <v>967</v>
      </c>
      <c r="M146" s="14">
        <v>1</v>
      </c>
      <c r="N146" s="14" t="e">
        <v>#N/A</v>
      </c>
      <c r="O146" s="14" t="e">
        <v>#N/A</v>
      </c>
      <c r="P146" s="14"/>
      <c r="Q146" s="14" t="s">
        <v>196</v>
      </c>
      <c r="R146" s="14" t="s">
        <v>36</v>
      </c>
      <c r="S146" s="14" t="s">
        <v>37</v>
      </c>
      <c r="T146" s="14" t="s">
        <v>64</v>
      </c>
      <c r="U146" s="14" t="s">
        <v>129</v>
      </c>
      <c r="V146" s="22">
        <v>46182.667442129627</v>
      </c>
      <c r="W146" s="22">
        <v>46185.5</v>
      </c>
      <c r="X146" s="15">
        <v>4078.88</v>
      </c>
      <c r="Y146" s="22">
        <v>46182.667453703703</v>
      </c>
      <c r="Z146" s="15">
        <v>0.02</v>
      </c>
      <c r="AA146" s="15">
        <v>30</v>
      </c>
      <c r="AB146" s="15" t="s">
        <v>40</v>
      </c>
      <c r="AC146" s="22">
        <v>46182.669062499997</v>
      </c>
      <c r="AD146" s="22">
        <v>46185.459791666668</v>
      </c>
      <c r="AE146" s="15">
        <v>4018.65</v>
      </c>
      <c r="AF146" s="15">
        <v>60.23</v>
      </c>
      <c r="AG146" s="15">
        <v>120</v>
      </c>
      <c r="AH146" s="15" t="s">
        <v>40</v>
      </c>
      <c r="AI146" s="14"/>
      <c r="AJ146" s="16">
        <v>129600</v>
      </c>
      <c r="AK146" s="1">
        <f t="shared" si="8"/>
        <v>129539.77</v>
      </c>
      <c r="AL146" s="2">
        <f t="shared" si="9"/>
        <v>99.953526234567903</v>
      </c>
      <c r="AM146" s="16">
        <f t="shared" si="10"/>
        <v>125581.35</v>
      </c>
      <c r="AN146" s="2">
        <f t="shared" si="11"/>
        <v>96.899189814814818</v>
      </c>
    </row>
    <row r="147" spans="1:40" x14ac:dyDescent="0.35">
      <c r="A147" s="14" t="s">
        <v>27</v>
      </c>
      <c r="B147" s="14" t="s">
        <v>94</v>
      </c>
      <c r="C147" s="14" t="s">
        <v>73</v>
      </c>
      <c r="D147" s="14" t="s">
        <v>937</v>
      </c>
      <c r="E147" s="14" t="s">
        <v>938</v>
      </c>
      <c r="F147" s="14" t="s">
        <v>32</v>
      </c>
      <c r="G147" s="14" t="s">
        <v>312</v>
      </c>
      <c r="H147" s="14" t="s">
        <v>964</v>
      </c>
      <c r="I147" s="14"/>
      <c r="J147" s="14" t="s">
        <v>557</v>
      </c>
      <c r="K147" s="14" t="s">
        <v>1033</v>
      </c>
      <c r="L147" s="14" t="s">
        <v>967</v>
      </c>
      <c r="M147" s="14">
        <v>1</v>
      </c>
      <c r="N147" s="14" t="e">
        <v>#N/A</v>
      </c>
      <c r="O147" s="14" t="e">
        <v>#N/A</v>
      </c>
      <c r="P147" s="14"/>
      <c r="Q147" s="14" t="s">
        <v>872</v>
      </c>
      <c r="R147" s="14" t="s">
        <v>36</v>
      </c>
      <c r="S147" s="14" t="s">
        <v>279</v>
      </c>
      <c r="T147" s="14" t="s">
        <v>939</v>
      </c>
      <c r="U147" s="14" t="s">
        <v>940</v>
      </c>
      <c r="V147" s="22">
        <v>46182.668414351851</v>
      </c>
      <c r="W147" s="22">
        <v>46188.645833333336</v>
      </c>
      <c r="X147" s="15">
        <v>8607.48</v>
      </c>
      <c r="Y147" s="22">
        <v>46182.668414351851</v>
      </c>
      <c r="Z147" s="15">
        <v>0</v>
      </c>
      <c r="AA147" s="15">
        <v>30</v>
      </c>
      <c r="AB147" s="15" t="s">
        <v>40</v>
      </c>
      <c r="AC147" s="22">
        <v>46182.671944444446</v>
      </c>
      <c r="AD147" s="22">
        <v>46188.643807870372</v>
      </c>
      <c r="AE147" s="15">
        <v>8599.48</v>
      </c>
      <c r="AF147" s="15">
        <v>8</v>
      </c>
      <c r="AG147" s="15">
        <v>2880</v>
      </c>
      <c r="AH147" s="15" t="s">
        <v>40</v>
      </c>
      <c r="AI147" s="14"/>
      <c r="AJ147" s="16">
        <v>129600</v>
      </c>
      <c r="AK147" s="1">
        <f t="shared" si="8"/>
        <v>129592</v>
      </c>
      <c r="AL147" s="2">
        <f t="shared" si="9"/>
        <v>99.993827160493836</v>
      </c>
      <c r="AM147" s="16">
        <f t="shared" si="10"/>
        <v>121000.52</v>
      </c>
      <c r="AN147" s="2">
        <f t="shared" si="11"/>
        <v>93.364598765432106</v>
      </c>
    </row>
    <row r="148" spans="1:40" x14ac:dyDescent="0.35">
      <c r="A148" s="14" t="s">
        <v>27</v>
      </c>
      <c r="B148" s="14" t="s">
        <v>28</v>
      </c>
      <c r="C148" s="14" t="s">
        <v>127</v>
      </c>
      <c r="D148" s="14" t="s">
        <v>357</v>
      </c>
      <c r="E148" s="14" t="s">
        <v>193</v>
      </c>
      <c r="F148" s="14" t="s">
        <v>32</v>
      </c>
      <c r="G148" s="14" t="s">
        <v>33</v>
      </c>
      <c r="H148" s="14" t="s">
        <v>964</v>
      </c>
      <c r="I148" s="14" t="s">
        <v>359</v>
      </c>
      <c r="J148" s="14" t="s">
        <v>359</v>
      </c>
      <c r="K148" s="14" t="s">
        <v>204</v>
      </c>
      <c r="L148" s="14" t="s">
        <v>973</v>
      </c>
      <c r="M148" s="14" t="s">
        <v>358</v>
      </c>
      <c r="N148" s="14" t="s">
        <v>990</v>
      </c>
      <c r="O148" s="14" t="s">
        <v>991</v>
      </c>
      <c r="P148" s="14"/>
      <c r="Q148" s="14" t="s">
        <v>196</v>
      </c>
      <c r="R148" s="14" t="s">
        <v>36</v>
      </c>
      <c r="S148" s="14" t="s">
        <v>37</v>
      </c>
      <c r="T148" s="14" t="s">
        <v>64</v>
      </c>
      <c r="U148" s="14" t="s">
        <v>129</v>
      </c>
      <c r="V148" s="22">
        <v>46182.681493055556</v>
      </c>
      <c r="W148" s="22">
        <v>46192.5</v>
      </c>
      <c r="X148" s="15">
        <v>14138.65</v>
      </c>
      <c r="Y148" s="22">
        <v>46182.681504629632</v>
      </c>
      <c r="Z148" s="15">
        <v>0.02</v>
      </c>
      <c r="AA148" s="15">
        <v>30</v>
      </c>
      <c r="AB148" s="15" t="s">
        <v>40</v>
      </c>
      <c r="AC148" s="22">
        <v>46182.695196759261</v>
      </c>
      <c r="AD148" s="22">
        <v>46192.470567129632</v>
      </c>
      <c r="AE148" s="15">
        <v>14076.53</v>
      </c>
      <c r="AF148" s="15">
        <v>62.12</v>
      </c>
      <c r="AG148" s="15">
        <v>120</v>
      </c>
      <c r="AH148" s="15" t="s">
        <v>40</v>
      </c>
      <c r="AI148" s="14"/>
      <c r="AJ148" s="16">
        <v>129600</v>
      </c>
      <c r="AK148" s="1">
        <f t="shared" si="8"/>
        <v>129537.88</v>
      </c>
      <c r="AL148" s="2">
        <f t="shared" si="9"/>
        <v>99.952067901234571</v>
      </c>
      <c r="AM148" s="16">
        <f t="shared" si="10"/>
        <v>115523.47</v>
      </c>
      <c r="AN148" s="2">
        <f t="shared" si="11"/>
        <v>89.138479938271615</v>
      </c>
    </row>
    <row r="149" spans="1:40" x14ac:dyDescent="0.35">
      <c r="A149" s="14" t="s">
        <v>27</v>
      </c>
      <c r="B149" s="14" t="s">
        <v>28</v>
      </c>
      <c r="C149" s="14" t="s">
        <v>127</v>
      </c>
      <c r="D149" s="14" t="s">
        <v>780</v>
      </c>
      <c r="E149" s="14" t="s">
        <v>193</v>
      </c>
      <c r="F149" s="14" t="s">
        <v>32</v>
      </c>
      <c r="G149" s="14" t="s">
        <v>33</v>
      </c>
      <c r="H149" s="14" t="s">
        <v>964</v>
      </c>
      <c r="I149" s="14" t="s">
        <v>387</v>
      </c>
      <c r="J149" s="14" t="s">
        <v>387</v>
      </c>
      <c r="K149" s="14" t="s">
        <v>204</v>
      </c>
      <c r="L149" s="14" t="s">
        <v>973</v>
      </c>
      <c r="M149" s="14" t="s">
        <v>386</v>
      </c>
      <c r="N149" s="14" t="s">
        <v>974</v>
      </c>
      <c r="O149" s="14" t="s">
        <v>991</v>
      </c>
      <c r="P149" s="14"/>
      <c r="Q149" s="14" t="s">
        <v>196</v>
      </c>
      <c r="R149" s="14" t="s">
        <v>36</v>
      </c>
      <c r="S149" s="14" t="s">
        <v>37</v>
      </c>
      <c r="T149" s="14" t="s">
        <v>64</v>
      </c>
      <c r="U149" s="14" t="s">
        <v>129</v>
      </c>
      <c r="V149" s="22">
        <v>46182.697002314817</v>
      </c>
      <c r="W149" s="22">
        <v>46204.541666666664</v>
      </c>
      <c r="X149" s="15">
        <v>31456.32</v>
      </c>
      <c r="Y149" s="22">
        <v>46182.697013888886</v>
      </c>
      <c r="Z149" s="15">
        <v>0.02</v>
      </c>
      <c r="AA149" s="15">
        <v>30</v>
      </c>
      <c r="AB149" s="15" t="s">
        <v>40</v>
      </c>
      <c r="AC149" s="22">
        <v>46182.709965277776</v>
      </c>
      <c r="AD149" s="22">
        <v>46204.510069444441</v>
      </c>
      <c r="AE149" s="15">
        <v>31392.15</v>
      </c>
      <c r="AF149" s="15">
        <v>64.17</v>
      </c>
      <c r="AG149" s="15">
        <v>120</v>
      </c>
      <c r="AH149" s="15" t="s">
        <v>40</v>
      </c>
      <c r="AI149" s="14"/>
      <c r="AJ149" s="16">
        <v>129600</v>
      </c>
      <c r="AK149" s="1">
        <f t="shared" si="8"/>
        <v>129535.83</v>
      </c>
      <c r="AL149" s="2">
        <f t="shared" si="9"/>
        <v>99.950486111111118</v>
      </c>
      <c r="AM149" s="16">
        <f t="shared" si="10"/>
        <v>98207.85</v>
      </c>
      <c r="AN149" s="2">
        <f t="shared" si="11"/>
        <v>75.777662037037047</v>
      </c>
    </row>
    <row r="150" spans="1:40" x14ac:dyDescent="0.35">
      <c r="A150" s="14" t="s">
        <v>27</v>
      </c>
      <c r="B150" s="14" t="s">
        <v>94</v>
      </c>
      <c r="C150" s="14" t="s">
        <v>73</v>
      </c>
      <c r="D150" s="14" t="s">
        <v>876</v>
      </c>
      <c r="E150" s="14" t="s">
        <v>877</v>
      </c>
      <c r="F150" s="14" t="s">
        <v>32</v>
      </c>
      <c r="G150" s="14" t="s">
        <v>312</v>
      </c>
      <c r="H150" s="14" t="s">
        <v>964</v>
      </c>
      <c r="I150" s="14"/>
      <c r="J150" s="3" t="s">
        <v>948</v>
      </c>
      <c r="K150" s="14" t="s">
        <v>1010</v>
      </c>
      <c r="L150" s="14" t="s">
        <v>967</v>
      </c>
      <c r="M150" s="14" t="s">
        <v>1011</v>
      </c>
      <c r="N150" s="14" t="s">
        <v>1007</v>
      </c>
      <c r="O150" s="14" t="s">
        <v>1008</v>
      </c>
      <c r="P150" s="14"/>
      <c r="Q150" s="14" t="s">
        <v>872</v>
      </c>
      <c r="R150" s="14" t="s">
        <v>36</v>
      </c>
      <c r="S150" s="14" t="s">
        <v>279</v>
      </c>
      <c r="T150" s="14" t="s">
        <v>878</v>
      </c>
      <c r="U150" s="14" t="s">
        <v>879</v>
      </c>
      <c r="V150" s="22">
        <v>46183.546111111114</v>
      </c>
      <c r="W150" s="22">
        <v>46188.84375</v>
      </c>
      <c r="X150" s="15">
        <v>7628.6</v>
      </c>
      <c r="Y150" s="22">
        <v>46183.546111111114</v>
      </c>
      <c r="Z150" s="15">
        <v>0</v>
      </c>
      <c r="AA150" s="15">
        <v>30</v>
      </c>
      <c r="AB150" s="15" t="s">
        <v>40</v>
      </c>
      <c r="AC150" s="22">
        <v>46183.710960648146</v>
      </c>
      <c r="AD150" s="22">
        <v>46188.841620370367</v>
      </c>
      <c r="AE150" s="15">
        <v>7388.15</v>
      </c>
      <c r="AF150" s="15">
        <v>240.45</v>
      </c>
      <c r="AG150" s="15">
        <v>2880</v>
      </c>
      <c r="AH150" s="15" t="s">
        <v>40</v>
      </c>
      <c r="AI150" s="14"/>
      <c r="AJ150" s="16">
        <v>129600</v>
      </c>
      <c r="AK150" s="1">
        <f t="shared" si="8"/>
        <v>129359.55</v>
      </c>
      <c r="AL150" s="2">
        <f t="shared" si="9"/>
        <v>99.814467592592592</v>
      </c>
      <c r="AM150" s="16">
        <f t="shared" si="10"/>
        <v>122211.85</v>
      </c>
      <c r="AN150" s="2">
        <f t="shared" si="11"/>
        <v>94.299266975308655</v>
      </c>
    </row>
    <row r="151" spans="1:40" x14ac:dyDescent="0.35">
      <c r="A151" s="14" t="s">
        <v>27</v>
      </c>
      <c r="B151" s="14" t="s">
        <v>94</v>
      </c>
      <c r="C151" s="14" t="s">
        <v>65</v>
      </c>
      <c r="D151" s="14" t="s">
        <v>880</v>
      </c>
      <c r="E151" s="14" t="s">
        <v>881</v>
      </c>
      <c r="F151" s="14" t="s">
        <v>32</v>
      </c>
      <c r="G151" s="14" t="s">
        <v>312</v>
      </c>
      <c r="H151" s="14" t="s">
        <v>964</v>
      </c>
      <c r="I151" s="14"/>
      <c r="J151" s="3" t="s">
        <v>949</v>
      </c>
      <c r="K151" s="14" t="s">
        <v>1012</v>
      </c>
      <c r="L151" s="14" t="s">
        <v>967</v>
      </c>
      <c r="M151" s="14" t="s">
        <v>1013</v>
      </c>
      <c r="N151" s="14" t="s">
        <v>1007</v>
      </c>
      <c r="O151" s="14" t="s">
        <v>1008</v>
      </c>
      <c r="P151" s="14"/>
      <c r="Q151" s="14" t="s">
        <v>872</v>
      </c>
      <c r="R151" s="14" t="s">
        <v>36</v>
      </c>
      <c r="S151" s="14" t="s">
        <v>279</v>
      </c>
      <c r="T151" s="14" t="s">
        <v>882</v>
      </c>
      <c r="U151" s="14" t="s">
        <v>883</v>
      </c>
      <c r="V151" s="22">
        <v>46183.560856481483</v>
      </c>
      <c r="W151" s="22">
        <v>46190.51666666667</v>
      </c>
      <c r="X151" s="15">
        <v>10016.370000000001</v>
      </c>
      <c r="Y151" s="22">
        <v>46183.560844907406</v>
      </c>
      <c r="Z151" s="15">
        <v>0</v>
      </c>
      <c r="AA151" s="15">
        <v>30</v>
      </c>
      <c r="AB151" s="15" t="s">
        <v>40</v>
      </c>
      <c r="AC151" s="22">
        <v>46183.710856481484</v>
      </c>
      <c r="AD151" s="22">
        <v>46190.515439814815</v>
      </c>
      <c r="AE151" s="15">
        <v>9798.6</v>
      </c>
      <c r="AF151" s="15">
        <v>217.77</v>
      </c>
      <c r="AG151" s="15">
        <v>2880</v>
      </c>
      <c r="AH151" s="15" t="s">
        <v>40</v>
      </c>
      <c r="AI151" s="14"/>
      <c r="AJ151" s="16">
        <v>129600</v>
      </c>
      <c r="AK151" s="1">
        <f t="shared" si="8"/>
        <v>129382.23</v>
      </c>
      <c r="AL151" s="2">
        <f t="shared" si="9"/>
        <v>99.831967592592591</v>
      </c>
      <c r="AM151" s="16">
        <f t="shared" si="10"/>
        <v>119801.4</v>
      </c>
      <c r="AN151" s="2">
        <f t="shared" si="11"/>
        <v>92.439351851851853</v>
      </c>
    </row>
    <row r="152" spans="1:40" x14ac:dyDescent="0.35">
      <c r="A152" s="14" t="s">
        <v>27</v>
      </c>
      <c r="B152" s="14" t="s">
        <v>28</v>
      </c>
      <c r="C152" s="14" t="s">
        <v>127</v>
      </c>
      <c r="D152" s="14" t="s">
        <v>730</v>
      </c>
      <c r="E152" s="14" t="s">
        <v>193</v>
      </c>
      <c r="F152" s="14" t="s">
        <v>32</v>
      </c>
      <c r="G152" s="14" t="s">
        <v>33</v>
      </c>
      <c r="H152" s="14" t="s">
        <v>964</v>
      </c>
      <c r="I152" s="14" t="s">
        <v>294</v>
      </c>
      <c r="J152" s="14" t="s">
        <v>294</v>
      </c>
      <c r="K152" s="14" t="s">
        <v>204</v>
      </c>
      <c r="L152" s="14" t="s">
        <v>973</v>
      </c>
      <c r="M152" s="14" t="s">
        <v>293</v>
      </c>
      <c r="N152" s="14" t="s">
        <v>974</v>
      </c>
      <c r="O152" s="14" t="s">
        <v>991</v>
      </c>
      <c r="P152" s="14"/>
      <c r="Q152" s="14" t="s">
        <v>196</v>
      </c>
      <c r="R152" s="14" t="s">
        <v>36</v>
      </c>
      <c r="S152" s="14" t="s">
        <v>37</v>
      </c>
      <c r="T152" s="14" t="s">
        <v>64</v>
      </c>
      <c r="U152" s="14" t="s">
        <v>129</v>
      </c>
      <c r="V152" s="22">
        <v>46183.731747685182</v>
      </c>
      <c r="W152" s="22">
        <v>46185.5</v>
      </c>
      <c r="X152" s="15">
        <v>2546.2800000000002</v>
      </c>
      <c r="Y152" s="22">
        <v>46183.731759259259</v>
      </c>
      <c r="Z152" s="15">
        <v>0.02</v>
      </c>
      <c r="AA152" s="15">
        <v>30</v>
      </c>
      <c r="AB152" s="15" t="s">
        <v>40</v>
      </c>
      <c r="AC152" s="22">
        <v>46183.73400462963</v>
      </c>
      <c r="AD152" s="22">
        <v>46185.462523148148</v>
      </c>
      <c r="AE152" s="15">
        <v>2489.0700000000002</v>
      </c>
      <c r="AF152" s="15">
        <v>57.22</v>
      </c>
      <c r="AG152" s="15">
        <v>120</v>
      </c>
      <c r="AH152" s="15" t="s">
        <v>40</v>
      </c>
      <c r="AI152" s="14"/>
      <c r="AJ152" s="16">
        <v>129600</v>
      </c>
      <c r="AK152" s="1">
        <f t="shared" si="8"/>
        <v>129542.78</v>
      </c>
      <c r="AL152" s="2">
        <f t="shared" si="9"/>
        <v>99.955848765432094</v>
      </c>
      <c r="AM152" s="16">
        <f t="shared" si="10"/>
        <v>127110.93</v>
      </c>
      <c r="AN152" s="2">
        <f t="shared" si="11"/>
        <v>98.079421296296289</v>
      </c>
    </row>
    <row r="153" spans="1:40" x14ac:dyDescent="0.35">
      <c r="A153" s="14" t="s">
        <v>27</v>
      </c>
      <c r="B153" s="14" t="s">
        <v>28</v>
      </c>
      <c r="C153" s="14" t="s">
        <v>127</v>
      </c>
      <c r="D153" s="14" t="s">
        <v>192</v>
      </c>
      <c r="E153" s="14" t="s">
        <v>193</v>
      </c>
      <c r="F153" s="14" t="s">
        <v>32</v>
      </c>
      <c r="G153" s="14" t="s">
        <v>33</v>
      </c>
      <c r="H153" s="14" t="s">
        <v>964</v>
      </c>
      <c r="I153" s="14" t="s">
        <v>195</v>
      </c>
      <c r="J153" s="14" t="s">
        <v>195</v>
      </c>
      <c r="K153" s="14" t="s">
        <v>204</v>
      </c>
      <c r="L153" s="14" t="s">
        <v>973</v>
      </c>
      <c r="M153" s="14" t="s">
        <v>194</v>
      </c>
      <c r="N153" s="14" t="s">
        <v>974</v>
      </c>
      <c r="O153" s="14" t="s">
        <v>991</v>
      </c>
      <c r="P153" s="14"/>
      <c r="Q153" s="14" t="s">
        <v>196</v>
      </c>
      <c r="R153" s="14" t="s">
        <v>36</v>
      </c>
      <c r="S153" s="14" t="s">
        <v>37</v>
      </c>
      <c r="T153" s="14" t="s">
        <v>64</v>
      </c>
      <c r="U153" s="14" t="s">
        <v>129</v>
      </c>
      <c r="V153" s="22">
        <v>46183.731782407405</v>
      </c>
      <c r="W153" s="22">
        <v>46185.5</v>
      </c>
      <c r="X153" s="15">
        <v>2546.23</v>
      </c>
      <c r="Y153" s="22">
        <v>46183.731793981482</v>
      </c>
      <c r="Z153" s="15">
        <v>0.02</v>
      </c>
      <c r="AA153" s="15">
        <v>30</v>
      </c>
      <c r="AB153" s="15" t="s">
        <v>40</v>
      </c>
      <c r="AC153" s="22">
        <v>46183.735590277778</v>
      </c>
      <c r="AD153" s="22">
        <v>46185.464490740742</v>
      </c>
      <c r="AE153" s="15">
        <v>2489.62</v>
      </c>
      <c r="AF153" s="15">
        <v>56.62</v>
      </c>
      <c r="AG153" s="15">
        <v>120</v>
      </c>
      <c r="AH153" s="15" t="s">
        <v>40</v>
      </c>
      <c r="AI153" s="14"/>
      <c r="AJ153" s="16">
        <v>129600</v>
      </c>
      <c r="AK153" s="1">
        <f t="shared" si="8"/>
        <v>129543.38</v>
      </c>
      <c r="AL153" s="2">
        <f t="shared" si="9"/>
        <v>99.956311728395065</v>
      </c>
      <c r="AM153" s="16">
        <f t="shared" si="10"/>
        <v>127110.38</v>
      </c>
      <c r="AN153" s="2">
        <f t="shared" si="11"/>
        <v>98.078996913580255</v>
      </c>
    </row>
    <row r="154" spans="1:40" x14ac:dyDescent="0.35">
      <c r="A154" s="14" t="s">
        <v>27</v>
      </c>
      <c r="B154" s="14" t="s">
        <v>28</v>
      </c>
      <c r="C154" s="14" t="s">
        <v>127</v>
      </c>
      <c r="D154" s="14" t="s">
        <v>798</v>
      </c>
      <c r="E154" s="14" t="s">
        <v>193</v>
      </c>
      <c r="F154" s="14" t="s">
        <v>32</v>
      </c>
      <c r="G154" s="14" t="s">
        <v>33</v>
      </c>
      <c r="H154" s="14" t="s">
        <v>964</v>
      </c>
      <c r="I154" s="14" t="s">
        <v>284</v>
      </c>
      <c r="J154" s="14" t="s">
        <v>284</v>
      </c>
      <c r="K154" s="14" t="s">
        <v>204</v>
      </c>
      <c r="L154" s="14" t="s">
        <v>973</v>
      </c>
      <c r="M154" s="14" t="s">
        <v>283</v>
      </c>
      <c r="N154" s="14" t="s">
        <v>974</v>
      </c>
      <c r="O154" s="14" t="s">
        <v>991</v>
      </c>
      <c r="P154" s="14"/>
      <c r="Q154" s="14" t="s">
        <v>196</v>
      </c>
      <c r="R154" s="14" t="s">
        <v>36</v>
      </c>
      <c r="S154" s="14" t="s">
        <v>37</v>
      </c>
      <c r="T154" s="14" t="s">
        <v>64</v>
      </c>
      <c r="U154" s="14" t="s">
        <v>129</v>
      </c>
      <c r="V154" s="22">
        <v>46183.731782407405</v>
      </c>
      <c r="W154" s="22">
        <v>46185.5</v>
      </c>
      <c r="X154" s="15">
        <v>2546.23</v>
      </c>
      <c r="Y154" s="22">
        <v>46183.731793981482</v>
      </c>
      <c r="Z154" s="15">
        <v>0.02</v>
      </c>
      <c r="AA154" s="15">
        <v>30</v>
      </c>
      <c r="AB154" s="15" t="s">
        <v>40</v>
      </c>
      <c r="AC154" s="22">
        <v>46183.734814814816</v>
      </c>
      <c r="AD154" s="22">
        <v>46185.463414351849</v>
      </c>
      <c r="AE154" s="15">
        <v>2489.1799999999998</v>
      </c>
      <c r="AF154" s="15">
        <v>57.05</v>
      </c>
      <c r="AG154" s="15">
        <v>120</v>
      </c>
      <c r="AH154" s="15" t="s">
        <v>40</v>
      </c>
      <c r="AI154" s="14"/>
      <c r="AJ154" s="16">
        <v>129600</v>
      </c>
      <c r="AK154" s="1">
        <f t="shared" si="8"/>
        <v>129542.95</v>
      </c>
      <c r="AL154" s="2">
        <f t="shared" si="9"/>
        <v>99.955979938271597</v>
      </c>
      <c r="AM154" s="16">
        <f t="shared" si="10"/>
        <v>127110.82</v>
      </c>
      <c r="AN154" s="2">
        <f t="shared" si="11"/>
        <v>98.079336419753091</v>
      </c>
    </row>
    <row r="155" spans="1:40" x14ac:dyDescent="0.35">
      <c r="A155" s="14" t="s">
        <v>27</v>
      </c>
      <c r="B155" s="14" t="s">
        <v>28</v>
      </c>
      <c r="C155" s="14" t="s">
        <v>100</v>
      </c>
      <c r="D155" s="14" t="s">
        <v>527</v>
      </c>
      <c r="E155" s="14" t="s">
        <v>193</v>
      </c>
      <c r="F155" s="14" t="s">
        <v>32</v>
      </c>
      <c r="G155" s="14" t="s">
        <v>33</v>
      </c>
      <c r="H155" s="14" t="s">
        <v>964</v>
      </c>
      <c r="I155" s="14" t="s">
        <v>240</v>
      </c>
      <c r="J155" s="14" t="s">
        <v>240</v>
      </c>
      <c r="K155" s="14" t="s">
        <v>204</v>
      </c>
      <c r="L155" s="14" t="s">
        <v>973</v>
      </c>
      <c r="M155" s="14" t="s">
        <v>239</v>
      </c>
      <c r="N155" s="14" t="s">
        <v>990</v>
      </c>
      <c r="O155" s="14" t="s">
        <v>991</v>
      </c>
      <c r="P155" s="14"/>
      <c r="Q155" s="14" t="s">
        <v>196</v>
      </c>
      <c r="R155" s="14" t="s">
        <v>36</v>
      </c>
      <c r="S155" s="14" t="s">
        <v>390</v>
      </c>
      <c r="T155" s="14" t="s">
        <v>391</v>
      </c>
      <c r="U155" s="14" t="s">
        <v>392</v>
      </c>
      <c r="V155" s="22">
        <v>46183.959062499998</v>
      </c>
      <c r="W155" s="22">
        <v>46188.479861111111</v>
      </c>
      <c r="X155" s="15">
        <v>6509.95</v>
      </c>
      <c r="Y155" s="22">
        <v>46183.959074074075</v>
      </c>
      <c r="Z155" s="15">
        <v>0.02</v>
      </c>
      <c r="AA155" s="15">
        <v>30</v>
      </c>
      <c r="AB155" s="15" t="s">
        <v>40</v>
      </c>
      <c r="AC155" s="22">
        <v>46183.965057870373</v>
      </c>
      <c r="AD155" s="22">
        <v>46188.978784722225</v>
      </c>
      <c r="AE155" s="15">
        <v>7219.77</v>
      </c>
      <c r="AF155" s="15">
        <v>-709.82</v>
      </c>
      <c r="AG155" s="15">
        <v>120</v>
      </c>
      <c r="AH155" s="15" t="s">
        <v>40</v>
      </c>
      <c r="AI155" s="14"/>
      <c r="AJ155" s="16">
        <v>129600</v>
      </c>
      <c r="AK155" s="1">
        <f t="shared" si="8"/>
        <v>130309.82</v>
      </c>
      <c r="AL155" s="2">
        <f t="shared" si="9"/>
        <v>100.54770061728395</v>
      </c>
      <c r="AM155" s="16">
        <f t="shared" si="10"/>
        <v>122380.23</v>
      </c>
      <c r="AN155" s="2">
        <f t="shared" si="11"/>
        <v>94.429189814814805</v>
      </c>
    </row>
    <row r="156" spans="1:40" x14ac:dyDescent="0.35">
      <c r="A156" s="14" t="s">
        <v>27</v>
      </c>
      <c r="B156" s="14" t="s">
        <v>28</v>
      </c>
      <c r="C156" s="14" t="s">
        <v>65</v>
      </c>
      <c r="D156" s="14" t="s">
        <v>217</v>
      </c>
      <c r="E156" s="14" t="s">
        <v>218</v>
      </c>
      <c r="F156" s="14" t="s">
        <v>32</v>
      </c>
      <c r="G156" s="14" t="s">
        <v>33</v>
      </c>
      <c r="H156" s="14" t="s">
        <v>963</v>
      </c>
      <c r="I156" s="14" t="s">
        <v>220</v>
      </c>
      <c r="J156" s="14" t="s">
        <v>220</v>
      </c>
      <c r="K156" s="14" t="s">
        <v>999</v>
      </c>
      <c r="L156" s="14" t="s">
        <v>967</v>
      </c>
      <c r="M156" s="14" t="s">
        <v>219</v>
      </c>
      <c r="N156" s="14" t="s">
        <v>992</v>
      </c>
      <c r="O156" s="14" t="s">
        <v>978</v>
      </c>
      <c r="P156" s="14"/>
      <c r="Q156" s="14" t="s">
        <v>196</v>
      </c>
      <c r="R156" s="14" t="s">
        <v>36</v>
      </c>
      <c r="S156" s="14" t="s">
        <v>221</v>
      </c>
      <c r="T156" s="14" t="s">
        <v>222</v>
      </c>
      <c r="U156" s="14" t="s">
        <v>223</v>
      </c>
      <c r="V156" s="22">
        <v>46184.381956018522</v>
      </c>
      <c r="W156" s="22">
        <v>46189.673611111109</v>
      </c>
      <c r="X156" s="15">
        <v>7619.98</v>
      </c>
      <c r="Y156" s="22">
        <v>46184.381956018522</v>
      </c>
      <c r="Z156" s="15">
        <v>0</v>
      </c>
      <c r="AA156" s="15">
        <v>30</v>
      </c>
      <c r="AB156" s="15" t="s">
        <v>40</v>
      </c>
      <c r="AC156" s="22">
        <v>46184.384780092594</v>
      </c>
      <c r="AD156" s="22">
        <v>46189.672546296293</v>
      </c>
      <c r="AE156" s="15">
        <v>7614.38</v>
      </c>
      <c r="AF156" s="15">
        <v>5.6</v>
      </c>
      <c r="AG156" s="15">
        <v>120</v>
      </c>
      <c r="AH156" s="15" t="s">
        <v>40</v>
      </c>
      <c r="AI156" s="14"/>
      <c r="AJ156" s="16">
        <v>129600</v>
      </c>
      <c r="AK156" s="1">
        <f t="shared" si="8"/>
        <v>129594.4</v>
      </c>
      <c r="AL156" s="2">
        <f t="shared" si="9"/>
        <v>99.995679012345676</v>
      </c>
      <c r="AM156" s="16">
        <f t="shared" si="10"/>
        <v>121985.62</v>
      </c>
      <c r="AN156" s="2">
        <f t="shared" si="11"/>
        <v>94.124706790123454</v>
      </c>
    </row>
    <row r="157" spans="1:40" x14ac:dyDescent="0.35">
      <c r="A157" s="14" t="s">
        <v>27</v>
      </c>
      <c r="B157" s="14" t="s">
        <v>28</v>
      </c>
      <c r="C157" s="14" t="s">
        <v>65</v>
      </c>
      <c r="D157" s="14" t="s">
        <v>262</v>
      </c>
      <c r="E157" s="14" t="s">
        <v>218</v>
      </c>
      <c r="F157" s="14" t="s">
        <v>32</v>
      </c>
      <c r="G157" s="14" t="s">
        <v>33</v>
      </c>
      <c r="H157" s="14" t="s">
        <v>963</v>
      </c>
      <c r="I157" s="14" t="s">
        <v>220</v>
      </c>
      <c r="J157" s="14" t="s">
        <v>220</v>
      </c>
      <c r="K157" s="14" t="s">
        <v>999</v>
      </c>
      <c r="L157" s="14" t="s">
        <v>967</v>
      </c>
      <c r="M157" s="14" t="s">
        <v>219</v>
      </c>
      <c r="N157" s="14" t="s">
        <v>992</v>
      </c>
      <c r="O157" s="14" t="s">
        <v>978</v>
      </c>
      <c r="P157" s="14"/>
      <c r="Q157" s="14" t="s">
        <v>196</v>
      </c>
      <c r="R157" s="14" t="s">
        <v>36</v>
      </c>
      <c r="S157" s="14" t="s">
        <v>221</v>
      </c>
      <c r="T157" s="14" t="s">
        <v>234</v>
      </c>
      <c r="U157" s="14" t="s">
        <v>263</v>
      </c>
      <c r="V157" s="22">
        <v>46184.388275462959</v>
      </c>
      <c r="W157" s="22">
        <v>46189.672222222223</v>
      </c>
      <c r="X157" s="15">
        <v>7608.88</v>
      </c>
      <c r="Y157" s="22">
        <v>46184.388287037036</v>
      </c>
      <c r="Z157" s="15">
        <v>0.02</v>
      </c>
      <c r="AA157" s="15">
        <v>30</v>
      </c>
      <c r="AB157" s="15" t="s">
        <v>40</v>
      </c>
      <c r="AC157" s="22">
        <v>46184.410405092596</v>
      </c>
      <c r="AD157" s="22">
        <v>46189.670416666668</v>
      </c>
      <c r="AE157" s="15">
        <v>7574.42</v>
      </c>
      <c r="AF157" s="15">
        <v>34.47</v>
      </c>
      <c r="AG157" s="15">
        <v>120</v>
      </c>
      <c r="AH157" s="15" t="s">
        <v>40</v>
      </c>
      <c r="AI157" s="14"/>
      <c r="AJ157" s="16">
        <v>129600</v>
      </c>
      <c r="AK157" s="1">
        <f t="shared" si="8"/>
        <v>129565.53</v>
      </c>
      <c r="AL157" s="2">
        <f t="shared" si="9"/>
        <v>99.973402777777778</v>
      </c>
      <c r="AM157" s="16">
        <f t="shared" si="10"/>
        <v>122025.58</v>
      </c>
      <c r="AN157" s="2">
        <f t="shared" si="11"/>
        <v>94.155540123456788</v>
      </c>
    </row>
    <row r="158" spans="1:40" x14ac:dyDescent="0.35">
      <c r="A158" s="14" t="s">
        <v>27</v>
      </c>
      <c r="B158" s="14" t="s">
        <v>28</v>
      </c>
      <c r="C158" s="14" t="s">
        <v>47</v>
      </c>
      <c r="D158" s="14" t="s">
        <v>282</v>
      </c>
      <c r="E158" s="14" t="s">
        <v>193</v>
      </c>
      <c r="F158" s="14" t="s">
        <v>32</v>
      </c>
      <c r="G158" s="14" t="s">
        <v>33</v>
      </c>
      <c r="H158" s="14" t="s">
        <v>964</v>
      </c>
      <c r="I158" s="14" t="s">
        <v>284</v>
      </c>
      <c r="J158" s="14" t="s">
        <v>284</v>
      </c>
      <c r="K158" s="14" t="s">
        <v>204</v>
      </c>
      <c r="L158" s="14" t="s">
        <v>973</v>
      </c>
      <c r="M158" s="14" t="s">
        <v>283</v>
      </c>
      <c r="N158" s="14" t="s">
        <v>974</v>
      </c>
      <c r="O158" s="14" t="s">
        <v>991</v>
      </c>
      <c r="P158" s="14"/>
      <c r="Q158" s="14" t="s">
        <v>196</v>
      </c>
      <c r="R158" s="14" t="s">
        <v>36</v>
      </c>
      <c r="S158" s="14" t="s">
        <v>37</v>
      </c>
      <c r="T158" s="14" t="s">
        <v>132</v>
      </c>
      <c r="U158" s="14" t="s">
        <v>37</v>
      </c>
      <c r="V158" s="22">
        <v>46184.436666666668</v>
      </c>
      <c r="W158" s="22">
        <v>46184.444444444445</v>
      </c>
      <c r="X158" s="15">
        <v>11.2</v>
      </c>
      <c r="Y158" s="22">
        <v>46184.436678240738</v>
      </c>
      <c r="Z158" s="15">
        <v>0.02</v>
      </c>
      <c r="AA158" s="15">
        <v>30</v>
      </c>
      <c r="AB158" s="15" t="s">
        <v>40</v>
      </c>
      <c r="AC158" s="22">
        <v>46184.438564814816</v>
      </c>
      <c r="AD158" s="22">
        <v>46184.443460648145</v>
      </c>
      <c r="AE158" s="15">
        <v>7.05</v>
      </c>
      <c r="AF158" s="15">
        <v>4.1500000000000004</v>
      </c>
      <c r="AG158" s="15">
        <v>120</v>
      </c>
      <c r="AH158" s="15" t="s">
        <v>40</v>
      </c>
      <c r="AI158" s="14"/>
      <c r="AJ158" s="16">
        <v>129600</v>
      </c>
      <c r="AK158" s="1">
        <f t="shared" si="8"/>
        <v>129595.85</v>
      </c>
      <c r="AL158" s="2">
        <f t="shared" si="9"/>
        <v>99.996797839506186</v>
      </c>
      <c r="AM158" s="16">
        <f t="shared" si="10"/>
        <v>129592.95</v>
      </c>
      <c r="AN158" s="2">
        <f t="shared" si="11"/>
        <v>99.994560185185193</v>
      </c>
    </row>
    <row r="159" spans="1:40" x14ac:dyDescent="0.35">
      <c r="A159" s="14" t="s">
        <v>27</v>
      </c>
      <c r="B159" s="14" t="s">
        <v>28</v>
      </c>
      <c r="C159" s="14" t="s">
        <v>47</v>
      </c>
      <c r="D159" s="14" t="s">
        <v>419</v>
      </c>
      <c r="E159" s="14" t="s">
        <v>193</v>
      </c>
      <c r="F159" s="14" t="s">
        <v>32</v>
      </c>
      <c r="G159" s="14" t="s">
        <v>33</v>
      </c>
      <c r="H159" s="14" t="s">
        <v>964</v>
      </c>
      <c r="I159" s="14" t="s">
        <v>266</v>
      </c>
      <c r="J159" s="14" t="s">
        <v>266</v>
      </c>
      <c r="K159" s="14" t="s">
        <v>204</v>
      </c>
      <c r="L159" s="14" t="s">
        <v>973</v>
      </c>
      <c r="M159" s="14" t="s">
        <v>265</v>
      </c>
      <c r="N159" s="14" t="s">
        <v>974</v>
      </c>
      <c r="O159" s="14" t="s">
        <v>991</v>
      </c>
      <c r="P159" s="14"/>
      <c r="Q159" s="14" t="s">
        <v>196</v>
      </c>
      <c r="R159" s="14" t="s">
        <v>36</v>
      </c>
      <c r="S159" s="14" t="s">
        <v>37</v>
      </c>
      <c r="T159" s="14" t="s">
        <v>420</v>
      </c>
      <c r="U159" s="14" t="s">
        <v>37</v>
      </c>
      <c r="V159" s="22">
        <v>46184.436724537038</v>
      </c>
      <c r="W159" s="22">
        <v>46184.444444444445</v>
      </c>
      <c r="X159" s="15">
        <v>11.12</v>
      </c>
      <c r="Y159" s="22">
        <v>46184.436736111114</v>
      </c>
      <c r="Z159" s="15">
        <v>0.02</v>
      </c>
      <c r="AA159" s="15">
        <v>30</v>
      </c>
      <c r="AB159" s="15" t="s">
        <v>40</v>
      </c>
      <c r="AC159" s="22">
        <v>46184.439745370371</v>
      </c>
      <c r="AD159" s="22">
        <v>46184.441365740742</v>
      </c>
      <c r="AE159" s="15">
        <v>2.33</v>
      </c>
      <c r="AF159" s="15">
        <v>8.7799999999999994</v>
      </c>
      <c r="AG159" s="15">
        <v>120</v>
      </c>
      <c r="AH159" s="15" t="s">
        <v>40</v>
      </c>
      <c r="AI159" s="14"/>
      <c r="AJ159" s="16">
        <v>129600</v>
      </c>
      <c r="AK159" s="1">
        <f t="shared" si="8"/>
        <v>129591.22</v>
      </c>
      <c r="AL159" s="2">
        <f t="shared" si="9"/>
        <v>99.993225308641982</v>
      </c>
      <c r="AM159" s="16">
        <f t="shared" si="10"/>
        <v>129597.67</v>
      </c>
      <c r="AN159" s="2">
        <f t="shared" si="11"/>
        <v>99.998202160493818</v>
      </c>
    </row>
    <row r="160" spans="1:40" x14ac:dyDescent="0.35">
      <c r="A160" s="14" t="s">
        <v>27</v>
      </c>
      <c r="B160" s="14" t="s">
        <v>28</v>
      </c>
      <c r="C160" s="14" t="s">
        <v>47</v>
      </c>
      <c r="D160" s="14" t="s">
        <v>308</v>
      </c>
      <c r="E160" s="14" t="s">
        <v>193</v>
      </c>
      <c r="F160" s="14" t="s">
        <v>32</v>
      </c>
      <c r="G160" s="14" t="s">
        <v>33</v>
      </c>
      <c r="H160" s="14" t="s">
        <v>964</v>
      </c>
      <c r="I160" s="14" t="s">
        <v>266</v>
      </c>
      <c r="J160" s="14" t="s">
        <v>266</v>
      </c>
      <c r="K160" s="14" t="s">
        <v>204</v>
      </c>
      <c r="L160" s="14" t="s">
        <v>973</v>
      </c>
      <c r="M160" s="14" t="s">
        <v>265</v>
      </c>
      <c r="N160" s="14" t="s">
        <v>974</v>
      </c>
      <c r="O160" s="14" t="s">
        <v>991</v>
      </c>
      <c r="P160" s="14"/>
      <c r="Q160" s="14" t="s">
        <v>196</v>
      </c>
      <c r="R160" s="14" t="s">
        <v>36</v>
      </c>
      <c r="S160" s="14" t="s">
        <v>37</v>
      </c>
      <c r="T160" s="14" t="s">
        <v>37</v>
      </c>
      <c r="U160" s="14" t="s">
        <v>37</v>
      </c>
      <c r="V160" s="22">
        <v>46184.446608796294</v>
      </c>
      <c r="W160" s="22">
        <v>46184.756944444445</v>
      </c>
      <c r="X160" s="15">
        <v>446.88</v>
      </c>
      <c r="Y160" s="22">
        <v>46184.446620370371</v>
      </c>
      <c r="Z160" s="15">
        <v>0.02</v>
      </c>
      <c r="AA160" s="15">
        <v>30</v>
      </c>
      <c r="AB160" s="15" t="s">
        <v>40</v>
      </c>
      <c r="AC160" s="22">
        <v>46184.447835648149</v>
      </c>
      <c r="AD160" s="22">
        <v>46184.755613425928</v>
      </c>
      <c r="AE160" s="15">
        <v>443.2</v>
      </c>
      <c r="AF160" s="15">
        <v>3.68</v>
      </c>
      <c r="AG160" s="15">
        <v>120</v>
      </c>
      <c r="AH160" s="15" t="s">
        <v>40</v>
      </c>
      <c r="AI160" s="14"/>
      <c r="AJ160" s="16">
        <v>129600</v>
      </c>
      <c r="AK160" s="1">
        <f t="shared" si="8"/>
        <v>129596.32</v>
      </c>
      <c r="AL160" s="2">
        <f t="shared" si="9"/>
        <v>99.997160493827167</v>
      </c>
      <c r="AM160" s="16">
        <f t="shared" si="10"/>
        <v>129156.8</v>
      </c>
      <c r="AN160" s="2">
        <f t="shared" si="11"/>
        <v>99.658024691358023</v>
      </c>
    </row>
    <row r="161" spans="1:40" x14ac:dyDescent="0.35">
      <c r="A161" s="14" t="s">
        <v>27</v>
      </c>
      <c r="B161" s="14" t="s">
        <v>28</v>
      </c>
      <c r="C161" s="14" t="s">
        <v>127</v>
      </c>
      <c r="D161" s="14" t="s">
        <v>526</v>
      </c>
      <c r="E161" s="14" t="s">
        <v>193</v>
      </c>
      <c r="F161" s="14" t="s">
        <v>32</v>
      </c>
      <c r="G161" s="14" t="s">
        <v>33</v>
      </c>
      <c r="H161" s="14" t="s">
        <v>964</v>
      </c>
      <c r="I161" s="14" t="s">
        <v>284</v>
      </c>
      <c r="J161" s="14" t="s">
        <v>284</v>
      </c>
      <c r="K161" s="14" t="s">
        <v>204</v>
      </c>
      <c r="L161" s="14" t="s">
        <v>973</v>
      </c>
      <c r="M161" s="14" t="s">
        <v>283</v>
      </c>
      <c r="N161" s="14" t="s">
        <v>974</v>
      </c>
      <c r="O161" s="14" t="s">
        <v>991</v>
      </c>
      <c r="P161" s="14"/>
      <c r="Q161" s="14" t="s">
        <v>196</v>
      </c>
      <c r="R161" s="14" t="s">
        <v>36</v>
      </c>
      <c r="S161" s="14" t="s">
        <v>37</v>
      </c>
      <c r="T161" s="14" t="s">
        <v>64</v>
      </c>
      <c r="U161" s="14" t="s">
        <v>129</v>
      </c>
      <c r="V161" s="22">
        <v>46184.465381944443</v>
      </c>
      <c r="W161" s="22">
        <v>46185.5</v>
      </c>
      <c r="X161" s="15">
        <v>1489.85</v>
      </c>
      <c r="Y161" s="22">
        <v>46184.465405092589</v>
      </c>
      <c r="Z161" s="15">
        <v>0.03</v>
      </c>
      <c r="AA161" s="15">
        <v>30</v>
      </c>
      <c r="AB161" s="15" t="s">
        <v>40</v>
      </c>
      <c r="AC161" s="22">
        <v>46184.466400462959</v>
      </c>
      <c r="AD161" s="22">
        <v>46185.465266203704</v>
      </c>
      <c r="AE161" s="15">
        <v>1438.37</v>
      </c>
      <c r="AF161" s="15">
        <v>51.48</v>
      </c>
      <c r="AG161" s="15">
        <v>120</v>
      </c>
      <c r="AH161" s="15" t="s">
        <v>40</v>
      </c>
      <c r="AI161" s="14"/>
      <c r="AJ161" s="16">
        <v>129600</v>
      </c>
      <c r="AK161" s="1">
        <f t="shared" si="8"/>
        <v>129548.52</v>
      </c>
      <c r="AL161" s="2">
        <f t="shared" si="9"/>
        <v>99.96027777777779</v>
      </c>
      <c r="AM161" s="16">
        <f t="shared" si="10"/>
        <v>128161.63</v>
      </c>
      <c r="AN161" s="2">
        <f t="shared" si="11"/>
        <v>98.89014660493828</v>
      </c>
    </row>
    <row r="162" spans="1:40" x14ac:dyDescent="0.35">
      <c r="A162" s="14" t="s">
        <v>27</v>
      </c>
      <c r="B162" s="14" t="s">
        <v>28</v>
      </c>
      <c r="C162" s="14" t="s">
        <v>127</v>
      </c>
      <c r="D162" s="14" t="s">
        <v>603</v>
      </c>
      <c r="E162" s="14" t="s">
        <v>193</v>
      </c>
      <c r="F162" s="14" t="s">
        <v>32</v>
      </c>
      <c r="G162" s="14" t="s">
        <v>33</v>
      </c>
      <c r="H162" s="14" t="s">
        <v>964</v>
      </c>
      <c r="I162" s="14" t="s">
        <v>266</v>
      </c>
      <c r="J162" s="14" t="s">
        <v>266</v>
      </c>
      <c r="K162" s="14" t="s">
        <v>204</v>
      </c>
      <c r="L162" s="14" t="s">
        <v>973</v>
      </c>
      <c r="M162" s="14" t="s">
        <v>265</v>
      </c>
      <c r="N162" s="14" t="s">
        <v>974</v>
      </c>
      <c r="O162" s="14" t="s">
        <v>991</v>
      </c>
      <c r="P162" s="14"/>
      <c r="Q162" s="14" t="s">
        <v>196</v>
      </c>
      <c r="R162" s="14" t="s">
        <v>36</v>
      </c>
      <c r="S162" s="14" t="s">
        <v>37</v>
      </c>
      <c r="T162" s="14" t="s">
        <v>64</v>
      </c>
      <c r="U162" s="14" t="s">
        <v>129</v>
      </c>
      <c r="V162" s="22">
        <v>46184.465381944443</v>
      </c>
      <c r="W162" s="22">
        <v>46185.5</v>
      </c>
      <c r="X162" s="15">
        <v>1489.85</v>
      </c>
      <c r="Y162" s="22">
        <v>46184.465405092589</v>
      </c>
      <c r="Z162" s="15">
        <v>0.03</v>
      </c>
      <c r="AA162" s="15">
        <v>30</v>
      </c>
      <c r="AB162" s="15" t="s">
        <v>40</v>
      </c>
      <c r="AC162" s="22">
        <v>46184.467430555553</v>
      </c>
      <c r="AD162" s="22">
        <v>46185.466041666667</v>
      </c>
      <c r="AE162" s="15">
        <v>1438</v>
      </c>
      <c r="AF162" s="15">
        <v>51.85</v>
      </c>
      <c r="AG162" s="15">
        <v>120</v>
      </c>
      <c r="AH162" s="15" t="s">
        <v>40</v>
      </c>
      <c r="AI162" s="14"/>
      <c r="AJ162" s="16">
        <v>129600</v>
      </c>
      <c r="AK162" s="1">
        <f t="shared" si="8"/>
        <v>129548.15</v>
      </c>
      <c r="AL162" s="2">
        <f t="shared" si="9"/>
        <v>99.959992283950612</v>
      </c>
      <c r="AM162" s="16">
        <f t="shared" si="10"/>
        <v>128162</v>
      </c>
      <c r="AN162" s="2">
        <f t="shared" si="11"/>
        <v>98.89043209876543</v>
      </c>
    </row>
    <row r="163" spans="1:40" x14ac:dyDescent="0.35">
      <c r="A163" s="14" t="s">
        <v>27</v>
      </c>
      <c r="B163" s="14" t="s">
        <v>94</v>
      </c>
      <c r="C163" s="14" t="s">
        <v>73</v>
      </c>
      <c r="D163" s="14" t="s">
        <v>941</v>
      </c>
      <c r="E163" s="14" t="s">
        <v>942</v>
      </c>
      <c r="F163" s="14" t="s">
        <v>32</v>
      </c>
      <c r="G163" s="14" t="s">
        <v>312</v>
      </c>
      <c r="H163" s="14" t="s">
        <v>964</v>
      </c>
      <c r="I163" s="14" t="s">
        <v>943</v>
      </c>
      <c r="J163" s="14" t="s">
        <v>943</v>
      </c>
      <c r="K163" s="14" t="s">
        <v>1014</v>
      </c>
      <c r="L163" s="14" t="s">
        <v>967</v>
      </c>
      <c r="M163" s="14" t="s">
        <v>1014</v>
      </c>
      <c r="N163" s="14" t="s">
        <v>1015</v>
      </c>
      <c r="O163" s="14" t="s">
        <v>1008</v>
      </c>
      <c r="P163" s="14"/>
      <c r="Q163" s="14" t="s">
        <v>872</v>
      </c>
      <c r="R163" s="14" t="s">
        <v>36</v>
      </c>
      <c r="S163" s="14" t="s">
        <v>279</v>
      </c>
      <c r="T163" s="14" t="s">
        <v>944</v>
      </c>
      <c r="U163" s="14" t="s">
        <v>945</v>
      </c>
      <c r="V163" s="22">
        <v>46184.545081018521</v>
      </c>
      <c r="W163" s="22">
        <v>46185.776388888888</v>
      </c>
      <c r="X163" s="15">
        <v>1773.08</v>
      </c>
      <c r="Y163" s="22">
        <v>46184.545069444444</v>
      </c>
      <c r="Z163" s="15">
        <v>0</v>
      </c>
      <c r="AA163" s="15">
        <v>30</v>
      </c>
      <c r="AB163" s="15" t="s">
        <v>40</v>
      </c>
      <c r="AC163" s="22">
        <v>46184.556446759256</v>
      </c>
      <c r="AD163" s="22">
        <v>46185.773564814815</v>
      </c>
      <c r="AE163" s="15">
        <v>1752.65</v>
      </c>
      <c r="AF163" s="15">
        <v>20.43</v>
      </c>
      <c r="AG163" s="15">
        <v>2880</v>
      </c>
      <c r="AH163" s="15" t="s">
        <v>40</v>
      </c>
      <c r="AI163" s="14"/>
      <c r="AJ163" s="16">
        <v>129600</v>
      </c>
      <c r="AK163" s="1">
        <f t="shared" si="8"/>
        <v>129579.57</v>
      </c>
      <c r="AL163" s="2">
        <f t="shared" si="9"/>
        <v>99.984236111111116</v>
      </c>
      <c r="AM163" s="16">
        <f t="shared" si="10"/>
        <v>127847.35</v>
      </c>
      <c r="AN163" s="2">
        <f t="shared" si="11"/>
        <v>98.647646604938274</v>
      </c>
    </row>
    <row r="164" spans="1:40" x14ac:dyDescent="0.35">
      <c r="A164" s="14" t="s">
        <v>27</v>
      </c>
      <c r="B164" s="14" t="s">
        <v>28</v>
      </c>
      <c r="C164" s="14" t="s">
        <v>127</v>
      </c>
      <c r="D164" s="14" t="s">
        <v>781</v>
      </c>
      <c r="E164" s="14" t="s">
        <v>193</v>
      </c>
      <c r="F164" s="14" t="s">
        <v>32</v>
      </c>
      <c r="G164" s="14" t="s">
        <v>33</v>
      </c>
      <c r="H164" s="14" t="s">
        <v>964</v>
      </c>
      <c r="I164" s="14" t="s">
        <v>195</v>
      </c>
      <c r="J164" s="14" t="s">
        <v>195</v>
      </c>
      <c r="K164" s="14" t="s">
        <v>204</v>
      </c>
      <c r="L164" s="14" t="s">
        <v>973</v>
      </c>
      <c r="M164" s="14" t="s">
        <v>194</v>
      </c>
      <c r="N164" s="14" t="s">
        <v>974</v>
      </c>
      <c r="O164" s="14" t="s">
        <v>991</v>
      </c>
      <c r="P164" s="14"/>
      <c r="Q164" s="14" t="s">
        <v>196</v>
      </c>
      <c r="R164" s="14" t="s">
        <v>36</v>
      </c>
      <c r="S164" s="14" t="s">
        <v>37</v>
      </c>
      <c r="T164" s="14" t="s">
        <v>64</v>
      </c>
      <c r="U164" s="14" t="s">
        <v>129</v>
      </c>
      <c r="V164" s="22">
        <v>46184.58699074074</v>
      </c>
      <c r="W164" s="22">
        <v>46185.5</v>
      </c>
      <c r="X164" s="15">
        <v>1314.73</v>
      </c>
      <c r="Y164" s="22">
        <v>46184.587002314816</v>
      </c>
      <c r="Z164" s="15">
        <v>0.02</v>
      </c>
      <c r="AA164" s="15">
        <v>30</v>
      </c>
      <c r="AB164" s="15" t="s">
        <v>40</v>
      </c>
      <c r="AC164" s="22">
        <v>46184.596655092595</v>
      </c>
      <c r="AD164" s="22">
        <v>46185.467048611114</v>
      </c>
      <c r="AE164" s="15">
        <v>1253.3699999999999</v>
      </c>
      <c r="AF164" s="15">
        <v>61.37</v>
      </c>
      <c r="AG164" s="15">
        <v>120</v>
      </c>
      <c r="AH164" s="15" t="s">
        <v>40</v>
      </c>
      <c r="AI164" s="14"/>
      <c r="AJ164" s="16">
        <v>129600</v>
      </c>
      <c r="AK164" s="1">
        <f t="shared" si="8"/>
        <v>129538.63</v>
      </c>
      <c r="AL164" s="2">
        <f t="shared" si="9"/>
        <v>99.95264660493828</v>
      </c>
      <c r="AM164" s="16">
        <f t="shared" si="10"/>
        <v>128346.63</v>
      </c>
      <c r="AN164" s="2">
        <f t="shared" si="11"/>
        <v>99.03289351851852</v>
      </c>
    </row>
    <row r="165" spans="1:40" x14ac:dyDescent="0.35">
      <c r="A165" s="14" t="s">
        <v>27</v>
      </c>
      <c r="B165" s="14" t="s">
        <v>28</v>
      </c>
      <c r="C165" s="14" t="s">
        <v>127</v>
      </c>
      <c r="D165" s="14" t="s">
        <v>442</v>
      </c>
      <c r="E165" s="14" t="s">
        <v>193</v>
      </c>
      <c r="F165" s="14" t="s">
        <v>32</v>
      </c>
      <c r="G165" s="14" t="s">
        <v>33</v>
      </c>
      <c r="H165" s="14" t="s">
        <v>964</v>
      </c>
      <c r="I165" s="14" t="s">
        <v>284</v>
      </c>
      <c r="J165" s="14" t="s">
        <v>284</v>
      </c>
      <c r="K165" s="14" t="s">
        <v>204</v>
      </c>
      <c r="L165" s="14" t="s">
        <v>973</v>
      </c>
      <c r="M165" s="14" t="s">
        <v>283</v>
      </c>
      <c r="N165" s="14" t="s">
        <v>974</v>
      </c>
      <c r="O165" s="14" t="s">
        <v>991</v>
      </c>
      <c r="P165" s="14"/>
      <c r="Q165" s="14" t="s">
        <v>196</v>
      </c>
      <c r="R165" s="14" t="s">
        <v>36</v>
      </c>
      <c r="S165" s="14" t="s">
        <v>37</v>
      </c>
      <c r="T165" s="14" t="s">
        <v>64</v>
      </c>
      <c r="U165" s="14" t="s">
        <v>129</v>
      </c>
      <c r="V165" s="22">
        <v>46184.587106481478</v>
      </c>
      <c r="W165" s="22">
        <v>46185.5</v>
      </c>
      <c r="X165" s="15">
        <v>1314.57</v>
      </c>
      <c r="Y165" s="22">
        <v>46184.587118055555</v>
      </c>
      <c r="Z165" s="15">
        <v>0.02</v>
      </c>
      <c r="AA165" s="15">
        <v>30</v>
      </c>
      <c r="AB165" s="15" t="s">
        <v>40</v>
      </c>
      <c r="AC165" s="22">
        <v>46184.597488425927</v>
      </c>
      <c r="AD165" s="22">
        <v>46185.467893518522</v>
      </c>
      <c r="AE165" s="15">
        <v>1253.3800000000001</v>
      </c>
      <c r="AF165" s="15">
        <v>61.18</v>
      </c>
      <c r="AG165" s="15">
        <v>120</v>
      </c>
      <c r="AH165" s="15" t="s">
        <v>40</v>
      </c>
      <c r="AI165" s="14"/>
      <c r="AJ165" s="16">
        <v>129600</v>
      </c>
      <c r="AK165" s="1">
        <f t="shared" si="8"/>
        <v>129538.82</v>
      </c>
      <c r="AL165" s="2">
        <f t="shared" si="9"/>
        <v>99.952793209876546</v>
      </c>
      <c r="AM165" s="16">
        <f t="shared" si="10"/>
        <v>128346.62</v>
      </c>
      <c r="AN165" s="2">
        <f t="shared" si="11"/>
        <v>99.032885802469124</v>
      </c>
    </row>
    <row r="166" spans="1:40" x14ac:dyDescent="0.35">
      <c r="A166" s="14" t="s">
        <v>27</v>
      </c>
      <c r="B166" s="14" t="s">
        <v>94</v>
      </c>
      <c r="C166" s="14" t="s">
        <v>65</v>
      </c>
      <c r="D166" s="14" t="s">
        <v>897</v>
      </c>
      <c r="E166" s="14" t="s">
        <v>898</v>
      </c>
      <c r="F166" s="14" t="s">
        <v>32</v>
      </c>
      <c r="G166" s="14" t="s">
        <v>312</v>
      </c>
      <c r="H166" s="14" t="s">
        <v>964</v>
      </c>
      <c r="I166" s="14"/>
      <c r="J166" s="14" t="s">
        <v>899</v>
      </c>
      <c r="K166" s="14" t="s">
        <v>1016</v>
      </c>
      <c r="L166" s="14" t="s">
        <v>967</v>
      </c>
      <c r="M166" s="14" t="s">
        <v>1016</v>
      </c>
      <c r="N166" s="14" t="s">
        <v>1017</v>
      </c>
      <c r="O166" s="14" t="s">
        <v>1018</v>
      </c>
      <c r="P166" s="14"/>
      <c r="Q166" s="14" t="s">
        <v>872</v>
      </c>
      <c r="R166" s="14" t="s">
        <v>36</v>
      </c>
      <c r="S166" s="14" t="s">
        <v>279</v>
      </c>
      <c r="T166" s="14" t="s">
        <v>900</v>
      </c>
      <c r="U166" s="14" t="s">
        <v>901</v>
      </c>
      <c r="V166" s="22">
        <v>46185.577361111114</v>
      </c>
      <c r="W166" s="22">
        <v>46188.663194444445</v>
      </c>
      <c r="X166" s="15">
        <v>4443.6000000000004</v>
      </c>
      <c r="Y166" s="22">
        <v>46185.577361111114</v>
      </c>
      <c r="Z166" s="15">
        <v>0</v>
      </c>
      <c r="AA166" s="15">
        <v>30</v>
      </c>
      <c r="AB166" s="15" t="s">
        <v>40</v>
      </c>
      <c r="AC166" s="22">
        <v>46185.583379629628</v>
      </c>
      <c r="AD166" s="22">
        <v>46188.656689814816</v>
      </c>
      <c r="AE166" s="15">
        <v>4425.57</v>
      </c>
      <c r="AF166" s="15">
        <v>18.03</v>
      </c>
      <c r="AG166" s="15">
        <v>2880</v>
      </c>
      <c r="AH166" s="15" t="s">
        <v>40</v>
      </c>
      <c r="AI166" s="14"/>
      <c r="AJ166" s="16">
        <v>129600</v>
      </c>
      <c r="AK166" s="1">
        <f t="shared" si="8"/>
        <v>129581.97</v>
      </c>
      <c r="AL166" s="2">
        <f t="shared" si="9"/>
        <v>99.986087962962969</v>
      </c>
      <c r="AM166" s="16">
        <f t="shared" si="10"/>
        <v>125174.43</v>
      </c>
      <c r="AN166" s="2">
        <f t="shared" si="11"/>
        <v>96.585208333333327</v>
      </c>
    </row>
    <row r="167" spans="1:40" x14ac:dyDescent="0.35">
      <c r="A167" s="14" t="s">
        <v>27</v>
      </c>
      <c r="B167" s="14" t="s">
        <v>28</v>
      </c>
      <c r="C167" s="14" t="s">
        <v>100</v>
      </c>
      <c r="D167" s="14" t="s">
        <v>389</v>
      </c>
      <c r="E167" s="14" t="s">
        <v>193</v>
      </c>
      <c r="F167" s="14" t="s">
        <v>32</v>
      </c>
      <c r="G167" s="14" t="s">
        <v>33</v>
      </c>
      <c r="H167" s="14" t="s">
        <v>964</v>
      </c>
      <c r="I167" s="14" t="s">
        <v>240</v>
      </c>
      <c r="J167" s="14" t="s">
        <v>240</v>
      </c>
      <c r="K167" s="14" t="s">
        <v>204</v>
      </c>
      <c r="L167" s="14" t="s">
        <v>973</v>
      </c>
      <c r="M167" s="14" t="s">
        <v>239</v>
      </c>
      <c r="N167" s="14" t="s">
        <v>990</v>
      </c>
      <c r="O167" s="14" t="s">
        <v>991</v>
      </c>
      <c r="P167" s="14"/>
      <c r="Q167" s="14" t="s">
        <v>196</v>
      </c>
      <c r="R167" s="14" t="s">
        <v>36</v>
      </c>
      <c r="S167" s="14" t="s">
        <v>390</v>
      </c>
      <c r="T167" s="14" t="s">
        <v>391</v>
      </c>
      <c r="U167" s="14" t="s">
        <v>392</v>
      </c>
      <c r="V167" s="22">
        <v>46186.025868055556</v>
      </c>
      <c r="W167" s="22">
        <v>46188.481944444444</v>
      </c>
      <c r="X167" s="15">
        <v>3536.75</v>
      </c>
      <c r="Y167" s="22">
        <v>46186.025879629633</v>
      </c>
      <c r="Z167" s="15">
        <v>0.02</v>
      </c>
      <c r="AA167" s="15">
        <v>30</v>
      </c>
      <c r="AB167" s="15" t="s">
        <v>40</v>
      </c>
      <c r="AC167" s="22">
        <v>46186.040381944447</v>
      </c>
      <c r="AD167" s="22">
        <v>46188.980381944442</v>
      </c>
      <c r="AE167" s="15">
        <v>4233.6000000000004</v>
      </c>
      <c r="AF167" s="15">
        <v>-696.85</v>
      </c>
      <c r="AG167" s="15">
        <v>120</v>
      </c>
      <c r="AH167" s="15" t="s">
        <v>40</v>
      </c>
      <c r="AI167" s="14"/>
      <c r="AJ167" s="16">
        <v>129600</v>
      </c>
      <c r="AK167" s="1">
        <f t="shared" si="8"/>
        <v>130296.85</v>
      </c>
      <c r="AL167" s="2">
        <f t="shared" si="9"/>
        <v>100.53769290123458</v>
      </c>
      <c r="AM167" s="16">
        <f t="shared" si="10"/>
        <v>125366.39999999999</v>
      </c>
      <c r="AN167" s="2">
        <f t="shared" si="11"/>
        <v>96.73333333333332</v>
      </c>
    </row>
    <row r="168" spans="1:40" x14ac:dyDescent="0.35">
      <c r="A168" s="14" t="s">
        <v>27</v>
      </c>
      <c r="B168" s="14" t="s">
        <v>28</v>
      </c>
      <c r="C168" s="14" t="s">
        <v>100</v>
      </c>
      <c r="D168" s="14" t="s">
        <v>238</v>
      </c>
      <c r="E168" s="14" t="s">
        <v>193</v>
      </c>
      <c r="F168" s="14" t="s">
        <v>32</v>
      </c>
      <c r="G168" s="14" t="s">
        <v>33</v>
      </c>
      <c r="H168" s="14" t="s">
        <v>964</v>
      </c>
      <c r="I168" s="14" t="s">
        <v>240</v>
      </c>
      <c r="J168" s="14" t="s">
        <v>240</v>
      </c>
      <c r="K168" s="14" t="s">
        <v>204</v>
      </c>
      <c r="L168" s="14" t="s">
        <v>973</v>
      </c>
      <c r="M168" s="14" t="s">
        <v>239</v>
      </c>
      <c r="N168" s="14" t="s">
        <v>990</v>
      </c>
      <c r="O168" s="14" t="s">
        <v>991</v>
      </c>
      <c r="P168" s="14"/>
      <c r="Q168" s="14" t="s">
        <v>196</v>
      </c>
      <c r="R168" s="14" t="s">
        <v>36</v>
      </c>
      <c r="S168" s="14" t="s">
        <v>37</v>
      </c>
      <c r="T168" s="14" t="s">
        <v>105</v>
      </c>
      <c r="U168" s="14" t="s">
        <v>64</v>
      </c>
      <c r="V168" s="22">
        <v>46186.048043981478</v>
      </c>
      <c r="W168" s="22">
        <v>46188.482638888891</v>
      </c>
      <c r="X168" s="15">
        <v>3505.82</v>
      </c>
      <c r="Y168" s="22">
        <v>46186.048055555555</v>
      </c>
      <c r="Z168" s="15">
        <v>0.02</v>
      </c>
      <c r="AA168" s="15">
        <v>30</v>
      </c>
      <c r="AB168" s="15" t="s">
        <v>40</v>
      </c>
      <c r="AC168" s="22">
        <v>46186.055138888885</v>
      </c>
      <c r="AD168" s="22">
        <v>46188.981747685182</v>
      </c>
      <c r="AE168" s="15">
        <v>4214.32</v>
      </c>
      <c r="AF168" s="15">
        <v>-708.5</v>
      </c>
      <c r="AG168" s="15">
        <v>120</v>
      </c>
      <c r="AH168" s="15" t="s">
        <v>40</v>
      </c>
      <c r="AI168" s="14"/>
      <c r="AJ168" s="16">
        <v>129600</v>
      </c>
      <c r="AK168" s="1">
        <f t="shared" si="8"/>
        <v>130308.5</v>
      </c>
      <c r="AL168" s="2">
        <f t="shared" si="9"/>
        <v>100.54668209876543</v>
      </c>
      <c r="AM168" s="16">
        <f t="shared" si="10"/>
        <v>125385.68</v>
      </c>
      <c r="AN168" s="2">
        <f t="shared" si="11"/>
        <v>96.7482098765432</v>
      </c>
    </row>
    <row r="169" spans="1:40" x14ac:dyDescent="0.35">
      <c r="A169" s="14" t="s">
        <v>27</v>
      </c>
      <c r="B169" s="14" t="s">
        <v>28</v>
      </c>
      <c r="C169" s="14" t="s">
        <v>100</v>
      </c>
      <c r="D169" s="14" t="s">
        <v>596</v>
      </c>
      <c r="E169" s="14" t="s">
        <v>218</v>
      </c>
      <c r="F169" s="14" t="s">
        <v>32</v>
      </c>
      <c r="G169" s="14" t="s">
        <v>33</v>
      </c>
      <c r="H169" s="14" t="s">
        <v>963</v>
      </c>
      <c r="I169" s="14" t="s">
        <v>103</v>
      </c>
      <c r="J169" s="14" t="s">
        <v>103</v>
      </c>
      <c r="K169" s="14" t="s">
        <v>976</v>
      </c>
      <c r="L169" s="14" t="s">
        <v>967</v>
      </c>
      <c r="M169" s="14" t="s">
        <v>102</v>
      </c>
      <c r="N169" s="14" t="s">
        <v>977</v>
      </c>
      <c r="O169" s="14" t="s">
        <v>978</v>
      </c>
      <c r="P169" s="14"/>
      <c r="Q169" s="14" t="s">
        <v>196</v>
      </c>
      <c r="R169" s="14" t="s">
        <v>36</v>
      </c>
      <c r="S169" s="14" t="s">
        <v>104</v>
      </c>
      <c r="T169" s="14" t="s">
        <v>597</v>
      </c>
      <c r="U169" s="14" t="s">
        <v>598</v>
      </c>
      <c r="V169" s="22">
        <v>46186.205000000002</v>
      </c>
      <c r="W169" s="22">
        <v>46192.199305555558</v>
      </c>
      <c r="X169" s="15">
        <v>8631.7999999999993</v>
      </c>
      <c r="Y169" s="22">
        <v>46186.205011574071</v>
      </c>
      <c r="Z169" s="15">
        <v>0.02</v>
      </c>
      <c r="AA169" s="15">
        <v>30</v>
      </c>
      <c r="AB169" s="15" t="s">
        <v>40</v>
      </c>
      <c r="AC169" s="22">
        <v>46186.206805555557</v>
      </c>
      <c r="AD169" s="22">
        <v>46192.198993055557</v>
      </c>
      <c r="AE169" s="15">
        <v>8628.75</v>
      </c>
      <c r="AF169" s="15">
        <v>3.05</v>
      </c>
      <c r="AG169" s="15">
        <v>120</v>
      </c>
      <c r="AH169" s="15" t="s">
        <v>40</v>
      </c>
      <c r="AI169" s="14"/>
      <c r="AJ169" s="16">
        <v>129600</v>
      </c>
      <c r="AK169" s="1">
        <f t="shared" si="8"/>
        <v>129596.95</v>
      </c>
      <c r="AL169" s="2">
        <f t="shared" si="9"/>
        <v>99.997646604938268</v>
      </c>
      <c r="AM169" s="16">
        <f t="shared" si="10"/>
        <v>120971.25</v>
      </c>
      <c r="AN169" s="2">
        <f t="shared" si="11"/>
        <v>93.342013888888886</v>
      </c>
    </row>
    <row r="170" spans="1:40" x14ac:dyDescent="0.35">
      <c r="A170" s="14" t="s">
        <v>27</v>
      </c>
      <c r="B170" s="14" t="s">
        <v>28</v>
      </c>
      <c r="C170" s="14" t="s">
        <v>54</v>
      </c>
      <c r="D170" s="14" t="s">
        <v>619</v>
      </c>
      <c r="E170" s="14" t="s">
        <v>193</v>
      </c>
      <c r="F170" s="14" t="s">
        <v>32</v>
      </c>
      <c r="G170" s="14" t="s">
        <v>33</v>
      </c>
      <c r="H170" s="14" t="s">
        <v>964</v>
      </c>
      <c r="I170" s="14" t="s">
        <v>621</v>
      </c>
      <c r="J170" s="14" t="s">
        <v>621</v>
      </c>
      <c r="K170" s="14" t="s">
        <v>204</v>
      </c>
      <c r="L170" s="14" t="s">
        <v>973</v>
      </c>
      <c r="M170" s="14" t="s">
        <v>620</v>
      </c>
      <c r="N170" s="14" t="s">
        <v>974</v>
      </c>
      <c r="O170" s="14" t="s">
        <v>991</v>
      </c>
      <c r="P170" s="14"/>
      <c r="Q170" s="14" t="s">
        <v>196</v>
      </c>
      <c r="R170" s="14" t="s">
        <v>36</v>
      </c>
      <c r="S170" s="14" t="s">
        <v>104</v>
      </c>
      <c r="T170" s="14" t="s">
        <v>622</v>
      </c>
      <c r="U170" s="14" t="s">
        <v>267</v>
      </c>
      <c r="V170" s="22">
        <v>46186.254791666666</v>
      </c>
      <c r="W170" s="22">
        <v>46186.350694444445</v>
      </c>
      <c r="X170" s="15">
        <v>138.1</v>
      </c>
      <c r="Y170" s="22">
        <v>46186.254803240743</v>
      </c>
      <c r="Z170" s="15">
        <v>0.02</v>
      </c>
      <c r="AA170" s="15">
        <v>30</v>
      </c>
      <c r="AB170" s="15" t="s">
        <v>40</v>
      </c>
      <c r="AC170" s="22">
        <v>46186.289884259262</v>
      </c>
      <c r="AD170" s="22">
        <v>46186.346134259256</v>
      </c>
      <c r="AE170" s="15">
        <v>81</v>
      </c>
      <c r="AF170" s="15">
        <v>57.1</v>
      </c>
      <c r="AG170" s="15">
        <v>120</v>
      </c>
      <c r="AH170" s="15" t="s">
        <v>40</v>
      </c>
      <c r="AI170" s="14"/>
      <c r="AJ170" s="16">
        <v>129600</v>
      </c>
      <c r="AK170" s="1">
        <f t="shared" si="8"/>
        <v>129542.9</v>
      </c>
      <c r="AL170" s="2">
        <f t="shared" si="9"/>
        <v>99.955941358024688</v>
      </c>
      <c r="AM170" s="16">
        <f t="shared" si="10"/>
        <v>129519</v>
      </c>
      <c r="AN170" s="2">
        <f t="shared" si="11"/>
        <v>99.9375</v>
      </c>
    </row>
    <row r="171" spans="1:40" x14ac:dyDescent="0.35">
      <c r="A171" s="14" t="s">
        <v>27</v>
      </c>
      <c r="B171" s="14" t="s">
        <v>28</v>
      </c>
      <c r="C171" s="14" t="s">
        <v>54</v>
      </c>
      <c r="D171" s="14" t="s">
        <v>719</v>
      </c>
      <c r="E171" s="14" t="s">
        <v>193</v>
      </c>
      <c r="F171" s="14" t="s">
        <v>32</v>
      </c>
      <c r="G171" s="14" t="s">
        <v>33</v>
      </c>
      <c r="H171" s="14" t="s">
        <v>964</v>
      </c>
      <c r="I171" s="14" t="s">
        <v>721</v>
      </c>
      <c r="J171" s="14" t="s">
        <v>721</v>
      </c>
      <c r="K171" s="14" t="s">
        <v>204</v>
      </c>
      <c r="L171" s="14" t="s">
        <v>973</v>
      </c>
      <c r="M171" s="14" t="s">
        <v>720</v>
      </c>
      <c r="N171" s="14" t="s">
        <v>974</v>
      </c>
      <c r="O171" s="14" t="s">
        <v>991</v>
      </c>
      <c r="P171" s="14"/>
      <c r="Q171" s="14" t="s">
        <v>196</v>
      </c>
      <c r="R171" s="14" t="s">
        <v>36</v>
      </c>
      <c r="S171" s="14" t="s">
        <v>104</v>
      </c>
      <c r="T171" s="14" t="s">
        <v>622</v>
      </c>
      <c r="U171" s="14" t="s">
        <v>267</v>
      </c>
      <c r="V171" s="22">
        <v>46186.255127314813</v>
      </c>
      <c r="W171" s="22">
        <v>46186.350694444445</v>
      </c>
      <c r="X171" s="15">
        <v>137.62</v>
      </c>
      <c r="Y171" s="22">
        <v>46186.25513888889</v>
      </c>
      <c r="Z171" s="15">
        <v>0.02</v>
      </c>
      <c r="AA171" s="15">
        <v>30</v>
      </c>
      <c r="AB171" s="15" t="s">
        <v>40</v>
      </c>
      <c r="AC171" s="22">
        <v>46186.291539351849</v>
      </c>
      <c r="AD171" s="22">
        <v>46186.347743055558</v>
      </c>
      <c r="AE171" s="15">
        <v>80.930000000000007</v>
      </c>
      <c r="AF171" s="15">
        <v>56.68</v>
      </c>
      <c r="AG171" s="15">
        <v>120</v>
      </c>
      <c r="AH171" s="15" t="s">
        <v>40</v>
      </c>
      <c r="AI171" s="14"/>
      <c r="AJ171" s="16">
        <v>129600</v>
      </c>
      <c r="AK171" s="1">
        <f t="shared" si="8"/>
        <v>129543.32</v>
      </c>
      <c r="AL171" s="2">
        <f t="shared" si="9"/>
        <v>99.956265432098775</v>
      </c>
      <c r="AM171" s="16">
        <f t="shared" si="10"/>
        <v>129519.07</v>
      </c>
      <c r="AN171" s="2">
        <f t="shared" si="11"/>
        <v>99.937554012345686</v>
      </c>
    </row>
    <row r="172" spans="1:40" x14ac:dyDescent="0.35">
      <c r="A172" s="14" t="s">
        <v>27</v>
      </c>
      <c r="B172" s="14" t="s">
        <v>28</v>
      </c>
      <c r="C172" s="14" t="s">
        <v>54</v>
      </c>
      <c r="D172" s="14" t="s">
        <v>628</v>
      </c>
      <c r="E172" s="14" t="s">
        <v>193</v>
      </c>
      <c r="F172" s="14" t="s">
        <v>32</v>
      </c>
      <c r="G172" s="14" t="s">
        <v>33</v>
      </c>
      <c r="H172" s="14" t="s">
        <v>964</v>
      </c>
      <c r="I172" s="14" t="s">
        <v>630</v>
      </c>
      <c r="J172" s="14" t="s">
        <v>630</v>
      </c>
      <c r="K172" s="14" t="s">
        <v>204</v>
      </c>
      <c r="L172" s="14" t="s">
        <v>973</v>
      </c>
      <c r="M172" s="14" t="s">
        <v>629</v>
      </c>
      <c r="N172" s="14" t="s">
        <v>974</v>
      </c>
      <c r="O172" s="14" t="s">
        <v>991</v>
      </c>
      <c r="P172" s="14"/>
      <c r="Q172" s="14" t="s">
        <v>196</v>
      </c>
      <c r="R172" s="14" t="s">
        <v>36</v>
      </c>
      <c r="S172" s="14" t="s">
        <v>104</v>
      </c>
      <c r="T172" s="14"/>
      <c r="U172" s="14" t="s">
        <v>267</v>
      </c>
      <c r="V172" s="22">
        <v>46186.255358796298</v>
      </c>
      <c r="W172" s="22">
        <v>46186.350694444445</v>
      </c>
      <c r="X172" s="15">
        <v>137.28</v>
      </c>
      <c r="Y172" s="22">
        <v>46186.255358796298</v>
      </c>
      <c r="Z172" s="15">
        <v>0</v>
      </c>
      <c r="AA172" s="15">
        <v>30</v>
      </c>
      <c r="AB172" s="15" t="s">
        <v>40</v>
      </c>
      <c r="AC172" s="15"/>
      <c r="AD172" s="15"/>
      <c r="AE172" s="15">
        <v>0</v>
      </c>
      <c r="AF172" s="15">
        <v>137.28</v>
      </c>
      <c r="AG172" s="15">
        <v>120</v>
      </c>
      <c r="AH172" s="15" t="s">
        <v>268</v>
      </c>
      <c r="AI172" s="14"/>
      <c r="AJ172" s="16">
        <v>129600</v>
      </c>
      <c r="AK172" s="1">
        <f t="shared" si="8"/>
        <v>129462.72</v>
      </c>
      <c r="AL172" s="2">
        <f t="shared" si="9"/>
        <v>99.894074074074084</v>
      </c>
      <c r="AM172" s="16">
        <f t="shared" si="10"/>
        <v>129600</v>
      </c>
      <c r="AN172" s="2">
        <f t="shared" si="11"/>
        <v>100</v>
      </c>
    </row>
    <row r="173" spans="1:40" x14ac:dyDescent="0.35">
      <c r="A173" s="14" t="s">
        <v>27</v>
      </c>
      <c r="B173" s="14" t="s">
        <v>28</v>
      </c>
      <c r="C173" s="14" t="s">
        <v>54</v>
      </c>
      <c r="D173" s="14" t="s">
        <v>339</v>
      </c>
      <c r="E173" s="14" t="s">
        <v>193</v>
      </c>
      <c r="F173" s="14" t="s">
        <v>32</v>
      </c>
      <c r="G173" s="14" t="s">
        <v>33</v>
      </c>
      <c r="H173" s="14" t="s">
        <v>964</v>
      </c>
      <c r="I173" s="14" t="s">
        <v>341</v>
      </c>
      <c r="J173" s="14" t="s">
        <v>341</v>
      </c>
      <c r="K173" s="14" t="s">
        <v>204</v>
      </c>
      <c r="L173" s="14" t="s">
        <v>973</v>
      </c>
      <c r="M173" s="14" t="s">
        <v>340</v>
      </c>
      <c r="N173" s="14" t="s">
        <v>974</v>
      </c>
      <c r="O173" s="14" t="s">
        <v>991</v>
      </c>
      <c r="P173" s="14"/>
      <c r="Q173" s="14" t="s">
        <v>196</v>
      </c>
      <c r="R173" s="14" t="s">
        <v>36</v>
      </c>
      <c r="S173" s="14" t="s">
        <v>104</v>
      </c>
      <c r="T173" s="14"/>
      <c r="U173" s="14" t="s">
        <v>267</v>
      </c>
      <c r="V173" s="22">
        <v>46186.255578703705</v>
      </c>
      <c r="W173" s="22">
        <v>46186.351388888892</v>
      </c>
      <c r="X173" s="15">
        <v>137.97</v>
      </c>
      <c r="Y173" s="22">
        <v>46186.255590277775</v>
      </c>
      <c r="Z173" s="15">
        <v>0.02</v>
      </c>
      <c r="AA173" s="15">
        <v>30</v>
      </c>
      <c r="AB173" s="15" t="s">
        <v>40</v>
      </c>
      <c r="AC173" s="15"/>
      <c r="AD173" s="15"/>
      <c r="AE173" s="15">
        <v>0</v>
      </c>
      <c r="AF173" s="15">
        <v>137.97</v>
      </c>
      <c r="AG173" s="15">
        <v>120</v>
      </c>
      <c r="AH173" s="15" t="s">
        <v>268</v>
      </c>
      <c r="AI173" s="14"/>
      <c r="AJ173" s="16">
        <v>129600</v>
      </c>
      <c r="AK173" s="1">
        <f t="shared" si="8"/>
        <v>129462.03</v>
      </c>
      <c r="AL173" s="2">
        <f t="shared" si="9"/>
        <v>99.893541666666664</v>
      </c>
      <c r="AM173" s="16">
        <f t="shared" si="10"/>
        <v>129600</v>
      </c>
      <c r="AN173" s="2">
        <f t="shared" si="11"/>
        <v>100</v>
      </c>
    </row>
    <row r="174" spans="1:40" x14ac:dyDescent="0.35">
      <c r="A174" s="14" t="s">
        <v>27</v>
      </c>
      <c r="B174" s="14" t="s">
        <v>28</v>
      </c>
      <c r="C174" s="14" t="s">
        <v>54</v>
      </c>
      <c r="D174" s="14" t="s">
        <v>326</v>
      </c>
      <c r="E174" s="14" t="s">
        <v>193</v>
      </c>
      <c r="F174" s="14" t="s">
        <v>32</v>
      </c>
      <c r="G174" s="14" t="s">
        <v>33</v>
      </c>
      <c r="H174" s="14" t="s">
        <v>964</v>
      </c>
      <c r="I174" s="14" t="s">
        <v>328</v>
      </c>
      <c r="J174" s="14" t="s">
        <v>328</v>
      </c>
      <c r="K174" s="14" t="s">
        <v>204</v>
      </c>
      <c r="L174" s="14" t="s">
        <v>973</v>
      </c>
      <c r="M174" s="14" t="s">
        <v>327</v>
      </c>
      <c r="N174" s="14" t="s">
        <v>974</v>
      </c>
      <c r="O174" s="14" t="s">
        <v>991</v>
      </c>
      <c r="P174" s="14"/>
      <c r="Q174" s="14" t="s">
        <v>196</v>
      </c>
      <c r="R174" s="14" t="s">
        <v>36</v>
      </c>
      <c r="S174" s="14" t="s">
        <v>104</v>
      </c>
      <c r="T174" s="14"/>
      <c r="U174" s="14" t="s">
        <v>267</v>
      </c>
      <c r="V174" s="22">
        <v>46186.255706018521</v>
      </c>
      <c r="W174" s="22">
        <v>46186.35392361111</v>
      </c>
      <c r="X174" s="15">
        <v>141.43</v>
      </c>
      <c r="Y174" s="22">
        <v>46186.25571759259</v>
      </c>
      <c r="Z174" s="15">
        <v>0.02</v>
      </c>
      <c r="AA174" s="15">
        <v>30</v>
      </c>
      <c r="AB174" s="15" t="s">
        <v>40</v>
      </c>
      <c r="AC174" s="15"/>
      <c r="AD174" s="15"/>
      <c r="AE174" s="15">
        <v>0</v>
      </c>
      <c r="AF174" s="15">
        <v>141.43</v>
      </c>
      <c r="AG174" s="15">
        <v>120</v>
      </c>
      <c r="AH174" s="15" t="s">
        <v>268</v>
      </c>
      <c r="AI174" s="14"/>
      <c r="AJ174" s="16">
        <v>129600</v>
      </c>
      <c r="AK174" s="1">
        <f t="shared" si="8"/>
        <v>129458.57</v>
      </c>
      <c r="AL174" s="2">
        <f t="shared" si="9"/>
        <v>99.890871913580241</v>
      </c>
      <c r="AM174" s="16">
        <f t="shared" si="10"/>
        <v>129600</v>
      </c>
      <c r="AN174" s="2">
        <f t="shared" si="11"/>
        <v>100</v>
      </c>
    </row>
    <row r="175" spans="1:40" x14ac:dyDescent="0.35">
      <c r="A175" s="14" t="s">
        <v>27</v>
      </c>
      <c r="B175" s="14" t="s">
        <v>28</v>
      </c>
      <c r="C175" s="14" t="s">
        <v>54</v>
      </c>
      <c r="D175" s="14" t="s">
        <v>403</v>
      </c>
      <c r="E175" s="14" t="s">
        <v>193</v>
      </c>
      <c r="F175" s="14" t="s">
        <v>32</v>
      </c>
      <c r="G175" s="14" t="s">
        <v>33</v>
      </c>
      <c r="H175" s="14" t="s">
        <v>964</v>
      </c>
      <c r="I175" s="14" t="s">
        <v>405</v>
      </c>
      <c r="J175" s="14" t="s">
        <v>405</v>
      </c>
      <c r="K175" s="14" t="s">
        <v>204</v>
      </c>
      <c r="L175" s="14" t="s">
        <v>973</v>
      </c>
      <c r="M175" s="14" t="s">
        <v>404</v>
      </c>
      <c r="N175" s="14" t="s">
        <v>974</v>
      </c>
      <c r="O175" s="14" t="s">
        <v>991</v>
      </c>
      <c r="P175" s="14"/>
      <c r="Q175" s="14" t="s">
        <v>196</v>
      </c>
      <c r="R175" s="14" t="s">
        <v>36</v>
      </c>
      <c r="S175" s="14" t="s">
        <v>104</v>
      </c>
      <c r="T175" s="14"/>
      <c r="U175" s="14" t="s">
        <v>267</v>
      </c>
      <c r="V175" s="22">
        <v>46186.255706018521</v>
      </c>
      <c r="W175" s="22">
        <v>46186.355069444442</v>
      </c>
      <c r="X175" s="15">
        <v>143.08000000000001</v>
      </c>
      <c r="Y175" s="22">
        <v>46186.25571759259</v>
      </c>
      <c r="Z175" s="15">
        <v>0.02</v>
      </c>
      <c r="AA175" s="15">
        <v>30</v>
      </c>
      <c r="AB175" s="15" t="s">
        <v>40</v>
      </c>
      <c r="AC175" s="15"/>
      <c r="AD175" s="15"/>
      <c r="AE175" s="15">
        <v>0</v>
      </c>
      <c r="AF175" s="15">
        <v>143.08000000000001</v>
      </c>
      <c r="AG175" s="15">
        <v>120</v>
      </c>
      <c r="AH175" s="15" t="s">
        <v>268</v>
      </c>
      <c r="AI175" s="14"/>
      <c r="AJ175" s="16">
        <v>129600</v>
      </c>
      <c r="AK175" s="1">
        <f t="shared" si="8"/>
        <v>129456.92</v>
      </c>
      <c r="AL175" s="2">
        <f t="shared" si="9"/>
        <v>99.889598765432098</v>
      </c>
      <c r="AM175" s="16">
        <f t="shared" si="10"/>
        <v>129600</v>
      </c>
      <c r="AN175" s="2">
        <f t="shared" si="11"/>
        <v>100</v>
      </c>
    </row>
    <row r="176" spans="1:40" x14ac:dyDescent="0.35">
      <c r="A176" s="14" t="s">
        <v>27</v>
      </c>
      <c r="B176" s="14" t="s">
        <v>28</v>
      </c>
      <c r="C176" s="14" t="s">
        <v>54</v>
      </c>
      <c r="D176" s="14" t="s">
        <v>627</v>
      </c>
      <c r="E176" s="14" t="s">
        <v>193</v>
      </c>
      <c r="F176" s="14" t="s">
        <v>32</v>
      </c>
      <c r="G176" s="14" t="s">
        <v>33</v>
      </c>
      <c r="H176" s="14" t="s">
        <v>964</v>
      </c>
      <c r="I176" s="14" t="s">
        <v>231</v>
      </c>
      <c r="J176" s="14" t="s">
        <v>231</v>
      </c>
      <c r="K176" s="14" t="s">
        <v>204</v>
      </c>
      <c r="L176" s="14" t="s">
        <v>973</v>
      </c>
      <c r="M176" s="14" t="s">
        <v>230</v>
      </c>
      <c r="N176" s="14" t="s">
        <v>974</v>
      </c>
      <c r="O176" s="14" t="s">
        <v>991</v>
      </c>
      <c r="P176" s="14"/>
      <c r="Q176" s="14" t="s">
        <v>196</v>
      </c>
      <c r="R176" s="14" t="s">
        <v>36</v>
      </c>
      <c r="S176" s="14" t="s">
        <v>104</v>
      </c>
      <c r="T176" s="14"/>
      <c r="U176" s="14" t="s">
        <v>267</v>
      </c>
      <c r="V176" s="22">
        <v>46186.25582175926</v>
      </c>
      <c r="W176" s="22">
        <v>46186.359212962961</v>
      </c>
      <c r="X176" s="15">
        <v>148.88</v>
      </c>
      <c r="Y176" s="22">
        <v>46186.255833333336</v>
      </c>
      <c r="Z176" s="15">
        <v>0.02</v>
      </c>
      <c r="AA176" s="15">
        <v>30</v>
      </c>
      <c r="AB176" s="15" t="s">
        <v>40</v>
      </c>
      <c r="AC176" s="15"/>
      <c r="AD176" s="15"/>
      <c r="AE176" s="15">
        <v>0</v>
      </c>
      <c r="AF176" s="15">
        <v>148.88</v>
      </c>
      <c r="AG176" s="15">
        <v>120</v>
      </c>
      <c r="AH176" s="15" t="s">
        <v>268</v>
      </c>
      <c r="AI176" s="14"/>
      <c r="AJ176" s="16">
        <v>129600</v>
      </c>
      <c r="AK176" s="1">
        <f t="shared" si="8"/>
        <v>129451.12</v>
      </c>
      <c r="AL176" s="2">
        <f t="shared" si="9"/>
        <v>99.885123456790112</v>
      </c>
      <c r="AM176" s="16">
        <f t="shared" si="10"/>
        <v>129600</v>
      </c>
      <c r="AN176" s="2">
        <f t="shared" si="11"/>
        <v>100</v>
      </c>
    </row>
    <row r="177" spans="1:40" x14ac:dyDescent="0.35">
      <c r="A177" s="14" t="s">
        <v>27</v>
      </c>
      <c r="B177" s="14" t="s">
        <v>28</v>
      </c>
      <c r="C177" s="14" t="s">
        <v>54</v>
      </c>
      <c r="D177" s="14" t="s">
        <v>479</v>
      </c>
      <c r="E177" s="14" t="s">
        <v>193</v>
      </c>
      <c r="F177" s="14" t="s">
        <v>32</v>
      </c>
      <c r="G177" s="14" t="s">
        <v>33</v>
      </c>
      <c r="H177" s="14" t="s">
        <v>964</v>
      </c>
      <c r="I177" s="14" t="s">
        <v>480</v>
      </c>
      <c r="J177" s="14" t="s">
        <v>480</v>
      </c>
      <c r="K177" s="14" t="s">
        <v>1033</v>
      </c>
      <c r="L177" s="14" t="s">
        <v>967</v>
      </c>
      <c r="M177" s="14">
        <v>1</v>
      </c>
      <c r="N177" s="14" t="e">
        <v>#N/A</v>
      </c>
      <c r="O177" s="14" t="e">
        <v>#N/A</v>
      </c>
      <c r="P177" s="14"/>
      <c r="Q177" s="14" t="s">
        <v>196</v>
      </c>
      <c r="R177" s="14" t="s">
        <v>36</v>
      </c>
      <c r="S177" s="14" t="s">
        <v>104</v>
      </c>
      <c r="T177" s="14"/>
      <c r="U177" s="14" t="s">
        <v>267</v>
      </c>
      <c r="V177" s="22">
        <v>46186.255937499998</v>
      </c>
      <c r="W177" s="22">
        <v>46186.35833333333</v>
      </c>
      <c r="X177" s="15">
        <v>147.44999999999999</v>
      </c>
      <c r="Y177" s="22">
        <v>46186.255960648145</v>
      </c>
      <c r="Z177" s="15">
        <v>0.03</v>
      </c>
      <c r="AA177" s="15">
        <v>30</v>
      </c>
      <c r="AB177" s="15" t="s">
        <v>40</v>
      </c>
      <c r="AC177" s="15"/>
      <c r="AD177" s="15"/>
      <c r="AE177" s="15">
        <v>0</v>
      </c>
      <c r="AF177" s="15">
        <v>147.44999999999999</v>
      </c>
      <c r="AG177" s="15">
        <v>120</v>
      </c>
      <c r="AH177" s="15" t="s">
        <v>268</v>
      </c>
      <c r="AI177" s="14"/>
      <c r="AJ177" s="16">
        <v>129600</v>
      </c>
      <c r="AK177" s="1">
        <f t="shared" si="8"/>
        <v>129452.55</v>
      </c>
      <c r="AL177" s="2">
        <f t="shared" si="9"/>
        <v>99.886226851851859</v>
      </c>
      <c r="AM177" s="16">
        <f t="shared" si="10"/>
        <v>129600</v>
      </c>
      <c r="AN177" s="2">
        <f t="shared" si="11"/>
        <v>100</v>
      </c>
    </row>
    <row r="178" spans="1:40" x14ac:dyDescent="0.35">
      <c r="A178" s="14" t="s">
        <v>27</v>
      </c>
      <c r="B178" s="14" t="s">
        <v>28</v>
      </c>
      <c r="C178" s="14" t="s">
        <v>54</v>
      </c>
      <c r="D178" s="14" t="s">
        <v>613</v>
      </c>
      <c r="E178" s="14" t="s">
        <v>193</v>
      </c>
      <c r="F178" s="14" t="s">
        <v>32</v>
      </c>
      <c r="G178" s="14" t="s">
        <v>33</v>
      </c>
      <c r="H178" s="14" t="s">
        <v>964</v>
      </c>
      <c r="I178" s="14" t="s">
        <v>303</v>
      </c>
      <c r="J178" s="14" t="s">
        <v>303</v>
      </c>
      <c r="K178" s="14" t="s">
        <v>204</v>
      </c>
      <c r="L178" s="14" t="s">
        <v>973</v>
      </c>
      <c r="M178" s="14" t="s">
        <v>302</v>
      </c>
      <c r="N178" s="14" t="s">
        <v>974</v>
      </c>
      <c r="O178" s="14" t="s">
        <v>991</v>
      </c>
      <c r="P178" s="14"/>
      <c r="Q178" s="14" t="s">
        <v>196</v>
      </c>
      <c r="R178" s="14" t="s">
        <v>36</v>
      </c>
      <c r="S178" s="14" t="s">
        <v>104</v>
      </c>
      <c r="T178" s="14"/>
      <c r="U178" s="14" t="s">
        <v>267</v>
      </c>
      <c r="V178" s="22">
        <v>46186.256053240744</v>
      </c>
      <c r="W178" s="22">
        <v>46186.35833333333</v>
      </c>
      <c r="X178" s="15">
        <v>147.28</v>
      </c>
      <c r="Y178" s="22">
        <v>46186.256064814814</v>
      </c>
      <c r="Z178" s="15">
        <v>0.02</v>
      </c>
      <c r="AA178" s="15">
        <v>30</v>
      </c>
      <c r="AB178" s="15" t="s">
        <v>40</v>
      </c>
      <c r="AC178" s="15"/>
      <c r="AD178" s="15"/>
      <c r="AE178" s="15">
        <v>0</v>
      </c>
      <c r="AF178" s="15">
        <v>147.28</v>
      </c>
      <c r="AG178" s="15">
        <v>120</v>
      </c>
      <c r="AH178" s="15" t="s">
        <v>268</v>
      </c>
      <c r="AI178" s="14"/>
      <c r="AJ178" s="16">
        <v>129600</v>
      </c>
      <c r="AK178" s="1">
        <f t="shared" si="8"/>
        <v>129452.72</v>
      </c>
      <c r="AL178" s="2">
        <f t="shared" si="9"/>
        <v>99.886358024691361</v>
      </c>
      <c r="AM178" s="16">
        <f t="shared" si="10"/>
        <v>129600</v>
      </c>
      <c r="AN178" s="2">
        <f t="shared" si="11"/>
        <v>100</v>
      </c>
    </row>
    <row r="179" spans="1:40" x14ac:dyDescent="0.35">
      <c r="A179" s="14" t="s">
        <v>27</v>
      </c>
      <c r="B179" s="14" t="s">
        <v>28</v>
      </c>
      <c r="C179" s="14" t="s">
        <v>54</v>
      </c>
      <c r="D179" s="14" t="s">
        <v>432</v>
      </c>
      <c r="E179" s="14" t="s">
        <v>193</v>
      </c>
      <c r="F179" s="14" t="s">
        <v>32</v>
      </c>
      <c r="G179" s="14" t="s">
        <v>33</v>
      </c>
      <c r="H179" s="14" t="s">
        <v>964</v>
      </c>
      <c r="I179" s="14" t="s">
        <v>434</v>
      </c>
      <c r="J179" s="14" t="s">
        <v>434</v>
      </c>
      <c r="K179" s="14" t="s">
        <v>204</v>
      </c>
      <c r="L179" s="14" t="s">
        <v>973</v>
      </c>
      <c r="M179" s="14" t="s">
        <v>433</v>
      </c>
      <c r="N179" s="14" t="s">
        <v>974</v>
      </c>
      <c r="O179" s="14" t="s">
        <v>991</v>
      </c>
      <c r="P179" s="14"/>
      <c r="Q179" s="14" t="s">
        <v>196</v>
      </c>
      <c r="R179" s="14" t="s">
        <v>36</v>
      </c>
      <c r="S179" s="14" t="s">
        <v>104</v>
      </c>
      <c r="T179" s="14"/>
      <c r="U179" s="14" t="s">
        <v>267</v>
      </c>
      <c r="V179" s="22">
        <v>46186.256284722222</v>
      </c>
      <c r="W179" s="22">
        <v>46186.359293981484</v>
      </c>
      <c r="X179" s="15">
        <v>148.33000000000001</v>
      </c>
      <c r="Y179" s="22">
        <v>46186.256296296298</v>
      </c>
      <c r="Z179" s="15">
        <v>0.02</v>
      </c>
      <c r="AA179" s="15">
        <v>30</v>
      </c>
      <c r="AB179" s="15" t="s">
        <v>40</v>
      </c>
      <c r="AC179" s="15"/>
      <c r="AD179" s="15"/>
      <c r="AE179" s="15">
        <v>0</v>
      </c>
      <c r="AF179" s="15">
        <v>148.33000000000001</v>
      </c>
      <c r="AG179" s="15">
        <v>120</v>
      </c>
      <c r="AH179" s="15" t="s">
        <v>268</v>
      </c>
      <c r="AI179" s="14"/>
      <c r="AJ179" s="16">
        <v>129600</v>
      </c>
      <c r="AK179" s="1">
        <f t="shared" si="8"/>
        <v>129451.67</v>
      </c>
      <c r="AL179" s="2">
        <f t="shared" si="9"/>
        <v>99.885547839506174</v>
      </c>
      <c r="AM179" s="16">
        <f t="shared" si="10"/>
        <v>129600</v>
      </c>
      <c r="AN179" s="2">
        <f t="shared" si="11"/>
        <v>100</v>
      </c>
    </row>
    <row r="180" spans="1:40" x14ac:dyDescent="0.35">
      <c r="A180" s="14" t="s">
        <v>27</v>
      </c>
      <c r="B180" s="14" t="s">
        <v>28</v>
      </c>
      <c r="C180" s="14" t="s">
        <v>54</v>
      </c>
      <c r="D180" s="14" t="s">
        <v>541</v>
      </c>
      <c r="E180" s="14" t="s">
        <v>193</v>
      </c>
      <c r="F180" s="14" t="s">
        <v>32</v>
      </c>
      <c r="G180" s="14" t="s">
        <v>33</v>
      </c>
      <c r="H180" s="14" t="s">
        <v>964</v>
      </c>
      <c r="I180" s="14" t="s">
        <v>543</v>
      </c>
      <c r="J180" s="14" t="s">
        <v>543</v>
      </c>
      <c r="K180" s="14" t="s">
        <v>204</v>
      </c>
      <c r="L180" s="14" t="s">
        <v>973</v>
      </c>
      <c r="M180" s="14" t="s">
        <v>542</v>
      </c>
      <c r="N180" s="14" t="s">
        <v>974</v>
      </c>
      <c r="O180" s="14" t="s">
        <v>991</v>
      </c>
      <c r="P180" s="14"/>
      <c r="Q180" s="14" t="s">
        <v>196</v>
      </c>
      <c r="R180" s="14" t="s">
        <v>36</v>
      </c>
      <c r="S180" s="14" t="s">
        <v>104</v>
      </c>
      <c r="T180" s="14"/>
      <c r="U180" s="14" t="s">
        <v>267</v>
      </c>
      <c r="V180" s="22">
        <v>46186.256516203706</v>
      </c>
      <c r="W180" s="22">
        <v>46186.360960648148</v>
      </c>
      <c r="X180" s="15">
        <v>150.4</v>
      </c>
      <c r="Y180" s="22">
        <v>46186.256539351853</v>
      </c>
      <c r="Z180" s="15">
        <v>0.03</v>
      </c>
      <c r="AA180" s="15">
        <v>30</v>
      </c>
      <c r="AB180" s="15" t="s">
        <v>40</v>
      </c>
      <c r="AC180" s="15"/>
      <c r="AD180" s="15"/>
      <c r="AE180" s="15">
        <v>0</v>
      </c>
      <c r="AF180" s="15">
        <v>150.4</v>
      </c>
      <c r="AG180" s="15">
        <v>120</v>
      </c>
      <c r="AH180" s="15" t="s">
        <v>268</v>
      </c>
      <c r="AI180" s="14"/>
      <c r="AJ180" s="16">
        <v>129600</v>
      </c>
      <c r="AK180" s="1">
        <f t="shared" si="8"/>
        <v>129449.60000000001</v>
      </c>
      <c r="AL180" s="2">
        <f t="shared" si="9"/>
        <v>99.883950617283958</v>
      </c>
      <c r="AM180" s="16">
        <f t="shared" si="10"/>
        <v>129600</v>
      </c>
      <c r="AN180" s="2">
        <f t="shared" si="11"/>
        <v>100</v>
      </c>
    </row>
    <row r="181" spans="1:40" x14ac:dyDescent="0.35">
      <c r="A181" s="14" t="s">
        <v>27</v>
      </c>
      <c r="B181" s="14" t="s">
        <v>28</v>
      </c>
      <c r="C181" s="14" t="s">
        <v>54</v>
      </c>
      <c r="D181" s="14" t="s">
        <v>469</v>
      </c>
      <c r="E181" s="14" t="s">
        <v>193</v>
      </c>
      <c r="F181" s="14" t="s">
        <v>32</v>
      </c>
      <c r="G181" s="14" t="s">
        <v>33</v>
      </c>
      <c r="H181" s="14" t="s">
        <v>964</v>
      </c>
      <c r="I181" s="14" t="s">
        <v>471</v>
      </c>
      <c r="J181" s="14" t="s">
        <v>471</v>
      </c>
      <c r="K181" s="14" t="s">
        <v>204</v>
      </c>
      <c r="L181" s="14" t="s">
        <v>973</v>
      </c>
      <c r="M181" s="14" t="s">
        <v>470</v>
      </c>
      <c r="N181" s="14" t="s">
        <v>974</v>
      </c>
      <c r="O181" s="14" t="s">
        <v>991</v>
      </c>
      <c r="P181" s="14"/>
      <c r="Q181" s="14" t="s">
        <v>196</v>
      </c>
      <c r="R181" s="14" t="s">
        <v>36</v>
      </c>
      <c r="S181" s="14" t="s">
        <v>104</v>
      </c>
      <c r="T181" s="14"/>
      <c r="U181" s="14" t="s">
        <v>267</v>
      </c>
      <c r="V181" s="22">
        <v>46186.256643518522</v>
      </c>
      <c r="W181" s="22">
        <v>46186.361111111109</v>
      </c>
      <c r="X181" s="15">
        <v>150.43</v>
      </c>
      <c r="Y181" s="22">
        <v>46186.256655092591</v>
      </c>
      <c r="Z181" s="15">
        <v>0.02</v>
      </c>
      <c r="AA181" s="15">
        <v>30</v>
      </c>
      <c r="AB181" s="15" t="s">
        <v>40</v>
      </c>
      <c r="AC181" s="15"/>
      <c r="AD181" s="15"/>
      <c r="AE181" s="15">
        <v>0</v>
      </c>
      <c r="AF181" s="15">
        <v>150.43</v>
      </c>
      <c r="AG181" s="15">
        <v>120</v>
      </c>
      <c r="AH181" s="15" t="s">
        <v>268</v>
      </c>
      <c r="AI181" s="14"/>
      <c r="AJ181" s="16">
        <v>129600</v>
      </c>
      <c r="AK181" s="1">
        <f t="shared" si="8"/>
        <v>129449.57</v>
      </c>
      <c r="AL181" s="2">
        <f t="shared" si="9"/>
        <v>99.883927469135799</v>
      </c>
      <c r="AM181" s="16">
        <f t="shared" si="10"/>
        <v>129600</v>
      </c>
      <c r="AN181" s="2">
        <f t="shared" si="11"/>
        <v>100</v>
      </c>
    </row>
    <row r="182" spans="1:40" x14ac:dyDescent="0.35">
      <c r="A182" s="14" t="s">
        <v>27</v>
      </c>
      <c r="B182" s="14" t="s">
        <v>28</v>
      </c>
      <c r="C182" s="14" t="s">
        <v>54</v>
      </c>
      <c r="D182" s="14" t="s">
        <v>329</v>
      </c>
      <c r="E182" s="14" t="s">
        <v>193</v>
      </c>
      <c r="F182" s="14" t="s">
        <v>32</v>
      </c>
      <c r="G182" s="14" t="s">
        <v>33</v>
      </c>
      <c r="H182" s="14" t="s">
        <v>964</v>
      </c>
      <c r="I182" s="14" t="s">
        <v>331</v>
      </c>
      <c r="J182" s="14" t="s">
        <v>331</v>
      </c>
      <c r="K182" s="14" t="s">
        <v>204</v>
      </c>
      <c r="L182" s="14" t="s">
        <v>973</v>
      </c>
      <c r="M182" s="14" t="s">
        <v>330</v>
      </c>
      <c r="N182" s="14" t="s">
        <v>974</v>
      </c>
      <c r="O182" s="14" t="s">
        <v>991</v>
      </c>
      <c r="P182" s="14"/>
      <c r="Q182" s="14" t="s">
        <v>196</v>
      </c>
      <c r="R182" s="14" t="s">
        <v>36</v>
      </c>
      <c r="S182" s="14" t="s">
        <v>104</v>
      </c>
      <c r="T182" s="14"/>
      <c r="U182" s="14" t="s">
        <v>267</v>
      </c>
      <c r="V182" s="22">
        <v>46186.256747685184</v>
      </c>
      <c r="W182" s="22">
        <v>46186.363171296296</v>
      </c>
      <c r="X182" s="15">
        <v>153.25</v>
      </c>
      <c r="Y182" s="22">
        <v>46186.25675925926</v>
      </c>
      <c r="Z182" s="15">
        <v>0.02</v>
      </c>
      <c r="AA182" s="15">
        <v>30</v>
      </c>
      <c r="AB182" s="15" t="s">
        <v>40</v>
      </c>
      <c r="AC182" s="15"/>
      <c r="AD182" s="15"/>
      <c r="AE182" s="15">
        <v>0</v>
      </c>
      <c r="AF182" s="15">
        <v>153.25</v>
      </c>
      <c r="AG182" s="15">
        <v>120</v>
      </c>
      <c r="AH182" s="15" t="s">
        <v>268</v>
      </c>
      <c r="AI182" s="14"/>
      <c r="AJ182" s="16">
        <v>129600</v>
      </c>
      <c r="AK182" s="1">
        <f t="shared" si="8"/>
        <v>129446.75</v>
      </c>
      <c r="AL182" s="2">
        <f t="shared" si="9"/>
        <v>99.881751543209873</v>
      </c>
      <c r="AM182" s="16">
        <f t="shared" si="10"/>
        <v>129600</v>
      </c>
      <c r="AN182" s="2">
        <f t="shared" si="11"/>
        <v>100</v>
      </c>
    </row>
    <row r="183" spans="1:40" x14ac:dyDescent="0.35">
      <c r="A183" s="14" t="s">
        <v>27</v>
      </c>
      <c r="B183" s="14" t="s">
        <v>28</v>
      </c>
      <c r="C183" s="14" t="s">
        <v>54</v>
      </c>
      <c r="D183" s="14" t="s">
        <v>447</v>
      </c>
      <c r="E183" s="14" t="s">
        <v>193</v>
      </c>
      <c r="F183" s="14" t="s">
        <v>32</v>
      </c>
      <c r="G183" s="14" t="s">
        <v>33</v>
      </c>
      <c r="H183" s="14" t="s">
        <v>964</v>
      </c>
      <c r="I183" s="14" t="s">
        <v>387</v>
      </c>
      <c r="J183" s="14" t="s">
        <v>387</v>
      </c>
      <c r="K183" s="14" t="s">
        <v>204</v>
      </c>
      <c r="L183" s="14" t="s">
        <v>973</v>
      </c>
      <c r="M183" s="14" t="s">
        <v>386</v>
      </c>
      <c r="N183" s="14" t="s">
        <v>974</v>
      </c>
      <c r="O183" s="14" t="s">
        <v>991</v>
      </c>
      <c r="P183" s="14"/>
      <c r="Q183" s="14" t="s">
        <v>196</v>
      </c>
      <c r="R183" s="14" t="s">
        <v>36</v>
      </c>
      <c r="S183" s="14" t="s">
        <v>104</v>
      </c>
      <c r="T183" s="14"/>
      <c r="U183" s="14" t="s">
        <v>267</v>
      </c>
      <c r="V183" s="22">
        <v>46186.25675925926</v>
      </c>
      <c r="W183" s="22">
        <v>46186.364699074074</v>
      </c>
      <c r="X183" s="15">
        <v>155.43</v>
      </c>
      <c r="Y183" s="22">
        <v>46186.25677083333</v>
      </c>
      <c r="Z183" s="15">
        <v>0.02</v>
      </c>
      <c r="AA183" s="15">
        <v>30</v>
      </c>
      <c r="AB183" s="15" t="s">
        <v>40</v>
      </c>
      <c r="AC183" s="15"/>
      <c r="AD183" s="15"/>
      <c r="AE183" s="15">
        <v>0</v>
      </c>
      <c r="AF183" s="15">
        <v>155.43</v>
      </c>
      <c r="AG183" s="15">
        <v>120</v>
      </c>
      <c r="AH183" s="15" t="s">
        <v>268</v>
      </c>
      <c r="AI183" s="14"/>
      <c r="AJ183" s="16">
        <v>129600</v>
      </c>
      <c r="AK183" s="1">
        <f t="shared" si="8"/>
        <v>129444.57</v>
      </c>
      <c r="AL183" s="2">
        <f t="shared" si="9"/>
        <v>99.880069444444459</v>
      </c>
      <c r="AM183" s="16">
        <f t="shared" si="10"/>
        <v>129600</v>
      </c>
      <c r="AN183" s="2">
        <f t="shared" si="11"/>
        <v>100</v>
      </c>
    </row>
    <row r="184" spans="1:40" x14ac:dyDescent="0.35">
      <c r="A184" s="14" t="s">
        <v>27</v>
      </c>
      <c r="B184" s="14" t="s">
        <v>28</v>
      </c>
      <c r="C184" s="14" t="s">
        <v>54</v>
      </c>
      <c r="D184" s="14" t="s">
        <v>264</v>
      </c>
      <c r="E184" s="14" t="s">
        <v>193</v>
      </c>
      <c r="F184" s="14" t="s">
        <v>32</v>
      </c>
      <c r="G184" s="14" t="s">
        <v>33</v>
      </c>
      <c r="H184" s="14" t="s">
        <v>964</v>
      </c>
      <c r="I184" s="14" t="s">
        <v>266</v>
      </c>
      <c r="J184" s="14" t="s">
        <v>266</v>
      </c>
      <c r="K184" s="14" t="s">
        <v>204</v>
      </c>
      <c r="L184" s="14" t="s">
        <v>973</v>
      </c>
      <c r="M184" s="14" t="s">
        <v>265</v>
      </c>
      <c r="N184" s="14" t="s">
        <v>974</v>
      </c>
      <c r="O184" s="14" t="s">
        <v>991</v>
      </c>
      <c r="P184" s="14"/>
      <c r="Q184" s="14" t="s">
        <v>196</v>
      </c>
      <c r="R184" s="14" t="s">
        <v>36</v>
      </c>
      <c r="S184" s="14" t="s">
        <v>104</v>
      </c>
      <c r="T184" s="14"/>
      <c r="U184" s="14" t="s">
        <v>267</v>
      </c>
      <c r="V184" s="22">
        <v>46186.256874999999</v>
      </c>
      <c r="W184" s="22">
        <v>46186.366898148146</v>
      </c>
      <c r="X184" s="15">
        <v>158.43</v>
      </c>
      <c r="Y184" s="22">
        <v>46186.256874999999</v>
      </c>
      <c r="Z184" s="15">
        <v>0</v>
      </c>
      <c r="AA184" s="15">
        <v>30</v>
      </c>
      <c r="AB184" s="15" t="s">
        <v>40</v>
      </c>
      <c r="AC184" s="15"/>
      <c r="AD184" s="15"/>
      <c r="AE184" s="15">
        <v>0</v>
      </c>
      <c r="AF184" s="15">
        <v>158.43</v>
      </c>
      <c r="AG184" s="15">
        <v>120</v>
      </c>
      <c r="AH184" s="15" t="s">
        <v>268</v>
      </c>
      <c r="AI184" s="14"/>
      <c r="AJ184" s="16">
        <v>129600</v>
      </c>
      <c r="AK184" s="1">
        <f t="shared" si="8"/>
        <v>129441.57</v>
      </c>
      <c r="AL184" s="2">
        <f t="shared" si="9"/>
        <v>99.877754629629635</v>
      </c>
      <c r="AM184" s="16">
        <f t="shared" si="10"/>
        <v>129600</v>
      </c>
      <c r="AN184" s="2">
        <f t="shared" si="11"/>
        <v>100</v>
      </c>
    </row>
    <row r="185" spans="1:40" x14ac:dyDescent="0.35">
      <c r="A185" s="14" t="s">
        <v>27</v>
      </c>
      <c r="B185" s="14" t="s">
        <v>28</v>
      </c>
      <c r="C185" s="14" t="s">
        <v>54</v>
      </c>
      <c r="D185" s="14" t="s">
        <v>427</v>
      </c>
      <c r="E185" s="14" t="s">
        <v>193</v>
      </c>
      <c r="F185" s="14" t="s">
        <v>32</v>
      </c>
      <c r="G185" s="14" t="s">
        <v>33</v>
      </c>
      <c r="H185" s="14" t="s">
        <v>964</v>
      </c>
      <c r="I185" s="14" t="s">
        <v>284</v>
      </c>
      <c r="J185" s="14" t="s">
        <v>284</v>
      </c>
      <c r="K185" s="14" t="s">
        <v>204</v>
      </c>
      <c r="L185" s="14" t="s">
        <v>973</v>
      </c>
      <c r="M185" s="14" t="s">
        <v>283</v>
      </c>
      <c r="N185" s="14" t="s">
        <v>974</v>
      </c>
      <c r="O185" s="14" t="s">
        <v>991</v>
      </c>
      <c r="P185" s="14"/>
      <c r="Q185" s="14" t="s">
        <v>196</v>
      </c>
      <c r="R185" s="14" t="s">
        <v>36</v>
      </c>
      <c r="S185" s="14" t="s">
        <v>104</v>
      </c>
      <c r="T185" s="14"/>
      <c r="U185" s="14" t="s">
        <v>267</v>
      </c>
      <c r="V185" s="22">
        <v>46186.256874999999</v>
      </c>
      <c r="W185" s="22">
        <v>46186.36824074074</v>
      </c>
      <c r="X185" s="15">
        <v>160.37</v>
      </c>
      <c r="Y185" s="22">
        <v>46186.256886574076</v>
      </c>
      <c r="Z185" s="15">
        <v>0.02</v>
      </c>
      <c r="AA185" s="15">
        <v>30</v>
      </c>
      <c r="AB185" s="15" t="s">
        <v>40</v>
      </c>
      <c r="AC185" s="15"/>
      <c r="AD185" s="15"/>
      <c r="AE185" s="15">
        <v>0</v>
      </c>
      <c r="AF185" s="15">
        <v>160.37</v>
      </c>
      <c r="AG185" s="15">
        <v>120</v>
      </c>
      <c r="AH185" s="15" t="s">
        <v>268</v>
      </c>
      <c r="AI185" s="14"/>
      <c r="AJ185" s="16">
        <v>129600</v>
      </c>
      <c r="AK185" s="1">
        <f t="shared" si="8"/>
        <v>129439.63</v>
      </c>
      <c r="AL185" s="2">
        <f t="shared" si="9"/>
        <v>99.876257716049395</v>
      </c>
      <c r="AM185" s="16">
        <f t="shared" si="10"/>
        <v>129600</v>
      </c>
      <c r="AN185" s="2">
        <f t="shared" si="11"/>
        <v>100</v>
      </c>
    </row>
    <row r="186" spans="1:40" x14ac:dyDescent="0.35">
      <c r="A186" s="14" t="s">
        <v>27</v>
      </c>
      <c r="B186" s="14" t="s">
        <v>28</v>
      </c>
      <c r="C186" s="14" t="s">
        <v>54</v>
      </c>
      <c r="D186" s="14" t="s">
        <v>651</v>
      </c>
      <c r="E186" s="14" t="s">
        <v>193</v>
      </c>
      <c r="F186" s="14" t="s">
        <v>32</v>
      </c>
      <c r="G186" s="14" t="s">
        <v>33</v>
      </c>
      <c r="H186" s="14" t="s">
        <v>964</v>
      </c>
      <c r="I186" s="14" t="s">
        <v>644</v>
      </c>
      <c r="J186" s="14" t="s">
        <v>644</v>
      </c>
      <c r="K186" s="14" t="s">
        <v>204</v>
      </c>
      <c r="L186" s="14" t="s">
        <v>973</v>
      </c>
      <c r="M186" s="14" t="s">
        <v>643</v>
      </c>
      <c r="N186" s="14" t="s">
        <v>974</v>
      </c>
      <c r="O186" s="14" t="s">
        <v>991</v>
      </c>
      <c r="P186" s="14"/>
      <c r="Q186" s="14" t="s">
        <v>196</v>
      </c>
      <c r="R186" s="14" t="s">
        <v>36</v>
      </c>
      <c r="S186" s="14" t="s">
        <v>104</v>
      </c>
      <c r="T186" s="14"/>
      <c r="U186" s="14" t="s">
        <v>267</v>
      </c>
      <c r="V186" s="22">
        <v>46186.256990740738</v>
      </c>
      <c r="W186" s="22">
        <v>46186.371921296297</v>
      </c>
      <c r="X186" s="15">
        <v>165.5</v>
      </c>
      <c r="Y186" s="22">
        <v>46186.257013888891</v>
      </c>
      <c r="Z186" s="15">
        <v>0.03</v>
      </c>
      <c r="AA186" s="15">
        <v>30</v>
      </c>
      <c r="AB186" s="15" t="s">
        <v>40</v>
      </c>
      <c r="AC186" s="15"/>
      <c r="AD186" s="15"/>
      <c r="AE186" s="15">
        <v>0</v>
      </c>
      <c r="AF186" s="15">
        <v>165.5</v>
      </c>
      <c r="AG186" s="15">
        <v>120</v>
      </c>
      <c r="AH186" s="15" t="s">
        <v>268</v>
      </c>
      <c r="AI186" s="14"/>
      <c r="AJ186" s="16">
        <v>129600</v>
      </c>
      <c r="AK186" s="1">
        <f t="shared" si="8"/>
        <v>129434.5</v>
      </c>
      <c r="AL186" s="2">
        <f t="shared" si="9"/>
        <v>99.872299382716051</v>
      </c>
      <c r="AM186" s="16">
        <f t="shared" si="10"/>
        <v>129600</v>
      </c>
      <c r="AN186" s="2">
        <f t="shared" si="11"/>
        <v>100</v>
      </c>
    </row>
    <row r="187" spans="1:40" x14ac:dyDescent="0.35">
      <c r="A187" s="14" t="s">
        <v>27</v>
      </c>
      <c r="B187" s="14" t="s">
        <v>28</v>
      </c>
      <c r="C187" s="14" t="s">
        <v>54</v>
      </c>
      <c r="D187" s="14" t="s">
        <v>782</v>
      </c>
      <c r="E187" s="14" t="s">
        <v>193</v>
      </c>
      <c r="F187" s="14" t="s">
        <v>32</v>
      </c>
      <c r="G187" s="14" t="s">
        <v>33</v>
      </c>
      <c r="H187" s="14" t="s">
        <v>964</v>
      </c>
      <c r="I187" s="14" t="s">
        <v>784</v>
      </c>
      <c r="J187" s="14" t="s">
        <v>784</v>
      </c>
      <c r="K187" s="14" t="s">
        <v>204</v>
      </c>
      <c r="L187" s="14" t="s">
        <v>973</v>
      </c>
      <c r="M187" s="14" t="s">
        <v>783</v>
      </c>
      <c r="N187" s="14" t="s">
        <v>974</v>
      </c>
      <c r="O187" s="14" t="s">
        <v>991</v>
      </c>
      <c r="P187" s="14"/>
      <c r="Q187" s="14" t="s">
        <v>196</v>
      </c>
      <c r="R187" s="14" t="s">
        <v>36</v>
      </c>
      <c r="S187" s="14" t="s">
        <v>104</v>
      </c>
      <c r="T187" s="14"/>
      <c r="U187" s="14" t="s">
        <v>267</v>
      </c>
      <c r="V187" s="22">
        <v>46186.256990740738</v>
      </c>
      <c r="W187" s="22">
        <v>46186.369571759256</v>
      </c>
      <c r="X187" s="15">
        <v>162.12</v>
      </c>
      <c r="Y187" s="22">
        <v>46186.257013888891</v>
      </c>
      <c r="Z187" s="15">
        <v>0.03</v>
      </c>
      <c r="AA187" s="15">
        <v>30</v>
      </c>
      <c r="AB187" s="15" t="s">
        <v>40</v>
      </c>
      <c r="AC187" s="15"/>
      <c r="AD187" s="15"/>
      <c r="AE187" s="15">
        <v>0</v>
      </c>
      <c r="AF187" s="15">
        <v>162.12</v>
      </c>
      <c r="AG187" s="15">
        <v>120</v>
      </c>
      <c r="AH187" s="15" t="s">
        <v>268</v>
      </c>
      <c r="AI187" s="14"/>
      <c r="AJ187" s="16">
        <v>129600</v>
      </c>
      <c r="AK187" s="1">
        <f t="shared" si="8"/>
        <v>129437.88</v>
      </c>
      <c r="AL187" s="2">
        <f t="shared" si="9"/>
        <v>99.874907407407406</v>
      </c>
      <c r="AM187" s="16">
        <f t="shared" si="10"/>
        <v>129600</v>
      </c>
      <c r="AN187" s="2">
        <f t="shared" si="11"/>
        <v>100</v>
      </c>
    </row>
    <row r="188" spans="1:40" x14ac:dyDescent="0.35">
      <c r="A188" s="14" t="s">
        <v>27</v>
      </c>
      <c r="B188" s="14" t="s">
        <v>28</v>
      </c>
      <c r="C188" s="14" t="s">
        <v>54</v>
      </c>
      <c r="D188" s="14" t="s">
        <v>292</v>
      </c>
      <c r="E188" s="14" t="s">
        <v>193</v>
      </c>
      <c r="F188" s="14" t="s">
        <v>32</v>
      </c>
      <c r="G188" s="14" t="s">
        <v>33</v>
      </c>
      <c r="H188" s="14" t="s">
        <v>964</v>
      </c>
      <c r="I188" s="14" t="s">
        <v>294</v>
      </c>
      <c r="J188" s="14" t="s">
        <v>294</v>
      </c>
      <c r="K188" s="14" t="s">
        <v>204</v>
      </c>
      <c r="L188" s="14" t="s">
        <v>973</v>
      </c>
      <c r="M188" s="14" t="s">
        <v>293</v>
      </c>
      <c r="N188" s="14" t="s">
        <v>974</v>
      </c>
      <c r="O188" s="14" t="s">
        <v>991</v>
      </c>
      <c r="P188" s="14"/>
      <c r="Q188" s="14" t="s">
        <v>196</v>
      </c>
      <c r="R188" s="14" t="s">
        <v>36</v>
      </c>
      <c r="S188" s="14" t="s">
        <v>104</v>
      </c>
      <c r="T188" s="14"/>
      <c r="U188" s="14" t="s">
        <v>267</v>
      </c>
      <c r="V188" s="22">
        <v>46186.257118055553</v>
      </c>
      <c r="W188" s="22">
        <v>46186.372916666667</v>
      </c>
      <c r="X188" s="15">
        <v>166.75</v>
      </c>
      <c r="Y188" s="22">
        <v>46186.257118055553</v>
      </c>
      <c r="Z188" s="15">
        <v>0</v>
      </c>
      <c r="AA188" s="15">
        <v>30</v>
      </c>
      <c r="AB188" s="15" t="s">
        <v>40</v>
      </c>
      <c r="AC188" s="15"/>
      <c r="AD188" s="15"/>
      <c r="AE188" s="15">
        <v>0</v>
      </c>
      <c r="AF188" s="15">
        <v>166.75</v>
      </c>
      <c r="AG188" s="15">
        <v>120</v>
      </c>
      <c r="AH188" s="15" t="s">
        <v>268</v>
      </c>
      <c r="AI188" s="14"/>
      <c r="AJ188" s="16">
        <v>129600</v>
      </c>
      <c r="AK188" s="1">
        <f t="shared" si="8"/>
        <v>129433.25</v>
      </c>
      <c r="AL188" s="2">
        <f t="shared" si="9"/>
        <v>99.871334876543202</v>
      </c>
      <c r="AM188" s="16">
        <f t="shared" si="10"/>
        <v>129600</v>
      </c>
      <c r="AN188" s="2">
        <f t="shared" si="11"/>
        <v>100</v>
      </c>
    </row>
    <row r="189" spans="1:40" x14ac:dyDescent="0.35">
      <c r="A189" s="14" t="s">
        <v>27</v>
      </c>
      <c r="B189" s="14" t="s">
        <v>28</v>
      </c>
      <c r="C189" s="14" t="s">
        <v>54</v>
      </c>
      <c r="D189" s="14" t="s">
        <v>614</v>
      </c>
      <c r="E189" s="14" t="s">
        <v>193</v>
      </c>
      <c r="F189" s="14" t="s">
        <v>32</v>
      </c>
      <c r="G189" s="14" t="s">
        <v>33</v>
      </c>
      <c r="H189" s="14" t="s">
        <v>964</v>
      </c>
      <c r="I189" s="14" t="s">
        <v>468</v>
      </c>
      <c r="J189" s="14" t="s">
        <v>468</v>
      </c>
      <c r="K189" s="14" t="s">
        <v>204</v>
      </c>
      <c r="L189" s="14" t="s">
        <v>973</v>
      </c>
      <c r="M189" s="14" t="s">
        <v>467</v>
      </c>
      <c r="N189" s="14" t="s">
        <v>974</v>
      </c>
      <c r="O189" s="14" t="s">
        <v>991</v>
      </c>
      <c r="P189" s="14"/>
      <c r="Q189" s="14" t="s">
        <v>196</v>
      </c>
      <c r="R189" s="14" t="s">
        <v>36</v>
      </c>
      <c r="S189" s="14" t="s">
        <v>104</v>
      </c>
      <c r="T189" s="14"/>
      <c r="U189" s="14" t="s">
        <v>267</v>
      </c>
      <c r="V189" s="22">
        <v>46186.257118055553</v>
      </c>
      <c r="W189" s="22">
        <v>46186.3750462963</v>
      </c>
      <c r="X189" s="15">
        <v>169.82</v>
      </c>
      <c r="Y189" s="22">
        <v>46186.257118055553</v>
      </c>
      <c r="Z189" s="15">
        <v>0</v>
      </c>
      <c r="AA189" s="15">
        <v>30</v>
      </c>
      <c r="AB189" s="15" t="s">
        <v>40</v>
      </c>
      <c r="AC189" s="15"/>
      <c r="AD189" s="15"/>
      <c r="AE189" s="15">
        <v>0</v>
      </c>
      <c r="AF189" s="15">
        <v>169.82</v>
      </c>
      <c r="AG189" s="15">
        <v>120</v>
      </c>
      <c r="AH189" s="15" t="s">
        <v>268</v>
      </c>
      <c r="AI189" s="14"/>
      <c r="AJ189" s="16">
        <v>129600</v>
      </c>
      <c r="AK189" s="1">
        <f t="shared" si="8"/>
        <v>129430.18</v>
      </c>
      <c r="AL189" s="2">
        <f t="shared" si="9"/>
        <v>99.868966049382706</v>
      </c>
      <c r="AM189" s="16">
        <f t="shared" si="10"/>
        <v>129600</v>
      </c>
      <c r="AN189" s="2">
        <f t="shared" si="11"/>
        <v>100</v>
      </c>
    </row>
    <row r="190" spans="1:40" x14ac:dyDescent="0.35">
      <c r="A190" s="14" t="s">
        <v>27</v>
      </c>
      <c r="B190" s="14" t="s">
        <v>28</v>
      </c>
      <c r="C190" s="14" t="s">
        <v>54</v>
      </c>
      <c r="D190" s="14" t="s">
        <v>744</v>
      </c>
      <c r="E190" s="14" t="s">
        <v>193</v>
      </c>
      <c r="F190" s="14" t="s">
        <v>32</v>
      </c>
      <c r="G190" s="14" t="s">
        <v>33</v>
      </c>
      <c r="H190" s="14" t="s">
        <v>964</v>
      </c>
      <c r="I190" s="14" t="s">
        <v>252</v>
      </c>
      <c r="J190" s="14" t="s">
        <v>252</v>
      </c>
      <c r="K190" s="14" t="s">
        <v>204</v>
      </c>
      <c r="L190" s="14" t="s">
        <v>973</v>
      </c>
      <c r="M190" s="14" t="s">
        <v>251</v>
      </c>
      <c r="N190" s="14" t="s">
        <v>974</v>
      </c>
      <c r="O190" s="14" t="s">
        <v>991</v>
      </c>
      <c r="P190" s="14"/>
      <c r="Q190" s="14" t="s">
        <v>196</v>
      </c>
      <c r="R190" s="14" t="s">
        <v>36</v>
      </c>
      <c r="S190" s="14" t="s">
        <v>104</v>
      </c>
      <c r="T190" s="14"/>
      <c r="U190" s="14" t="s">
        <v>267</v>
      </c>
      <c r="V190" s="22">
        <v>46186.257118055553</v>
      </c>
      <c r="W190" s="22">
        <v>46186.375659722224</v>
      </c>
      <c r="X190" s="15">
        <v>170.7</v>
      </c>
      <c r="Y190" s="22">
        <v>46186.25712962963</v>
      </c>
      <c r="Z190" s="15">
        <v>0.02</v>
      </c>
      <c r="AA190" s="15">
        <v>30</v>
      </c>
      <c r="AB190" s="15" t="s">
        <v>40</v>
      </c>
      <c r="AC190" s="15"/>
      <c r="AD190" s="15"/>
      <c r="AE190" s="15">
        <v>0</v>
      </c>
      <c r="AF190" s="15">
        <v>170.7</v>
      </c>
      <c r="AG190" s="15">
        <v>120</v>
      </c>
      <c r="AH190" s="15" t="s">
        <v>268</v>
      </c>
      <c r="AI190" s="14"/>
      <c r="AJ190" s="16">
        <v>129600</v>
      </c>
      <c r="AK190" s="1">
        <f t="shared" si="8"/>
        <v>129429.3</v>
      </c>
      <c r="AL190" s="2">
        <f t="shared" si="9"/>
        <v>99.868287037037035</v>
      </c>
      <c r="AM190" s="16">
        <f t="shared" si="10"/>
        <v>129600</v>
      </c>
      <c r="AN190" s="2">
        <f t="shared" si="11"/>
        <v>100</v>
      </c>
    </row>
    <row r="191" spans="1:40" x14ac:dyDescent="0.35">
      <c r="A191" s="14" t="s">
        <v>27</v>
      </c>
      <c r="B191" s="14" t="s">
        <v>28</v>
      </c>
      <c r="C191" s="14" t="s">
        <v>54</v>
      </c>
      <c r="D191" s="14" t="s">
        <v>722</v>
      </c>
      <c r="E191" s="14" t="s">
        <v>193</v>
      </c>
      <c r="F191" s="14" t="s">
        <v>32</v>
      </c>
      <c r="G191" s="14" t="s">
        <v>33</v>
      </c>
      <c r="H191" s="14" t="s">
        <v>964</v>
      </c>
      <c r="I191" s="14" t="s">
        <v>724</v>
      </c>
      <c r="J191" s="14" t="s">
        <v>724</v>
      </c>
      <c r="K191" s="14" t="s">
        <v>204</v>
      </c>
      <c r="L191" s="14" t="s">
        <v>973</v>
      </c>
      <c r="M191" s="14" t="s">
        <v>723</v>
      </c>
      <c r="N191" s="14" t="s">
        <v>974</v>
      </c>
      <c r="O191" s="14" t="s">
        <v>991</v>
      </c>
      <c r="P191" s="14"/>
      <c r="Q191" s="14" t="s">
        <v>196</v>
      </c>
      <c r="R191" s="14" t="s">
        <v>36</v>
      </c>
      <c r="S191" s="14" t="s">
        <v>104</v>
      </c>
      <c r="T191" s="14"/>
      <c r="U191" s="14" t="s">
        <v>267</v>
      </c>
      <c r="V191" s="22">
        <v>46186.257233796299</v>
      </c>
      <c r="W191" s="22">
        <v>46186.376076388886</v>
      </c>
      <c r="X191" s="15">
        <v>171.13</v>
      </c>
      <c r="Y191" s="22">
        <v>46186.257245370369</v>
      </c>
      <c r="Z191" s="15">
        <v>0.02</v>
      </c>
      <c r="AA191" s="15">
        <v>30</v>
      </c>
      <c r="AB191" s="15" t="s">
        <v>40</v>
      </c>
      <c r="AC191" s="15"/>
      <c r="AD191" s="15"/>
      <c r="AE191" s="15">
        <v>0</v>
      </c>
      <c r="AF191" s="15">
        <v>171.13</v>
      </c>
      <c r="AG191" s="15">
        <v>120</v>
      </c>
      <c r="AH191" s="15" t="s">
        <v>268</v>
      </c>
      <c r="AI191" s="14"/>
      <c r="AJ191" s="16">
        <v>129600</v>
      </c>
      <c r="AK191" s="1">
        <f t="shared" si="8"/>
        <v>129428.87</v>
      </c>
      <c r="AL191" s="2">
        <f t="shared" si="9"/>
        <v>99.867955246913581</v>
      </c>
      <c r="AM191" s="16">
        <f t="shared" si="10"/>
        <v>129600</v>
      </c>
      <c r="AN191" s="2">
        <f t="shared" si="11"/>
        <v>100</v>
      </c>
    </row>
    <row r="192" spans="1:40" x14ac:dyDescent="0.35">
      <c r="A192" s="14" t="s">
        <v>27</v>
      </c>
      <c r="B192" s="14" t="s">
        <v>28</v>
      </c>
      <c r="C192" s="14" t="s">
        <v>309</v>
      </c>
      <c r="D192" s="14" t="s">
        <v>396</v>
      </c>
      <c r="E192" s="14" t="s">
        <v>193</v>
      </c>
      <c r="F192" s="14" t="s">
        <v>32</v>
      </c>
      <c r="G192" s="14" t="s">
        <v>33</v>
      </c>
      <c r="H192" s="14" t="s">
        <v>964</v>
      </c>
      <c r="I192" s="14" t="s">
        <v>398</v>
      </c>
      <c r="J192" s="14" t="s">
        <v>398</v>
      </c>
      <c r="K192" s="14" t="s">
        <v>204</v>
      </c>
      <c r="L192" s="14" t="s">
        <v>973</v>
      </c>
      <c r="M192" s="14" t="s">
        <v>397</v>
      </c>
      <c r="N192" s="14" t="s">
        <v>974</v>
      </c>
      <c r="O192" s="14" t="s">
        <v>991</v>
      </c>
      <c r="P192" s="14"/>
      <c r="Q192" s="14" t="s">
        <v>196</v>
      </c>
      <c r="R192" s="14" t="s">
        <v>36</v>
      </c>
      <c r="S192" s="14" t="s">
        <v>104</v>
      </c>
      <c r="T192" s="14"/>
      <c r="U192" s="14" t="s">
        <v>399</v>
      </c>
      <c r="V192" s="22">
        <v>46186.257349537038</v>
      </c>
      <c r="W192" s="22">
        <v>46186.376388888886</v>
      </c>
      <c r="X192" s="15">
        <v>171.42</v>
      </c>
      <c r="Y192" s="22">
        <v>46186.257361111115</v>
      </c>
      <c r="Z192" s="15">
        <v>0.02</v>
      </c>
      <c r="AA192" s="15">
        <v>30</v>
      </c>
      <c r="AB192" s="15" t="s">
        <v>40</v>
      </c>
      <c r="AC192" s="15"/>
      <c r="AD192" s="15"/>
      <c r="AE192" s="15">
        <v>0</v>
      </c>
      <c r="AF192" s="15">
        <v>171.42</v>
      </c>
      <c r="AG192" s="15">
        <v>120</v>
      </c>
      <c r="AH192" s="15" t="s">
        <v>268</v>
      </c>
      <c r="AI192" s="14"/>
      <c r="AJ192" s="16">
        <v>129600</v>
      </c>
      <c r="AK192" s="1">
        <f t="shared" si="8"/>
        <v>129428.58</v>
      </c>
      <c r="AL192" s="2">
        <f t="shared" si="9"/>
        <v>99.867731481481485</v>
      </c>
      <c r="AM192" s="16">
        <f t="shared" si="10"/>
        <v>129600</v>
      </c>
      <c r="AN192" s="2">
        <f t="shared" si="11"/>
        <v>100</v>
      </c>
    </row>
    <row r="193" spans="1:40" x14ac:dyDescent="0.35">
      <c r="A193" s="14" t="s">
        <v>27</v>
      </c>
      <c r="B193" s="14" t="s">
        <v>28</v>
      </c>
      <c r="C193" s="14" t="s">
        <v>309</v>
      </c>
      <c r="D193" s="14" t="s">
        <v>728</v>
      </c>
      <c r="E193" s="14" t="s">
        <v>193</v>
      </c>
      <c r="F193" s="14" t="s">
        <v>32</v>
      </c>
      <c r="G193" s="14" t="s">
        <v>33</v>
      </c>
      <c r="H193" s="14" t="s">
        <v>964</v>
      </c>
      <c r="I193" s="14" t="s">
        <v>195</v>
      </c>
      <c r="J193" s="14" t="s">
        <v>195</v>
      </c>
      <c r="K193" s="14" t="s">
        <v>204</v>
      </c>
      <c r="L193" s="14" t="s">
        <v>973</v>
      </c>
      <c r="M193" s="14" t="s">
        <v>194</v>
      </c>
      <c r="N193" s="14" t="s">
        <v>974</v>
      </c>
      <c r="O193" s="14" t="s">
        <v>991</v>
      </c>
      <c r="P193" s="14"/>
      <c r="Q193" s="14" t="s">
        <v>196</v>
      </c>
      <c r="R193" s="14" t="s">
        <v>36</v>
      </c>
      <c r="S193" s="14" t="s">
        <v>104</v>
      </c>
      <c r="T193" s="14"/>
      <c r="U193" s="14" t="s">
        <v>729</v>
      </c>
      <c r="V193" s="22">
        <v>46186.257349537038</v>
      </c>
      <c r="W193" s="22">
        <v>46186.374305555553</v>
      </c>
      <c r="X193" s="15">
        <v>168.42</v>
      </c>
      <c r="Y193" s="22">
        <v>46186.257372685184</v>
      </c>
      <c r="Z193" s="15">
        <v>0.03</v>
      </c>
      <c r="AA193" s="15">
        <v>30</v>
      </c>
      <c r="AB193" s="15" t="s">
        <v>40</v>
      </c>
      <c r="AC193" s="15"/>
      <c r="AD193" s="15"/>
      <c r="AE193" s="15">
        <v>0</v>
      </c>
      <c r="AF193" s="15">
        <v>168.42</v>
      </c>
      <c r="AG193" s="15">
        <v>120</v>
      </c>
      <c r="AH193" s="15" t="s">
        <v>268</v>
      </c>
      <c r="AI193" s="14"/>
      <c r="AJ193" s="16">
        <v>129600</v>
      </c>
      <c r="AK193" s="1">
        <f t="shared" si="8"/>
        <v>129431.58</v>
      </c>
      <c r="AL193" s="2">
        <f t="shared" si="9"/>
        <v>99.870046296296294</v>
      </c>
      <c r="AM193" s="16">
        <f t="shared" si="10"/>
        <v>129600</v>
      </c>
      <c r="AN193" s="2">
        <f t="shared" si="11"/>
        <v>100</v>
      </c>
    </row>
    <row r="194" spans="1:40" x14ac:dyDescent="0.35">
      <c r="A194" s="14" t="s">
        <v>27</v>
      </c>
      <c r="B194" s="14" t="s">
        <v>28</v>
      </c>
      <c r="C194" s="14" t="s">
        <v>309</v>
      </c>
      <c r="D194" s="14" t="s">
        <v>829</v>
      </c>
      <c r="E194" s="14" t="s">
        <v>193</v>
      </c>
      <c r="F194" s="14" t="s">
        <v>32</v>
      </c>
      <c r="G194" s="14" t="s">
        <v>33</v>
      </c>
      <c r="H194" s="14" t="s">
        <v>964</v>
      </c>
      <c r="I194" s="14" t="s">
        <v>831</v>
      </c>
      <c r="J194" s="14" t="s">
        <v>831</v>
      </c>
      <c r="K194" s="14" t="s">
        <v>204</v>
      </c>
      <c r="L194" s="14" t="s">
        <v>973</v>
      </c>
      <c r="M194" s="14" t="s">
        <v>830</v>
      </c>
      <c r="N194" s="14" t="s">
        <v>974</v>
      </c>
      <c r="O194" s="14" t="s">
        <v>991</v>
      </c>
      <c r="P194" s="14"/>
      <c r="Q194" s="14" t="s">
        <v>196</v>
      </c>
      <c r="R194" s="14" t="s">
        <v>36</v>
      </c>
      <c r="S194" s="14" t="s">
        <v>104</v>
      </c>
      <c r="T194" s="14"/>
      <c r="U194" s="14" t="s">
        <v>729</v>
      </c>
      <c r="V194" s="22">
        <v>46186.257349537038</v>
      </c>
      <c r="W194" s="22">
        <v>46186.372916666667</v>
      </c>
      <c r="X194" s="15">
        <v>166.42</v>
      </c>
      <c r="Y194" s="22">
        <v>46186.257361111115</v>
      </c>
      <c r="Z194" s="15">
        <v>0.02</v>
      </c>
      <c r="AA194" s="15">
        <v>30</v>
      </c>
      <c r="AB194" s="15" t="s">
        <v>40</v>
      </c>
      <c r="AC194" s="15"/>
      <c r="AD194" s="15"/>
      <c r="AE194" s="15">
        <v>0</v>
      </c>
      <c r="AF194" s="15">
        <v>166.42</v>
      </c>
      <c r="AG194" s="15">
        <v>120</v>
      </c>
      <c r="AH194" s="15" t="s">
        <v>268</v>
      </c>
      <c r="AI194" s="14"/>
      <c r="AJ194" s="16">
        <v>129600</v>
      </c>
      <c r="AK194" s="1">
        <f t="shared" si="8"/>
        <v>129433.58</v>
      </c>
      <c r="AL194" s="2">
        <f t="shared" si="9"/>
        <v>99.871589506172839</v>
      </c>
      <c r="AM194" s="16">
        <f t="shared" si="10"/>
        <v>129600</v>
      </c>
      <c r="AN194" s="2">
        <f t="shared" si="11"/>
        <v>100</v>
      </c>
    </row>
    <row r="195" spans="1:40" x14ac:dyDescent="0.35">
      <c r="A195" s="14" t="s">
        <v>27</v>
      </c>
      <c r="B195" s="14" t="s">
        <v>28</v>
      </c>
      <c r="C195" s="14" t="s">
        <v>309</v>
      </c>
      <c r="D195" s="14" t="s">
        <v>670</v>
      </c>
      <c r="E195" s="14" t="s">
        <v>193</v>
      </c>
      <c r="F195" s="14" t="s">
        <v>32</v>
      </c>
      <c r="G195" s="14" t="s">
        <v>33</v>
      </c>
      <c r="H195" s="14" t="s">
        <v>964</v>
      </c>
      <c r="I195" s="14" t="s">
        <v>672</v>
      </c>
      <c r="J195" s="14" t="s">
        <v>672</v>
      </c>
      <c r="K195" s="14" t="s">
        <v>204</v>
      </c>
      <c r="L195" s="14" t="s">
        <v>973</v>
      </c>
      <c r="M195" s="14" t="s">
        <v>671</v>
      </c>
      <c r="N195" s="14" t="s">
        <v>974</v>
      </c>
      <c r="O195" s="14" t="s">
        <v>991</v>
      </c>
      <c r="P195" s="14"/>
      <c r="Q195" s="14" t="s">
        <v>196</v>
      </c>
      <c r="R195" s="14" t="s">
        <v>36</v>
      </c>
      <c r="S195" s="14" t="s">
        <v>104</v>
      </c>
      <c r="T195" s="14"/>
      <c r="U195" s="14" t="s">
        <v>673</v>
      </c>
      <c r="V195" s="22">
        <v>46186.257361111115</v>
      </c>
      <c r="W195" s="22">
        <v>46186.370138888888</v>
      </c>
      <c r="X195" s="15">
        <v>162.4</v>
      </c>
      <c r="Y195" s="22">
        <v>46186.257372685184</v>
      </c>
      <c r="Z195" s="15">
        <v>0.02</v>
      </c>
      <c r="AA195" s="15">
        <v>30</v>
      </c>
      <c r="AB195" s="15" t="s">
        <v>40</v>
      </c>
      <c r="AC195" s="15"/>
      <c r="AD195" s="15"/>
      <c r="AE195" s="15">
        <v>0</v>
      </c>
      <c r="AF195" s="15">
        <v>162.4</v>
      </c>
      <c r="AG195" s="15">
        <v>120</v>
      </c>
      <c r="AH195" s="15" t="s">
        <v>268</v>
      </c>
      <c r="AI195" s="14"/>
      <c r="AJ195" s="16">
        <v>129600</v>
      </c>
      <c r="AK195" s="1">
        <f t="shared" ref="AK195:AK258" si="12">AJ195-AF195</f>
        <v>129437.6</v>
      </c>
      <c r="AL195" s="2">
        <f t="shared" ref="AL195:AL258" si="13">AK195/AJ195*100</f>
        <v>99.874691358024691</v>
      </c>
      <c r="AM195" s="16">
        <f t="shared" ref="AM195:AM258" si="14">AJ195-AE195</f>
        <v>129600</v>
      </c>
      <c r="AN195" s="2">
        <f t="shared" ref="AN195:AN258" si="15">AM195/AJ195*100</f>
        <v>100</v>
      </c>
    </row>
    <row r="196" spans="1:40" x14ac:dyDescent="0.35">
      <c r="A196" s="14" t="s">
        <v>27</v>
      </c>
      <c r="B196" s="14" t="s">
        <v>28</v>
      </c>
      <c r="C196" s="14" t="s">
        <v>309</v>
      </c>
      <c r="D196" s="14" t="s">
        <v>408</v>
      </c>
      <c r="E196" s="14" t="s">
        <v>193</v>
      </c>
      <c r="F196" s="14" t="s">
        <v>32</v>
      </c>
      <c r="G196" s="14" t="s">
        <v>33</v>
      </c>
      <c r="H196" s="14" t="s">
        <v>964</v>
      </c>
      <c r="I196" s="14" t="s">
        <v>410</v>
      </c>
      <c r="J196" s="14" t="s">
        <v>410</v>
      </c>
      <c r="K196" s="14" t="s">
        <v>204</v>
      </c>
      <c r="L196" s="14" t="s">
        <v>973</v>
      </c>
      <c r="M196" s="14" t="s">
        <v>409</v>
      </c>
      <c r="N196" s="14" t="s">
        <v>974</v>
      </c>
      <c r="O196" s="14" t="s">
        <v>991</v>
      </c>
      <c r="P196" s="14"/>
      <c r="Q196" s="14" t="s">
        <v>196</v>
      </c>
      <c r="R196" s="14" t="s">
        <v>36</v>
      </c>
      <c r="S196" s="14" t="s">
        <v>104</v>
      </c>
      <c r="T196" s="14"/>
      <c r="U196" s="14" t="s">
        <v>411</v>
      </c>
      <c r="V196" s="22">
        <v>46186.257465277777</v>
      </c>
      <c r="W196" s="22">
        <v>46186.368750000001</v>
      </c>
      <c r="X196" s="15">
        <v>160.25</v>
      </c>
      <c r="Y196" s="22">
        <v>46186.257476851853</v>
      </c>
      <c r="Z196" s="15">
        <v>0.02</v>
      </c>
      <c r="AA196" s="15">
        <v>30</v>
      </c>
      <c r="AB196" s="15" t="s">
        <v>40</v>
      </c>
      <c r="AC196" s="15"/>
      <c r="AD196" s="15"/>
      <c r="AE196" s="15">
        <v>0</v>
      </c>
      <c r="AF196" s="15">
        <v>160.25</v>
      </c>
      <c r="AG196" s="15">
        <v>120</v>
      </c>
      <c r="AH196" s="15" t="s">
        <v>268</v>
      </c>
      <c r="AI196" s="14"/>
      <c r="AJ196" s="16">
        <v>129600</v>
      </c>
      <c r="AK196" s="1">
        <f t="shared" si="12"/>
        <v>129439.75</v>
      </c>
      <c r="AL196" s="2">
        <f t="shared" si="13"/>
        <v>99.876350308641975</v>
      </c>
      <c r="AM196" s="16">
        <f t="shared" si="14"/>
        <v>129600</v>
      </c>
      <c r="AN196" s="2">
        <f t="shared" si="15"/>
        <v>100</v>
      </c>
    </row>
    <row r="197" spans="1:40" x14ac:dyDescent="0.35">
      <c r="A197" s="14" t="s">
        <v>27</v>
      </c>
      <c r="B197" s="14" t="s">
        <v>28</v>
      </c>
      <c r="C197" s="14" t="s">
        <v>309</v>
      </c>
      <c r="D197" s="14" t="s">
        <v>793</v>
      </c>
      <c r="E197" s="14" t="s">
        <v>193</v>
      </c>
      <c r="F197" s="14" t="s">
        <v>32</v>
      </c>
      <c r="G197" s="14" t="s">
        <v>33</v>
      </c>
      <c r="H197" s="14" t="s">
        <v>964</v>
      </c>
      <c r="I197" s="14" t="s">
        <v>795</v>
      </c>
      <c r="J197" s="14" t="s">
        <v>795</v>
      </c>
      <c r="K197" s="14" t="s">
        <v>204</v>
      </c>
      <c r="L197" s="14" t="s">
        <v>973</v>
      </c>
      <c r="M197" s="14" t="s">
        <v>794</v>
      </c>
      <c r="N197" s="14" t="s">
        <v>974</v>
      </c>
      <c r="O197" s="14" t="s">
        <v>991</v>
      </c>
      <c r="P197" s="14"/>
      <c r="Q197" s="14" t="s">
        <v>196</v>
      </c>
      <c r="R197" s="14" t="s">
        <v>36</v>
      </c>
      <c r="S197" s="14" t="s">
        <v>104</v>
      </c>
      <c r="T197" s="14"/>
      <c r="U197" s="14" t="s">
        <v>796</v>
      </c>
      <c r="V197" s="22">
        <v>46186.257511574076</v>
      </c>
      <c r="W197" s="22">
        <v>46186.362500000003</v>
      </c>
      <c r="X197" s="15">
        <v>151.18</v>
      </c>
      <c r="Y197" s="22">
        <v>46186.257523148146</v>
      </c>
      <c r="Z197" s="15">
        <v>0.02</v>
      </c>
      <c r="AA197" s="15">
        <v>30</v>
      </c>
      <c r="AB197" s="15" t="s">
        <v>40</v>
      </c>
      <c r="AC197" s="15"/>
      <c r="AD197" s="15"/>
      <c r="AE197" s="15">
        <v>0</v>
      </c>
      <c r="AF197" s="15">
        <v>151.18</v>
      </c>
      <c r="AG197" s="15">
        <v>120</v>
      </c>
      <c r="AH197" s="15" t="s">
        <v>268</v>
      </c>
      <c r="AI197" s="14"/>
      <c r="AJ197" s="16">
        <v>129600</v>
      </c>
      <c r="AK197" s="1">
        <f t="shared" si="12"/>
        <v>129448.82</v>
      </c>
      <c r="AL197" s="2">
        <f t="shared" si="13"/>
        <v>99.883348765432103</v>
      </c>
      <c r="AM197" s="16">
        <f t="shared" si="14"/>
        <v>129600</v>
      </c>
      <c r="AN197" s="2">
        <f t="shared" si="15"/>
        <v>100</v>
      </c>
    </row>
    <row r="198" spans="1:40" x14ac:dyDescent="0.35">
      <c r="A198" s="14" t="s">
        <v>27</v>
      </c>
      <c r="B198" s="14" t="s">
        <v>28</v>
      </c>
      <c r="C198" s="14" t="s">
        <v>309</v>
      </c>
      <c r="D198" s="14" t="s">
        <v>815</v>
      </c>
      <c r="E198" s="14" t="s">
        <v>193</v>
      </c>
      <c r="F198" s="14" t="s">
        <v>32</v>
      </c>
      <c r="G198" s="14" t="s">
        <v>33</v>
      </c>
      <c r="H198" s="14" t="s">
        <v>964</v>
      </c>
      <c r="I198" s="14" t="s">
        <v>817</v>
      </c>
      <c r="J198" s="14" t="s">
        <v>817</v>
      </c>
      <c r="K198" s="14" t="s">
        <v>204</v>
      </c>
      <c r="L198" s="14" t="s">
        <v>973</v>
      </c>
      <c r="M198" s="14" t="s">
        <v>816</v>
      </c>
      <c r="N198" s="14" t="s">
        <v>974</v>
      </c>
      <c r="O198" s="14" t="s">
        <v>991</v>
      </c>
      <c r="P198" s="14"/>
      <c r="Q198" s="14" t="s">
        <v>196</v>
      </c>
      <c r="R198" s="14" t="s">
        <v>36</v>
      </c>
      <c r="S198" s="14" t="s">
        <v>104</v>
      </c>
      <c r="T198" s="14"/>
      <c r="U198" s="14" t="s">
        <v>818</v>
      </c>
      <c r="V198" s="22">
        <v>46186.257511574076</v>
      </c>
      <c r="W198" s="22">
        <v>46186.364583333336</v>
      </c>
      <c r="X198" s="15">
        <v>154.18</v>
      </c>
      <c r="Y198" s="22">
        <v>46186.257523148146</v>
      </c>
      <c r="Z198" s="15">
        <v>0.02</v>
      </c>
      <c r="AA198" s="15">
        <v>30</v>
      </c>
      <c r="AB198" s="15" t="s">
        <v>40</v>
      </c>
      <c r="AC198" s="15"/>
      <c r="AD198" s="15"/>
      <c r="AE198" s="15">
        <v>0</v>
      </c>
      <c r="AF198" s="15">
        <v>154.18</v>
      </c>
      <c r="AG198" s="15">
        <v>120</v>
      </c>
      <c r="AH198" s="15" t="s">
        <v>268</v>
      </c>
      <c r="AI198" s="14"/>
      <c r="AJ198" s="16">
        <v>129600</v>
      </c>
      <c r="AK198" s="1">
        <f t="shared" si="12"/>
        <v>129445.82</v>
      </c>
      <c r="AL198" s="2">
        <f t="shared" si="13"/>
        <v>99.881033950617294</v>
      </c>
      <c r="AM198" s="16">
        <f t="shared" si="14"/>
        <v>129600</v>
      </c>
      <c r="AN198" s="2">
        <f t="shared" si="15"/>
        <v>100</v>
      </c>
    </row>
    <row r="199" spans="1:40" x14ac:dyDescent="0.35">
      <c r="A199" s="14" t="s">
        <v>27</v>
      </c>
      <c r="B199" s="14" t="s">
        <v>28</v>
      </c>
      <c r="C199" s="14" t="s">
        <v>309</v>
      </c>
      <c r="D199" s="14" t="s">
        <v>435</v>
      </c>
      <c r="E199" s="14" t="s">
        <v>193</v>
      </c>
      <c r="F199" s="14" t="s">
        <v>32</v>
      </c>
      <c r="G199" s="14" t="s">
        <v>33</v>
      </c>
      <c r="H199" s="14" t="s">
        <v>964</v>
      </c>
      <c r="I199" s="14" t="s">
        <v>437</v>
      </c>
      <c r="J199" s="14" t="s">
        <v>437</v>
      </c>
      <c r="K199" s="14" t="s">
        <v>204</v>
      </c>
      <c r="L199" s="14" t="s">
        <v>973</v>
      </c>
      <c r="M199" s="14" t="s">
        <v>436</v>
      </c>
      <c r="N199" s="14" t="s">
        <v>974</v>
      </c>
      <c r="O199" s="14" t="s">
        <v>991</v>
      </c>
      <c r="P199" s="14"/>
      <c r="Q199" s="14" t="s">
        <v>196</v>
      </c>
      <c r="R199" s="14" t="s">
        <v>36</v>
      </c>
      <c r="S199" s="14" t="s">
        <v>104</v>
      </c>
      <c r="T199" s="14"/>
      <c r="U199" s="14" t="s">
        <v>438</v>
      </c>
      <c r="V199" s="22">
        <v>46186.257592592592</v>
      </c>
      <c r="W199" s="22">
        <v>46186.35833333333</v>
      </c>
      <c r="X199" s="15">
        <v>145.07</v>
      </c>
      <c r="Y199" s="22">
        <v>46186.257604166669</v>
      </c>
      <c r="Z199" s="15">
        <v>0.02</v>
      </c>
      <c r="AA199" s="15">
        <v>30</v>
      </c>
      <c r="AB199" s="15" t="s">
        <v>40</v>
      </c>
      <c r="AC199" s="15"/>
      <c r="AD199" s="15"/>
      <c r="AE199" s="15">
        <v>0</v>
      </c>
      <c r="AF199" s="15">
        <v>145.07</v>
      </c>
      <c r="AG199" s="15">
        <v>120</v>
      </c>
      <c r="AH199" s="15" t="s">
        <v>268</v>
      </c>
      <c r="AI199" s="14"/>
      <c r="AJ199" s="16">
        <v>129600</v>
      </c>
      <c r="AK199" s="1">
        <f t="shared" si="12"/>
        <v>129454.93</v>
      </c>
      <c r="AL199" s="2">
        <f t="shared" si="13"/>
        <v>99.888063271604935</v>
      </c>
      <c r="AM199" s="16">
        <f t="shared" si="14"/>
        <v>129600</v>
      </c>
      <c r="AN199" s="2">
        <f t="shared" si="15"/>
        <v>100</v>
      </c>
    </row>
    <row r="200" spans="1:40" x14ac:dyDescent="0.35">
      <c r="A200" s="14" t="s">
        <v>27</v>
      </c>
      <c r="B200" s="14" t="s">
        <v>28</v>
      </c>
      <c r="C200" s="14" t="s">
        <v>309</v>
      </c>
      <c r="D200" s="14" t="s">
        <v>746</v>
      </c>
      <c r="E200" s="14" t="s">
        <v>193</v>
      </c>
      <c r="F200" s="14" t="s">
        <v>32</v>
      </c>
      <c r="G200" s="14" t="s">
        <v>33</v>
      </c>
      <c r="H200" s="14" t="s">
        <v>964</v>
      </c>
      <c r="I200" s="14" t="s">
        <v>402</v>
      </c>
      <c r="J200" s="14" t="s">
        <v>402</v>
      </c>
      <c r="K200" s="14" t="s">
        <v>204</v>
      </c>
      <c r="L200" s="14" t="s">
        <v>973</v>
      </c>
      <c r="M200" s="14" t="s">
        <v>401</v>
      </c>
      <c r="N200" s="14" t="s">
        <v>974</v>
      </c>
      <c r="O200" s="14" t="s">
        <v>991</v>
      </c>
      <c r="P200" s="14"/>
      <c r="Q200" s="14" t="s">
        <v>196</v>
      </c>
      <c r="R200" s="14" t="s">
        <v>36</v>
      </c>
      <c r="S200" s="14" t="s">
        <v>104</v>
      </c>
      <c r="T200" s="14"/>
      <c r="U200" s="14" t="s">
        <v>747</v>
      </c>
      <c r="V200" s="22">
        <v>46186.257592592592</v>
      </c>
      <c r="W200" s="22">
        <v>46186.36041666667</v>
      </c>
      <c r="X200" s="15">
        <v>148.07</v>
      </c>
      <c r="Y200" s="22">
        <v>46186.257615740738</v>
      </c>
      <c r="Z200" s="15">
        <v>0.03</v>
      </c>
      <c r="AA200" s="15">
        <v>30</v>
      </c>
      <c r="AB200" s="15" t="s">
        <v>40</v>
      </c>
      <c r="AC200" s="15"/>
      <c r="AD200" s="15"/>
      <c r="AE200" s="15">
        <v>0</v>
      </c>
      <c r="AF200" s="15">
        <v>148.07</v>
      </c>
      <c r="AG200" s="15">
        <v>120</v>
      </c>
      <c r="AH200" s="15" t="s">
        <v>268</v>
      </c>
      <c r="AI200" s="14"/>
      <c r="AJ200" s="16">
        <v>129600</v>
      </c>
      <c r="AK200" s="1">
        <f t="shared" si="12"/>
        <v>129451.93</v>
      </c>
      <c r="AL200" s="2">
        <f t="shared" si="13"/>
        <v>99.885748456790111</v>
      </c>
      <c r="AM200" s="16">
        <f t="shared" si="14"/>
        <v>129600</v>
      </c>
      <c r="AN200" s="2">
        <f t="shared" si="15"/>
        <v>100</v>
      </c>
    </row>
    <row r="201" spans="1:40" x14ac:dyDescent="0.35">
      <c r="A201" s="14" t="s">
        <v>27</v>
      </c>
      <c r="B201" s="14" t="s">
        <v>28</v>
      </c>
      <c r="C201" s="14" t="s">
        <v>54</v>
      </c>
      <c r="D201" s="14" t="s">
        <v>802</v>
      </c>
      <c r="E201" s="14" t="s">
        <v>218</v>
      </c>
      <c r="F201" s="14" t="s">
        <v>32</v>
      </c>
      <c r="G201" s="14" t="s">
        <v>33</v>
      </c>
      <c r="H201" s="14" t="s">
        <v>963</v>
      </c>
      <c r="I201" s="14" t="s">
        <v>103</v>
      </c>
      <c r="J201" s="14" t="s">
        <v>103</v>
      </c>
      <c r="K201" s="14" t="s">
        <v>976</v>
      </c>
      <c r="L201" s="14" t="s">
        <v>967</v>
      </c>
      <c r="M201" s="14" t="s">
        <v>102</v>
      </c>
      <c r="N201" s="14" t="s">
        <v>977</v>
      </c>
      <c r="O201" s="14" t="s">
        <v>978</v>
      </c>
      <c r="P201" s="14"/>
      <c r="Q201" s="14" t="s">
        <v>196</v>
      </c>
      <c r="R201" s="14" t="s">
        <v>36</v>
      </c>
      <c r="S201" s="14" t="s">
        <v>97</v>
      </c>
      <c r="T201" s="14" t="s">
        <v>803</v>
      </c>
      <c r="U201" s="14" t="s">
        <v>804</v>
      </c>
      <c r="V201" s="22">
        <v>46186.282256944447</v>
      </c>
      <c r="W201" s="22">
        <v>46189.944444444445</v>
      </c>
      <c r="X201" s="15">
        <v>5273.55</v>
      </c>
      <c r="Y201" s="22">
        <v>46186.282268518517</v>
      </c>
      <c r="Z201" s="15">
        <v>0.02</v>
      </c>
      <c r="AA201" s="15">
        <v>30</v>
      </c>
      <c r="AB201" s="15" t="s">
        <v>40</v>
      </c>
      <c r="AC201" s="22">
        <v>46186.328101851854</v>
      </c>
      <c r="AD201" s="22">
        <v>46189.942476851851</v>
      </c>
      <c r="AE201" s="15">
        <v>5204.7</v>
      </c>
      <c r="AF201" s="15">
        <v>68.849999999999994</v>
      </c>
      <c r="AG201" s="15">
        <v>120</v>
      </c>
      <c r="AH201" s="15" t="s">
        <v>40</v>
      </c>
      <c r="AI201" s="14"/>
      <c r="AJ201" s="16">
        <v>129600</v>
      </c>
      <c r="AK201" s="1">
        <f t="shared" si="12"/>
        <v>129531.15</v>
      </c>
      <c r="AL201" s="2">
        <f t="shared" si="13"/>
        <v>99.946874999999991</v>
      </c>
      <c r="AM201" s="16">
        <f t="shared" si="14"/>
        <v>124395.3</v>
      </c>
      <c r="AN201" s="2">
        <f t="shared" si="15"/>
        <v>95.984027777777783</v>
      </c>
    </row>
    <row r="202" spans="1:40" x14ac:dyDescent="0.35">
      <c r="A202" s="14" t="s">
        <v>27</v>
      </c>
      <c r="B202" s="14" t="s">
        <v>28</v>
      </c>
      <c r="C202" s="14" t="s">
        <v>309</v>
      </c>
      <c r="D202" s="14" t="s">
        <v>361</v>
      </c>
      <c r="E202" s="14" t="s">
        <v>193</v>
      </c>
      <c r="F202" s="14" t="s">
        <v>32</v>
      </c>
      <c r="G202" s="14" t="s">
        <v>33</v>
      </c>
      <c r="H202" s="14" t="s">
        <v>964</v>
      </c>
      <c r="I202" s="14" t="s">
        <v>363</v>
      </c>
      <c r="J202" s="14" t="s">
        <v>363</v>
      </c>
      <c r="K202" s="14" t="s">
        <v>204</v>
      </c>
      <c r="L202" s="14" t="s">
        <v>973</v>
      </c>
      <c r="M202" s="14" t="s">
        <v>362</v>
      </c>
      <c r="N202" s="14" t="s">
        <v>990</v>
      </c>
      <c r="O202" s="14" t="s">
        <v>991</v>
      </c>
      <c r="P202" s="14"/>
      <c r="Q202" s="14" t="s">
        <v>196</v>
      </c>
      <c r="R202" s="14" t="s">
        <v>36</v>
      </c>
      <c r="S202" s="14" t="s">
        <v>104</v>
      </c>
      <c r="T202" s="14"/>
      <c r="U202" s="14" t="s">
        <v>364</v>
      </c>
      <c r="V202" s="22">
        <v>46186.331712962965</v>
      </c>
      <c r="W202" s="22">
        <v>46186.354166666664</v>
      </c>
      <c r="X202" s="15">
        <v>32.33</v>
      </c>
      <c r="Y202" s="22">
        <v>46186.331712962965</v>
      </c>
      <c r="Z202" s="15">
        <v>0</v>
      </c>
      <c r="AA202" s="15">
        <v>30</v>
      </c>
      <c r="AB202" s="15" t="s">
        <v>40</v>
      </c>
      <c r="AC202" s="15"/>
      <c r="AD202" s="15"/>
      <c r="AE202" s="15">
        <v>0</v>
      </c>
      <c r="AF202" s="15">
        <v>32.33</v>
      </c>
      <c r="AG202" s="15">
        <v>120</v>
      </c>
      <c r="AH202" s="15" t="s">
        <v>40</v>
      </c>
      <c r="AI202" s="14"/>
      <c r="AJ202" s="16">
        <v>129600</v>
      </c>
      <c r="AK202" s="1">
        <f t="shared" si="12"/>
        <v>129567.67</v>
      </c>
      <c r="AL202" s="2">
        <f t="shared" si="13"/>
        <v>99.97505401234568</v>
      </c>
      <c r="AM202" s="16">
        <f t="shared" si="14"/>
        <v>129600</v>
      </c>
      <c r="AN202" s="2">
        <f t="shared" si="15"/>
        <v>100</v>
      </c>
    </row>
    <row r="203" spans="1:40" x14ac:dyDescent="0.35">
      <c r="A203" s="14" t="s">
        <v>27</v>
      </c>
      <c r="B203" s="14" t="s">
        <v>28</v>
      </c>
      <c r="C203" s="14" t="s">
        <v>309</v>
      </c>
      <c r="D203" s="14" t="s">
        <v>824</v>
      </c>
      <c r="E203" s="14" t="s">
        <v>193</v>
      </c>
      <c r="F203" s="14" t="s">
        <v>32</v>
      </c>
      <c r="G203" s="14" t="s">
        <v>33</v>
      </c>
      <c r="H203" s="14" t="s">
        <v>964</v>
      </c>
      <c r="I203" s="14" t="s">
        <v>826</v>
      </c>
      <c r="J203" s="14" t="s">
        <v>826</v>
      </c>
      <c r="K203" s="14" t="s">
        <v>204</v>
      </c>
      <c r="L203" s="14" t="s">
        <v>973</v>
      </c>
      <c r="M203" s="14" t="s">
        <v>825</v>
      </c>
      <c r="N203" s="14" t="s">
        <v>974</v>
      </c>
      <c r="O203" s="14" t="s">
        <v>991</v>
      </c>
      <c r="P203" s="14"/>
      <c r="Q203" s="14" t="s">
        <v>196</v>
      </c>
      <c r="R203" s="14" t="s">
        <v>36</v>
      </c>
      <c r="S203" s="14" t="s">
        <v>104</v>
      </c>
      <c r="T203" s="14"/>
      <c r="U203" s="14" t="s">
        <v>827</v>
      </c>
      <c r="V203" s="22">
        <v>46186.331736111111</v>
      </c>
      <c r="W203" s="22">
        <v>46186.347916666666</v>
      </c>
      <c r="X203" s="15">
        <v>23.3</v>
      </c>
      <c r="Y203" s="22">
        <v>46186.331747685188</v>
      </c>
      <c r="Z203" s="15">
        <v>0.02</v>
      </c>
      <c r="AA203" s="15">
        <v>30</v>
      </c>
      <c r="AB203" s="15" t="s">
        <v>40</v>
      </c>
      <c r="AC203" s="15"/>
      <c r="AD203" s="15"/>
      <c r="AE203" s="15">
        <v>0</v>
      </c>
      <c r="AF203" s="15">
        <v>23.3</v>
      </c>
      <c r="AG203" s="15">
        <v>120</v>
      </c>
      <c r="AH203" s="15" t="s">
        <v>40</v>
      </c>
      <c r="AI203" s="14"/>
      <c r="AJ203" s="16">
        <v>129600</v>
      </c>
      <c r="AK203" s="1">
        <f t="shared" si="12"/>
        <v>129576.7</v>
      </c>
      <c r="AL203" s="2">
        <f t="shared" si="13"/>
        <v>99.982021604938268</v>
      </c>
      <c r="AM203" s="16">
        <f t="shared" si="14"/>
        <v>129600</v>
      </c>
      <c r="AN203" s="2">
        <f t="shared" si="15"/>
        <v>100</v>
      </c>
    </row>
    <row r="204" spans="1:40" x14ac:dyDescent="0.35">
      <c r="A204" s="14" t="s">
        <v>27</v>
      </c>
      <c r="B204" s="14" t="s">
        <v>28</v>
      </c>
      <c r="C204" s="14" t="s">
        <v>309</v>
      </c>
      <c r="D204" s="14" t="s">
        <v>349</v>
      </c>
      <c r="E204" s="14" t="s">
        <v>193</v>
      </c>
      <c r="F204" s="14" t="s">
        <v>32</v>
      </c>
      <c r="G204" s="14" t="s">
        <v>33</v>
      </c>
      <c r="H204" s="14" t="s">
        <v>964</v>
      </c>
      <c r="I204" s="14" t="s">
        <v>351</v>
      </c>
      <c r="J204" s="14" t="s">
        <v>351</v>
      </c>
      <c r="K204" s="14" t="s">
        <v>204</v>
      </c>
      <c r="L204" s="14" t="s">
        <v>973</v>
      </c>
      <c r="M204" s="14" t="s">
        <v>350</v>
      </c>
      <c r="N204" s="14" t="s">
        <v>974</v>
      </c>
      <c r="O204" s="14" t="s">
        <v>991</v>
      </c>
      <c r="P204" s="14"/>
      <c r="Q204" s="14" t="s">
        <v>196</v>
      </c>
      <c r="R204" s="14" t="s">
        <v>36</v>
      </c>
      <c r="S204" s="14" t="s">
        <v>104</v>
      </c>
      <c r="T204" s="14"/>
      <c r="U204" s="14" t="s">
        <v>352</v>
      </c>
      <c r="V204" s="22">
        <v>46186.331863425927</v>
      </c>
      <c r="W204" s="22">
        <v>46186.352083333331</v>
      </c>
      <c r="X204" s="15">
        <v>29.12</v>
      </c>
      <c r="Y204" s="22">
        <v>46186.331875000003</v>
      </c>
      <c r="Z204" s="15">
        <v>0.02</v>
      </c>
      <c r="AA204" s="15">
        <v>30</v>
      </c>
      <c r="AB204" s="15" t="s">
        <v>40</v>
      </c>
      <c r="AC204" s="15"/>
      <c r="AD204" s="15"/>
      <c r="AE204" s="15">
        <v>0</v>
      </c>
      <c r="AF204" s="15">
        <v>29.12</v>
      </c>
      <c r="AG204" s="15">
        <v>120</v>
      </c>
      <c r="AH204" s="15" t="s">
        <v>40</v>
      </c>
      <c r="AI204" s="14"/>
      <c r="AJ204" s="16">
        <v>129600</v>
      </c>
      <c r="AK204" s="1">
        <f t="shared" si="12"/>
        <v>129570.88</v>
      </c>
      <c r="AL204" s="2">
        <f t="shared" si="13"/>
        <v>99.977530864197533</v>
      </c>
      <c r="AM204" s="16">
        <f t="shared" si="14"/>
        <v>129600</v>
      </c>
      <c r="AN204" s="2">
        <f t="shared" si="15"/>
        <v>100</v>
      </c>
    </row>
    <row r="205" spans="1:40" x14ac:dyDescent="0.35">
      <c r="A205" s="14" t="s">
        <v>27</v>
      </c>
      <c r="B205" s="14" t="s">
        <v>28</v>
      </c>
      <c r="C205" s="14" t="s">
        <v>47</v>
      </c>
      <c r="D205" s="14" t="s">
        <v>385</v>
      </c>
      <c r="E205" s="14" t="s">
        <v>193</v>
      </c>
      <c r="F205" s="14" t="s">
        <v>32</v>
      </c>
      <c r="G205" s="14" t="s">
        <v>33</v>
      </c>
      <c r="H205" s="14" t="s">
        <v>964</v>
      </c>
      <c r="I205" s="14" t="s">
        <v>387</v>
      </c>
      <c r="J205" s="14" t="s">
        <v>387</v>
      </c>
      <c r="K205" s="14" t="s">
        <v>204</v>
      </c>
      <c r="L205" s="14" t="s">
        <v>973</v>
      </c>
      <c r="M205" s="14" t="s">
        <v>386</v>
      </c>
      <c r="N205" s="14" t="s">
        <v>974</v>
      </c>
      <c r="O205" s="14" t="s">
        <v>991</v>
      </c>
      <c r="P205" s="14"/>
      <c r="Q205" s="14" t="s">
        <v>196</v>
      </c>
      <c r="R205" s="14" t="s">
        <v>36</v>
      </c>
      <c r="S205" s="14" t="s">
        <v>104</v>
      </c>
      <c r="T205" s="14" t="s">
        <v>237</v>
      </c>
      <c r="U205" s="14" t="s">
        <v>222</v>
      </c>
      <c r="V205" s="22">
        <v>46186.725543981483</v>
      </c>
      <c r="W205" s="22">
        <v>46187.375</v>
      </c>
      <c r="X205" s="15">
        <v>935.22</v>
      </c>
      <c r="Y205" s="22">
        <v>46186.725555555553</v>
      </c>
      <c r="Z205" s="15">
        <v>0.02</v>
      </c>
      <c r="AA205" s="15">
        <v>30</v>
      </c>
      <c r="AB205" s="15" t="s">
        <v>40</v>
      </c>
      <c r="AC205" s="22">
        <v>46186.728796296295</v>
      </c>
      <c r="AD205" s="22">
        <v>46187.333518518521</v>
      </c>
      <c r="AE205" s="15">
        <v>870.8</v>
      </c>
      <c r="AF205" s="15">
        <v>64.42</v>
      </c>
      <c r="AG205" s="15">
        <v>120</v>
      </c>
      <c r="AH205" s="15" t="s">
        <v>40</v>
      </c>
      <c r="AI205" s="14"/>
      <c r="AJ205" s="16">
        <v>129600</v>
      </c>
      <c r="AK205" s="1">
        <f t="shared" si="12"/>
        <v>129535.58</v>
      </c>
      <c r="AL205" s="2">
        <f t="shared" si="13"/>
        <v>99.950293209876534</v>
      </c>
      <c r="AM205" s="16">
        <f t="shared" si="14"/>
        <v>128729.2</v>
      </c>
      <c r="AN205" s="2">
        <f t="shared" si="15"/>
        <v>99.328086419753078</v>
      </c>
    </row>
    <row r="206" spans="1:40" x14ac:dyDescent="0.35">
      <c r="A206" s="14" t="s">
        <v>27</v>
      </c>
      <c r="B206" s="14" t="s">
        <v>28</v>
      </c>
      <c r="C206" s="14" t="s">
        <v>47</v>
      </c>
      <c r="D206" s="14" t="s">
        <v>632</v>
      </c>
      <c r="E206" s="14" t="s">
        <v>193</v>
      </c>
      <c r="F206" s="14" t="s">
        <v>32</v>
      </c>
      <c r="G206" s="14" t="s">
        <v>33</v>
      </c>
      <c r="H206" s="14" t="s">
        <v>964</v>
      </c>
      <c r="I206" s="14" t="s">
        <v>557</v>
      </c>
      <c r="J206" s="14" t="s">
        <v>557</v>
      </c>
      <c r="K206" s="14" t="s">
        <v>1033</v>
      </c>
      <c r="L206" s="14" t="s">
        <v>967</v>
      </c>
      <c r="M206" s="14">
        <v>1</v>
      </c>
      <c r="N206" s="14" t="e">
        <v>#N/A</v>
      </c>
      <c r="O206" s="14" t="e">
        <v>#N/A</v>
      </c>
      <c r="P206" s="14"/>
      <c r="Q206" s="14" t="s">
        <v>196</v>
      </c>
      <c r="R206" s="14" t="s">
        <v>36</v>
      </c>
      <c r="S206" s="14" t="s">
        <v>104</v>
      </c>
      <c r="T206" s="14" t="s">
        <v>237</v>
      </c>
      <c r="U206" s="14" t="s">
        <v>222</v>
      </c>
      <c r="V206" s="22">
        <v>46186.738425925927</v>
      </c>
      <c r="W206" s="22">
        <v>46187.333333333336</v>
      </c>
      <c r="X206" s="15">
        <v>856.67</v>
      </c>
      <c r="Y206" s="22">
        <v>46186.738437499997</v>
      </c>
      <c r="Z206" s="15">
        <v>0.02</v>
      </c>
      <c r="AA206" s="15">
        <v>30</v>
      </c>
      <c r="AB206" s="15" t="s">
        <v>40</v>
      </c>
      <c r="AC206" s="22">
        <v>46186.741666666669</v>
      </c>
      <c r="AD206" s="22">
        <v>46187.332974537036</v>
      </c>
      <c r="AE206" s="15">
        <v>851.48</v>
      </c>
      <c r="AF206" s="15">
        <v>5.18</v>
      </c>
      <c r="AG206" s="15">
        <v>120</v>
      </c>
      <c r="AH206" s="15" t="s">
        <v>40</v>
      </c>
      <c r="AI206" s="14"/>
      <c r="AJ206" s="16">
        <v>129600</v>
      </c>
      <c r="AK206" s="1">
        <f t="shared" si="12"/>
        <v>129594.82</v>
      </c>
      <c r="AL206" s="2">
        <f t="shared" si="13"/>
        <v>99.996003086419762</v>
      </c>
      <c r="AM206" s="16">
        <f t="shared" si="14"/>
        <v>128748.52</v>
      </c>
      <c r="AN206" s="2">
        <f t="shared" si="15"/>
        <v>99.342993827160498</v>
      </c>
    </row>
    <row r="207" spans="1:40" x14ac:dyDescent="0.35">
      <c r="A207" s="14" t="s">
        <v>27</v>
      </c>
      <c r="B207" s="14" t="s">
        <v>28</v>
      </c>
      <c r="C207" s="14" t="s">
        <v>47</v>
      </c>
      <c r="D207" s="14" t="s">
        <v>236</v>
      </c>
      <c r="E207" s="14" t="s">
        <v>193</v>
      </c>
      <c r="F207" s="14" t="s">
        <v>32</v>
      </c>
      <c r="G207" s="14" t="s">
        <v>33</v>
      </c>
      <c r="H207" s="14" t="s">
        <v>964</v>
      </c>
      <c r="I207" s="14" t="s">
        <v>231</v>
      </c>
      <c r="J207" s="14" t="s">
        <v>231</v>
      </c>
      <c r="K207" s="14" t="s">
        <v>204</v>
      </c>
      <c r="L207" s="14" t="s">
        <v>973</v>
      </c>
      <c r="M207" s="14" t="s">
        <v>230</v>
      </c>
      <c r="N207" s="14" t="s">
        <v>974</v>
      </c>
      <c r="O207" s="14" t="s">
        <v>991</v>
      </c>
      <c r="P207" s="14"/>
      <c r="Q207" s="14" t="s">
        <v>196</v>
      </c>
      <c r="R207" s="14" t="s">
        <v>36</v>
      </c>
      <c r="S207" s="14" t="s">
        <v>104</v>
      </c>
      <c r="T207" s="14" t="s">
        <v>237</v>
      </c>
      <c r="U207" s="14" t="s">
        <v>222</v>
      </c>
      <c r="V207" s="22">
        <v>46186.740046296298</v>
      </c>
      <c r="W207" s="22">
        <v>46187.333333333336</v>
      </c>
      <c r="X207" s="15">
        <v>854.33</v>
      </c>
      <c r="Y207" s="22">
        <v>46186.740057870367</v>
      </c>
      <c r="Z207" s="15">
        <v>0.02</v>
      </c>
      <c r="AA207" s="15">
        <v>30</v>
      </c>
      <c r="AB207" s="15" t="s">
        <v>40</v>
      </c>
      <c r="AC207" s="22">
        <v>46186.742800925924</v>
      </c>
      <c r="AD207" s="22">
        <v>46187.332546296297</v>
      </c>
      <c r="AE207" s="15">
        <v>849.23</v>
      </c>
      <c r="AF207" s="15">
        <v>5.0999999999999996</v>
      </c>
      <c r="AG207" s="15">
        <v>120</v>
      </c>
      <c r="AH207" s="15" t="s">
        <v>40</v>
      </c>
      <c r="AI207" s="14"/>
      <c r="AJ207" s="16">
        <v>129600</v>
      </c>
      <c r="AK207" s="1">
        <f t="shared" si="12"/>
        <v>129594.9</v>
      </c>
      <c r="AL207" s="2">
        <f t="shared" si="13"/>
        <v>99.996064814814815</v>
      </c>
      <c r="AM207" s="16">
        <f t="shared" si="14"/>
        <v>128750.77</v>
      </c>
      <c r="AN207" s="2">
        <f t="shared" si="15"/>
        <v>99.344729938271598</v>
      </c>
    </row>
    <row r="208" spans="1:40" x14ac:dyDescent="0.35">
      <c r="A208" s="14" t="s">
        <v>27</v>
      </c>
      <c r="B208" s="14" t="s">
        <v>28</v>
      </c>
      <c r="C208" s="14" t="s">
        <v>47</v>
      </c>
      <c r="D208" s="14" t="s">
        <v>528</v>
      </c>
      <c r="E208" s="14" t="s">
        <v>193</v>
      </c>
      <c r="F208" s="14" t="s">
        <v>32</v>
      </c>
      <c r="G208" s="14" t="s">
        <v>33</v>
      </c>
      <c r="H208" s="14" t="s">
        <v>964</v>
      </c>
      <c r="I208" s="14" t="s">
        <v>231</v>
      </c>
      <c r="J208" s="14" t="s">
        <v>231</v>
      </c>
      <c r="K208" s="14" t="s">
        <v>204</v>
      </c>
      <c r="L208" s="14" t="s">
        <v>973</v>
      </c>
      <c r="M208" s="14" t="s">
        <v>230</v>
      </c>
      <c r="N208" s="14" t="s">
        <v>974</v>
      </c>
      <c r="O208" s="14" t="s">
        <v>991</v>
      </c>
      <c r="P208" s="14"/>
      <c r="Q208" s="14" t="s">
        <v>196</v>
      </c>
      <c r="R208" s="14" t="s">
        <v>36</v>
      </c>
      <c r="S208" s="14" t="s">
        <v>104</v>
      </c>
      <c r="T208" s="14" t="s">
        <v>237</v>
      </c>
      <c r="U208" s="14" t="s">
        <v>222</v>
      </c>
      <c r="V208" s="22">
        <v>46186.754525462966</v>
      </c>
      <c r="W208" s="22">
        <v>46187.333333333336</v>
      </c>
      <c r="X208" s="15">
        <v>833.48</v>
      </c>
      <c r="Y208" s="22">
        <v>46186.754525462966</v>
      </c>
      <c r="Z208" s="15">
        <v>0</v>
      </c>
      <c r="AA208" s="15">
        <v>30</v>
      </c>
      <c r="AB208" s="15" t="s">
        <v>40</v>
      </c>
      <c r="AC208" s="22">
        <v>46186.770740740743</v>
      </c>
      <c r="AD208" s="22">
        <v>46187.332106481481</v>
      </c>
      <c r="AE208" s="15">
        <v>808.37</v>
      </c>
      <c r="AF208" s="15">
        <v>25.12</v>
      </c>
      <c r="AG208" s="15">
        <v>120</v>
      </c>
      <c r="AH208" s="15" t="s">
        <v>40</v>
      </c>
      <c r="AI208" s="14"/>
      <c r="AJ208" s="16">
        <v>129600</v>
      </c>
      <c r="AK208" s="1">
        <f t="shared" si="12"/>
        <v>129574.88</v>
      </c>
      <c r="AL208" s="2">
        <f t="shared" si="13"/>
        <v>99.980617283950622</v>
      </c>
      <c r="AM208" s="16">
        <f t="shared" si="14"/>
        <v>128791.63</v>
      </c>
      <c r="AN208" s="2">
        <f t="shared" si="15"/>
        <v>99.376257716049395</v>
      </c>
    </row>
    <row r="209" spans="1:40" x14ac:dyDescent="0.35">
      <c r="A209" s="14" t="s">
        <v>27</v>
      </c>
      <c r="B209" s="14" t="s">
        <v>28</v>
      </c>
      <c r="C209" s="14" t="s">
        <v>47</v>
      </c>
      <c r="D209" s="14" t="s">
        <v>733</v>
      </c>
      <c r="E209" s="14" t="s">
        <v>193</v>
      </c>
      <c r="F209" s="14" t="s">
        <v>32</v>
      </c>
      <c r="G209" s="14" t="s">
        <v>33</v>
      </c>
      <c r="H209" s="14" t="s">
        <v>964</v>
      </c>
      <c r="I209" s="14" t="s">
        <v>240</v>
      </c>
      <c r="J209" s="14" t="s">
        <v>240</v>
      </c>
      <c r="K209" s="14" t="s">
        <v>204</v>
      </c>
      <c r="L209" s="14" t="s">
        <v>973</v>
      </c>
      <c r="M209" s="14" t="s">
        <v>239</v>
      </c>
      <c r="N209" s="14" t="s">
        <v>990</v>
      </c>
      <c r="O209" s="14" t="s">
        <v>991</v>
      </c>
      <c r="P209" s="14"/>
      <c r="Q209" s="14" t="s">
        <v>196</v>
      </c>
      <c r="R209" s="14" t="s">
        <v>36</v>
      </c>
      <c r="S209" s="14" t="s">
        <v>104</v>
      </c>
      <c r="T209" s="14" t="s">
        <v>734</v>
      </c>
      <c r="U209" s="14" t="s">
        <v>222</v>
      </c>
      <c r="V209" s="22">
        <v>46186.765775462962</v>
      </c>
      <c r="W209" s="22">
        <v>46187.333333333336</v>
      </c>
      <c r="X209" s="15">
        <v>817.28</v>
      </c>
      <c r="Y209" s="22">
        <v>46186.765787037039</v>
      </c>
      <c r="Z209" s="15">
        <v>0.02</v>
      </c>
      <c r="AA209" s="15">
        <v>30</v>
      </c>
      <c r="AB209" s="15" t="s">
        <v>40</v>
      </c>
      <c r="AC209" s="22">
        <v>46186.772280092591</v>
      </c>
      <c r="AD209" s="22">
        <v>46187.331458333334</v>
      </c>
      <c r="AE209" s="15">
        <v>805.22</v>
      </c>
      <c r="AF209" s="15">
        <v>12.07</v>
      </c>
      <c r="AG209" s="15">
        <v>120</v>
      </c>
      <c r="AH209" s="15" t="s">
        <v>40</v>
      </c>
      <c r="AI209" s="14"/>
      <c r="AJ209" s="16">
        <v>129600</v>
      </c>
      <c r="AK209" s="1">
        <f t="shared" si="12"/>
        <v>129587.93</v>
      </c>
      <c r="AL209" s="2">
        <f t="shared" si="13"/>
        <v>99.990686728395062</v>
      </c>
      <c r="AM209" s="16">
        <f t="shared" si="14"/>
        <v>128794.78</v>
      </c>
      <c r="AN209" s="2">
        <f t="shared" si="15"/>
        <v>99.378688271604943</v>
      </c>
    </row>
    <row r="210" spans="1:40" x14ac:dyDescent="0.35">
      <c r="A210" s="14" t="s">
        <v>27</v>
      </c>
      <c r="B210" s="14" t="s">
        <v>28</v>
      </c>
      <c r="C210" s="14" t="s">
        <v>47</v>
      </c>
      <c r="D210" s="14" t="s">
        <v>584</v>
      </c>
      <c r="E210" s="14" t="s">
        <v>193</v>
      </c>
      <c r="F210" s="14" t="s">
        <v>32</v>
      </c>
      <c r="G210" s="14" t="s">
        <v>33</v>
      </c>
      <c r="H210" s="14" t="s">
        <v>964</v>
      </c>
      <c r="I210" s="14" t="s">
        <v>359</v>
      </c>
      <c r="J210" s="14" t="s">
        <v>359</v>
      </c>
      <c r="K210" s="14" t="s">
        <v>204</v>
      </c>
      <c r="L210" s="14" t="s">
        <v>973</v>
      </c>
      <c r="M210" s="14" t="s">
        <v>358</v>
      </c>
      <c r="N210" s="14" t="s">
        <v>990</v>
      </c>
      <c r="O210" s="14" t="s">
        <v>991</v>
      </c>
      <c r="P210" s="14"/>
      <c r="Q210" s="14" t="s">
        <v>196</v>
      </c>
      <c r="R210" s="14" t="s">
        <v>36</v>
      </c>
      <c r="S210" s="14" t="s">
        <v>104</v>
      </c>
      <c r="T210" s="14" t="s">
        <v>237</v>
      </c>
      <c r="U210" s="14" t="s">
        <v>222</v>
      </c>
      <c r="V210" s="22">
        <v>46186.786053240743</v>
      </c>
      <c r="W210" s="22">
        <v>46187.333333333336</v>
      </c>
      <c r="X210" s="15">
        <v>788.08</v>
      </c>
      <c r="Y210" s="22">
        <v>46186.786053240743</v>
      </c>
      <c r="Z210" s="15">
        <v>0</v>
      </c>
      <c r="AA210" s="15">
        <v>30</v>
      </c>
      <c r="AB210" s="15" t="s">
        <v>40</v>
      </c>
      <c r="AC210" s="22">
        <v>46186.787881944445</v>
      </c>
      <c r="AD210" s="22">
        <v>46187.33079861111</v>
      </c>
      <c r="AE210" s="15">
        <v>781.8</v>
      </c>
      <c r="AF210" s="15">
        <v>6.28</v>
      </c>
      <c r="AG210" s="15">
        <v>120</v>
      </c>
      <c r="AH210" s="15" t="s">
        <v>40</v>
      </c>
      <c r="AI210" s="14"/>
      <c r="AJ210" s="16">
        <v>129600</v>
      </c>
      <c r="AK210" s="1">
        <f t="shared" si="12"/>
        <v>129593.72</v>
      </c>
      <c r="AL210" s="2">
        <f t="shared" si="13"/>
        <v>99.995154320987652</v>
      </c>
      <c r="AM210" s="16">
        <f t="shared" si="14"/>
        <v>128818.2</v>
      </c>
      <c r="AN210" s="2">
        <f t="shared" si="15"/>
        <v>99.396759259259255</v>
      </c>
    </row>
    <row r="211" spans="1:40" x14ac:dyDescent="0.35">
      <c r="A211" s="14" t="s">
        <v>27</v>
      </c>
      <c r="B211" s="14" t="s">
        <v>28</v>
      </c>
      <c r="C211" s="14" t="s">
        <v>47</v>
      </c>
      <c r="D211" s="14" t="s">
        <v>812</v>
      </c>
      <c r="E211" s="14" t="s">
        <v>193</v>
      </c>
      <c r="F211" s="14" t="s">
        <v>32</v>
      </c>
      <c r="G211" s="14" t="s">
        <v>33</v>
      </c>
      <c r="H211" s="14" t="s">
        <v>966</v>
      </c>
      <c r="I211" s="14" t="s">
        <v>814</v>
      </c>
      <c r="J211" s="14" t="s">
        <v>814</v>
      </c>
      <c r="K211" s="14" t="s">
        <v>204</v>
      </c>
      <c r="L211" s="14" t="s">
        <v>973</v>
      </c>
      <c r="M211" s="14" t="s">
        <v>813</v>
      </c>
      <c r="N211" s="14" t="s">
        <v>979</v>
      </c>
      <c r="O211" s="14" t="s">
        <v>980</v>
      </c>
      <c r="P211" s="14"/>
      <c r="Q211" s="14" t="s">
        <v>196</v>
      </c>
      <c r="R211" s="14" t="s">
        <v>36</v>
      </c>
      <c r="S211" s="14" t="s">
        <v>37</v>
      </c>
      <c r="T211" s="14" t="s">
        <v>37</v>
      </c>
      <c r="U211" s="14" t="s">
        <v>37</v>
      </c>
      <c r="V211" s="22">
        <v>46187.720300925925</v>
      </c>
      <c r="W211" s="22">
        <v>46187.730555555558</v>
      </c>
      <c r="X211" s="15">
        <v>14.77</v>
      </c>
      <c r="Y211" s="22">
        <v>46187.720312500001</v>
      </c>
      <c r="Z211" s="15">
        <v>0.02</v>
      </c>
      <c r="AA211" s="15">
        <v>30</v>
      </c>
      <c r="AB211" s="15" t="s">
        <v>40</v>
      </c>
      <c r="AC211" s="22">
        <v>46187.725370370368</v>
      </c>
      <c r="AD211" s="22">
        <v>46187.729131944441</v>
      </c>
      <c r="AE211" s="15">
        <v>5.42</v>
      </c>
      <c r="AF211" s="15">
        <v>9.35</v>
      </c>
      <c r="AG211" s="15">
        <v>120</v>
      </c>
      <c r="AH211" s="15" t="s">
        <v>40</v>
      </c>
      <c r="AI211" s="14"/>
      <c r="AJ211" s="16">
        <v>129600</v>
      </c>
      <c r="AK211" s="1">
        <f t="shared" si="12"/>
        <v>129590.65</v>
      </c>
      <c r="AL211" s="2">
        <f t="shared" si="13"/>
        <v>99.992785493827157</v>
      </c>
      <c r="AM211" s="16">
        <f t="shared" si="14"/>
        <v>129594.58</v>
      </c>
      <c r="AN211" s="2">
        <f t="shared" si="15"/>
        <v>99.995817901234574</v>
      </c>
    </row>
    <row r="212" spans="1:40" x14ac:dyDescent="0.35">
      <c r="A212" s="14" t="s">
        <v>27</v>
      </c>
      <c r="B212" s="14" t="s">
        <v>28</v>
      </c>
      <c r="C212" s="14" t="s">
        <v>47</v>
      </c>
      <c r="D212" s="14" t="s">
        <v>493</v>
      </c>
      <c r="E212" s="14" t="s">
        <v>193</v>
      </c>
      <c r="F212" s="14" t="s">
        <v>32</v>
      </c>
      <c r="G212" s="14" t="s">
        <v>33</v>
      </c>
      <c r="H212" s="14" t="s">
        <v>966</v>
      </c>
      <c r="I212" s="14" t="s">
        <v>495</v>
      </c>
      <c r="J212" s="14" t="s">
        <v>495</v>
      </c>
      <c r="K212" s="14" t="s">
        <v>204</v>
      </c>
      <c r="L212" s="14" t="s">
        <v>973</v>
      </c>
      <c r="M212" s="14" t="s">
        <v>494</v>
      </c>
      <c r="N212" s="14" t="s">
        <v>979</v>
      </c>
      <c r="O212" s="14" t="s">
        <v>980</v>
      </c>
      <c r="P212" s="14"/>
      <c r="Q212" s="14" t="s">
        <v>196</v>
      </c>
      <c r="R212" s="14" t="s">
        <v>36</v>
      </c>
      <c r="S212" s="14" t="s">
        <v>37</v>
      </c>
      <c r="T212" s="14" t="s">
        <v>37</v>
      </c>
      <c r="U212" s="14" t="s">
        <v>37</v>
      </c>
      <c r="V212" s="22">
        <v>46187.720405092594</v>
      </c>
      <c r="W212" s="22">
        <v>46187.730555555558</v>
      </c>
      <c r="X212" s="15">
        <v>14.62</v>
      </c>
      <c r="Y212" s="22">
        <v>46187.720416666663</v>
      </c>
      <c r="Z212" s="15">
        <v>0.02</v>
      </c>
      <c r="AA212" s="15">
        <v>30</v>
      </c>
      <c r="AB212" s="15" t="s">
        <v>40</v>
      </c>
      <c r="AC212" s="22">
        <v>46187.724618055552</v>
      </c>
      <c r="AD212" s="22">
        <v>46187.728495370371</v>
      </c>
      <c r="AE212" s="15">
        <v>5.58</v>
      </c>
      <c r="AF212" s="15">
        <v>9.0299999999999994</v>
      </c>
      <c r="AG212" s="15">
        <v>120</v>
      </c>
      <c r="AH212" s="15" t="s">
        <v>40</v>
      </c>
      <c r="AI212" s="14"/>
      <c r="AJ212" s="16">
        <v>129600</v>
      </c>
      <c r="AK212" s="1">
        <f t="shared" si="12"/>
        <v>129590.97</v>
      </c>
      <c r="AL212" s="2">
        <f t="shared" si="13"/>
        <v>99.993032407407412</v>
      </c>
      <c r="AM212" s="16">
        <f t="shared" si="14"/>
        <v>129594.42</v>
      </c>
      <c r="AN212" s="2">
        <f t="shared" si="15"/>
        <v>99.995694444444439</v>
      </c>
    </row>
    <row r="213" spans="1:40" x14ac:dyDescent="0.35">
      <c r="A213" s="14" t="s">
        <v>27</v>
      </c>
      <c r="B213" s="14" t="s">
        <v>28</v>
      </c>
      <c r="C213" s="14" t="s">
        <v>47</v>
      </c>
      <c r="D213" s="14" t="s">
        <v>659</v>
      </c>
      <c r="E213" s="14" t="s">
        <v>193</v>
      </c>
      <c r="F213" s="14" t="s">
        <v>32</v>
      </c>
      <c r="G213" s="14" t="s">
        <v>33</v>
      </c>
      <c r="H213" s="14" t="s">
        <v>966</v>
      </c>
      <c r="I213" s="14" t="s">
        <v>661</v>
      </c>
      <c r="J213" s="14" t="s">
        <v>661</v>
      </c>
      <c r="K213" s="14" t="s">
        <v>204</v>
      </c>
      <c r="L213" s="14" t="s">
        <v>973</v>
      </c>
      <c r="M213" s="14" t="s">
        <v>660</v>
      </c>
      <c r="N213" s="14" t="s">
        <v>979</v>
      </c>
      <c r="O213" s="14" t="s">
        <v>980</v>
      </c>
      <c r="P213" s="14"/>
      <c r="Q213" s="14" t="s">
        <v>196</v>
      </c>
      <c r="R213" s="14" t="s">
        <v>36</v>
      </c>
      <c r="S213" s="14" t="s">
        <v>37</v>
      </c>
      <c r="T213" s="14" t="s">
        <v>37</v>
      </c>
      <c r="U213" s="14" t="s">
        <v>37</v>
      </c>
      <c r="V213" s="22">
        <v>46187.720439814817</v>
      </c>
      <c r="W213" s="22">
        <v>46187.729166666664</v>
      </c>
      <c r="X213" s="15">
        <v>12.57</v>
      </c>
      <c r="Y213" s="22">
        <v>46187.720451388886</v>
      </c>
      <c r="Z213" s="15">
        <v>0.02</v>
      </c>
      <c r="AA213" s="15">
        <v>30</v>
      </c>
      <c r="AB213" s="15" t="s">
        <v>40</v>
      </c>
      <c r="AC213" s="22">
        <v>46187.723796296297</v>
      </c>
      <c r="AD213" s="22">
        <v>46187.727939814817</v>
      </c>
      <c r="AE213" s="15">
        <v>5.97</v>
      </c>
      <c r="AF213" s="15">
        <v>6.6</v>
      </c>
      <c r="AG213" s="15">
        <v>120</v>
      </c>
      <c r="AH213" s="15" t="s">
        <v>40</v>
      </c>
      <c r="AI213" s="14"/>
      <c r="AJ213" s="16">
        <v>129600</v>
      </c>
      <c r="AK213" s="1">
        <f t="shared" si="12"/>
        <v>129593.4</v>
      </c>
      <c r="AL213" s="2">
        <f t="shared" si="13"/>
        <v>99.99490740740741</v>
      </c>
      <c r="AM213" s="16">
        <f t="shared" si="14"/>
        <v>129594.03</v>
      </c>
      <c r="AN213" s="2">
        <f t="shared" si="15"/>
        <v>99.995393518518512</v>
      </c>
    </row>
    <row r="214" spans="1:40" x14ac:dyDescent="0.35">
      <c r="A214" s="14" t="s">
        <v>27</v>
      </c>
      <c r="B214" s="14" t="s">
        <v>94</v>
      </c>
      <c r="C214" s="14" t="s">
        <v>47</v>
      </c>
      <c r="D214" s="14" t="s">
        <v>855</v>
      </c>
      <c r="E214" s="14" t="s">
        <v>856</v>
      </c>
      <c r="F214" s="14" t="s">
        <v>32</v>
      </c>
      <c r="G214" s="14" t="s">
        <v>33</v>
      </c>
      <c r="H214" s="14" t="s">
        <v>964</v>
      </c>
      <c r="I214" s="14" t="s">
        <v>359</v>
      </c>
      <c r="J214" s="14" t="s">
        <v>359</v>
      </c>
      <c r="K214" s="14" t="s">
        <v>204</v>
      </c>
      <c r="L214" s="14" t="s">
        <v>973</v>
      </c>
      <c r="M214" s="14" t="s">
        <v>358</v>
      </c>
      <c r="N214" s="14" t="s">
        <v>990</v>
      </c>
      <c r="O214" s="14" t="s">
        <v>991</v>
      </c>
      <c r="P214" s="14"/>
      <c r="Q214" s="14" t="s">
        <v>839</v>
      </c>
      <c r="R214" s="14" t="s">
        <v>36</v>
      </c>
      <c r="S214" s="14" t="s">
        <v>37</v>
      </c>
      <c r="T214" s="14" t="s">
        <v>617</v>
      </c>
      <c r="U214" s="14" t="s">
        <v>37</v>
      </c>
      <c r="V214" s="22">
        <v>46188.49145833333</v>
      </c>
      <c r="W214" s="22">
        <v>46188.618055555555</v>
      </c>
      <c r="X214" s="15">
        <v>182.3</v>
      </c>
      <c r="Y214" s="22">
        <v>46188.491446759261</v>
      </c>
      <c r="Z214" s="15">
        <v>0</v>
      </c>
      <c r="AA214" s="15">
        <v>30</v>
      </c>
      <c r="AB214" s="15" t="s">
        <v>40</v>
      </c>
      <c r="AC214" s="22">
        <v>46188.495219907411</v>
      </c>
      <c r="AD214" s="22">
        <v>46188.61619212963</v>
      </c>
      <c r="AE214" s="15">
        <v>174.2</v>
      </c>
      <c r="AF214" s="15">
        <v>8.1</v>
      </c>
      <c r="AG214" s="15">
        <v>1440</v>
      </c>
      <c r="AH214" s="15" t="s">
        <v>40</v>
      </c>
      <c r="AI214" s="14"/>
      <c r="AJ214" s="16">
        <v>129600</v>
      </c>
      <c r="AK214" s="1">
        <f t="shared" si="12"/>
        <v>129591.9</v>
      </c>
      <c r="AL214" s="2">
        <f t="shared" si="13"/>
        <v>99.993749999999991</v>
      </c>
      <c r="AM214" s="16">
        <f t="shared" si="14"/>
        <v>129425.8</v>
      </c>
      <c r="AN214" s="2">
        <f t="shared" si="15"/>
        <v>99.8655864197531</v>
      </c>
    </row>
    <row r="215" spans="1:40" x14ac:dyDescent="0.35">
      <c r="A215" s="14" t="s">
        <v>27</v>
      </c>
      <c r="B215" s="14" t="s">
        <v>28</v>
      </c>
      <c r="C215" s="14" t="s">
        <v>100</v>
      </c>
      <c r="D215" s="14" t="s">
        <v>155</v>
      </c>
      <c r="E215" s="14" t="s">
        <v>31</v>
      </c>
      <c r="F215" s="14" t="s">
        <v>32</v>
      </c>
      <c r="G215" s="14" t="s">
        <v>33</v>
      </c>
      <c r="H215" s="14" t="s">
        <v>963</v>
      </c>
      <c r="I215" s="14" t="s">
        <v>157</v>
      </c>
      <c r="J215" s="14" t="s">
        <v>157</v>
      </c>
      <c r="K215" s="14" t="s">
        <v>999</v>
      </c>
      <c r="L215" s="14" t="s">
        <v>967</v>
      </c>
      <c r="M215" s="14" t="s">
        <v>156</v>
      </c>
      <c r="N215" s="14" t="s">
        <v>992</v>
      </c>
      <c r="O215" s="14" t="s">
        <v>978</v>
      </c>
      <c r="P215" s="14"/>
      <c r="Q215" s="14" t="s">
        <v>35</v>
      </c>
      <c r="R215" s="14" t="s">
        <v>36</v>
      </c>
      <c r="S215" s="14" t="s">
        <v>104</v>
      </c>
      <c r="T215" s="14" t="s">
        <v>105</v>
      </c>
      <c r="U215" s="14" t="s">
        <v>106</v>
      </c>
      <c r="V215" s="22">
        <v>46190.12190972222</v>
      </c>
      <c r="W215" s="22">
        <v>46190.147222222222</v>
      </c>
      <c r="X215" s="15">
        <v>36.450000000000003</v>
      </c>
      <c r="Y215" s="22">
        <v>46190.121921296297</v>
      </c>
      <c r="Z215" s="15">
        <v>0.02</v>
      </c>
      <c r="AA215" s="15">
        <v>30</v>
      </c>
      <c r="AB215" s="15" t="s">
        <v>40</v>
      </c>
      <c r="AC215" s="22">
        <v>46190.124050925922</v>
      </c>
      <c r="AD215" s="22">
        <v>46190.141006944446</v>
      </c>
      <c r="AE215" s="15">
        <v>24.42</v>
      </c>
      <c r="AF215" s="15">
        <v>12.03</v>
      </c>
      <c r="AG215" s="15">
        <v>120</v>
      </c>
      <c r="AH215" s="15" t="s">
        <v>40</v>
      </c>
      <c r="AI215" s="14"/>
      <c r="AJ215" s="16">
        <v>129600</v>
      </c>
      <c r="AK215" s="1">
        <f t="shared" si="12"/>
        <v>129587.97</v>
      </c>
      <c r="AL215" s="2">
        <f t="shared" si="13"/>
        <v>99.990717592592588</v>
      </c>
      <c r="AM215" s="16">
        <f t="shared" si="14"/>
        <v>129575.58</v>
      </c>
      <c r="AN215" s="2">
        <f t="shared" si="15"/>
        <v>99.981157407407409</v>
      </c>
    </row>
    <row r="216" spans="1:40" x14ac:dyDescent="0.35">
      <c r="A216" s="14" t="s">
        <v>27</v>
      </c>
      <c r="B216" s="14" t="s">
        <v>28</v>
      </c>
      <c r="C216" s="14" t="s">
        <v>100</v>
      </c>
      <c r="D216" s="14" t="s">
        <v>213</v>
      </c>
      <c r="E216" s="14" t="s">
        <v>193</v>
      </c>
      <c r="F216" s="14" t="s">
        <v>32</v>
      </c>
      <c r="G216" s="14" t="s">
        <v>33</v>
      </c>
      <c r="H216" s="14" t="s">
        <v>963</v>
      </c>
      <c r="I216" s="14" t="s">
        <v>215</v>
      </c>
      <c r="J216" s="14" t="s">
        <v>215</v>
      </c>
      <c r="K216" s="14" t="s">
        <v>204</v>
      </c>
      <c r="L216" s="14" t="s">
        <v>973</v>
      </c>
      <c r="M216" s="14" t="s">
        <v>214</v>
      </c>
      <c r="N216" s="14" t="s">
        <v>990</v>
      </c>
      <c r="O216" s="14" t="s">
        <v>980</v>
      </c>
      <c r="P216" s="14"/>
      <c r="Q216" s="14" t="s">
        <v>196</v>
      </c>
      <c r="R216" s="14" t="s">
        <v>36</v>
      </c>
      <c r="S216" s="14" t="s">
        <v>104</v>
      </c>
      <c r="T216" s="14" t="s">
        <v>105</v>
      </c>
      <c r="U216" s="14" t="s">
        <v>216</v>
      </c>
      <c r="V216" s="22">
        <v>46190.12259259259</v>
      </c>
      <c r="W216" s="22">
        <v>46190.147222222222</v>
      </c>
      <c r="X216" s="15">
        <v>35.47</v>
      </c>
      <c r="Y216" s="22">
        <v>46190.122604166667</v>
      </c>
      <c r="Z216" s="15">
        <v>0.02</v>
      </c>
      <c r="AA216" s="15">
        <v>30</v>
      </c>
      <c r="AB216" s="15" t="s">
        <v>40</v>
      </c>
      <c r="AC216" s="22">
        <v>46190.125231481485</v>
      </c>
      <c r="AD216" s="22">
        <v>46190.146574074075</v>
      </c>
      <c r="AE216" s="15">
        <v>30.73</v>
      </c>
      <c r="AF216" s="15">
        <v>4.7300000000000004</v>
      </c>
      <c r="AG216" s="15">
        <v>120</v>
      </c>
      <c r="AH216" s="15" t="s">
        <v>40</v>
      </c>
      <c r="AI216" s="14"/>
      <c r="AJ216" s="16">
        <v>129600</v>
      </c>
      <c r="AK216" s="1">
        <f t="shared" si="12"/>
        <v>129595.27</v>
      </c>
      <c r="AL216" s="2">
        <f t="shared" si="13"/>
        <v>99.996350308641979</v>
      </c>
      <c r="AM216" s="16">
        <f t="shared" si="14"/>
        <v>129569.27</v>
      </c>
      <c r="AN216" s="2">
        <f t="shared" si="15"/>
        <v>99.976288580246916</v>
      </c>
    </row>
    <row r="217" spans="1:40" x14ac:dyDescent="0.35">
      <c r="A217" s="14" t="s">
        <v>27</v>
      </c>
      <c r="B217" s="14" t="s">
        <v>28</v>
      </c>
      <c r="C217" s="14" t="s">
        <v>41</v>
      </c>
      <c r="D217" s="14" t="s">
        <v>458</v>
      </c>
      <c r="E217" s="14" t="s">
        <v>193</v>
      </c>
      <c r="F217" s="14" t="s">
        <v>32</v>
      </c>
      <c r="G217" s="14" t="s">
        <v>33</v>
      </c>
      <c r="H217" s="14" t="s">
        <v>963</v>
      </c>
      <c r="I217" s="14" t="s">
        <v>460</v>
      </c>
      <c r="J217" s="14" t="s">
        <v>460</v>
      </c>
      <c r="K217" s="14" t="s">
        <v>204</v>
      </c>
      <c r="L217" s="14" t="s">
        <v>973</v>
      </c>
      <c r="M217" s="14" t="s">
        <v>459</v>
      </c>
      <c r="N217" s="14" t="s">
        <v>990</v>
      </c>
      <c r="O217" s="14" t="s">
        <v>980</v>
      </c>
      <c r="P217" s="14"/>
      <c r="Q217" s="14" t="s">
        <v>196</v>
      </c>
      <c r="R217" s="14" t="s">
        <v>36</v>
      </c>
      <c r="S217" s="14" t="s">
        <v>461</v>
      </c>
      <c r="T217" s="14" t="s">
        <v>105</v>
      </c>
      <c r="U217" s="14" t="s">
        <v>462</v>
      </c>
      <c r="V217" s="22">
        <v>46190.12259259259</v>
      </c>
      <c r="W217" s="22">
        <v>46190.402777777781</v>
      </c>
      <c r="X217" s="15">
        <v>403.47</v>
      </c>
      <c r="Y217" s="22">
        <v>46190.122604166667</v>
      </c>
      <c r="Z217" s="15">
        <v>0.02</v>
      </c>
      <c r="AA217" s="15">
        <v>30</v>
      </c>
      <c r="AB217" s="15" t="s">
        <v>40</v>
      </c>
      <c r="AC217" s="22">
        <v>46190.125983796293</v>
      </c>
      <c r="AD217" s="22">
        <v>46190.400173611109</v>
      </c>
      <c r="AE217" s="15">
        <v>394.83</v>
      </c>
      <c r="AF217" s="15">
        <v>8.6300000000000008</v>
      </c>
      <c r="AG217" s="15">
        <v>120</v>
      </c>
      <c r="AH217" s="15" t="s">
        <v>40</v>
      </c>
      <c r="AI217" s="14"/>
      <c r="AJ217" s="16">
        <v>129600</v>
      </c>
      <c r="AK217" s="1">
        <f t="shared" si="12"/>
        <v>129591.37</v>
      </c>
      <c r="AL217" s="2">
        <f t="shared" si="13"/>
        <v>99.993341049382707</v>
      </c>
      <c r="AM217" s="16">
        <f t="shared" si="14"/>
        <v>129205.17</v>
      </c>
      <c r="AN217" s="2">
        <f t="shared" si="15"/>
        <v>99.695347222222225</v>
      </c>
    </row>
    <row r="218" spans="1:40" x14ac:dyDescent="0.35">
      <c r="A218" s="14" t="s">
        <v>27</v>
      </c>
      <c r="B218" s="14" t="s">
        <v>28</v>
      </c>
      <c r="C218" s="14" t="s">
        <v>100</v>
      </c>
      <c r="D218" s="14" t="s">
        <v>806</v>
      </c>
      <c r="E218" s="14" t="s">
        <v>193</v>
      </c>
      <c r="F218" s="14" t="s">
        <v>32</v>
      </c>
      <c r="G218" s="14" t="s">
        <v>33</v>
      </c>
      <c r="H218" s="14" t="s">
        <v>963</v>
      </c>
      <c r="I218" s="14" t="s">
        <v>808</v>
      </c>
      <c r="J218" s="14" t="s">
        <v>808</v>
      </c>
      <c r="K218" s="14" t="s">
        <v>204</v>
      </c>
      <c r="L218" s="14" t="s">
        <v>973</v>
      </c>
      <c r="M218" s="14" t="s">
        <v>807</v>
      </c>
      <c r="N218" s="14" t="s">
        <v>990</v>
      </c>
      <c r="O218" s="14" t="s">
        <v>980</v>
      </c>
      <c r="P218" s="14"/>
      <c r="Q218" s="14" t="s">
        <v>196</v>
      </c>
      <c r="R218" s="14" t="s">
        <v>36</v>
      </c>
      <c r="S218" s="14" t="s">
        <v>104</v>
      </c>
      <c r="T218" s="14" t="s">
        <v>105</v>
      </c>
      <c r="U218" s="14" t="s">
        <v>261</v>
      </c>
      <c r="V218" s="22">
        <v>46190.122708333336</v>
      </c>
      <c r="W218" s="22">
        <v>46190.148611111108</v>
      </c>
      <c r="X218" s="15">
        <v>37.299999999999997</v>
      </c>
      <c r="Y218" s="22">
        <v>46190.122719907406</v>
      </c>
      <c r="Z218" s="15">
        <v>0.02</v>
      </c>
      <c r="AA218" s="15">
        <v>30</v>
      </c>
      <c r="AB218" s="15" t="s">
        <v>40</v>
      </c>
      <c r="AC218" s="22">
        <v>46190.127141203702</v>
      </c>
      <c r="AD218" s="22">
        <v>46190.147777777776</v>
      </c>
      <c r="AE218" s="15">
        <v>29.72</v>
      </c>
      <c r="AF218" s="15">
        <v>7.58</v>
      </c>
      <c r="AG218" s="15">
        <v>120</v>
      </c>
      <c r="AH218" s="15" t="s">
        <v>40</v>
      </c>
      <c r="AI218" s="14"/>
      <c r="AJ218" s="16">
        <v>129600</v>
      </c>
      <c r="AK218" s="1">
        <f t="shared" si="12"/>
        <v>129592.42</v>
      </c>
      <c r="AL218" s="2">
        <f t="shared" si="13"/>
        <v>99.994151234567894</v>
      </c>
      <c r="AM218" s="16">
        <f t="shared" si="14"/>
        <v>129570.28</v>
      </c>
      <c r="AN218" s="2">
        <f t="shared" si="15"/>
        <v>99.977067901234562</v>
      </c>
    </row>
    <row r="219" spans="1:40" x14ac:dyDescent="0.35">
      <c r="A219" s="14" t="s">
        <v>27</v>
      </c>
      <c r="B219" s="14" t="s">
        <v>28</v>
      </c>
      <c r="C219" s="14" t="s">
        <v>100</v>
      </c>
      <c r="D219" s="14" t="s">
        <v>107</v>
      </c>
      <c r="E219" s="14" t="s">
        <v>31</v>
      </c>
      <c r="F219" s="14" t="s">
        <v>32</v>
      </c>
      <c r="G219" s="14" t="s">
        <v>33</v>
      </c>
      <c r="H219" s="14" t="s">
        <v>963</v>
      </c>
      <c r="I219" s="14" t="s">
        <v>109</v>
      </c>
      <c r="J219" s="14" t="s">
        <v>109</v>
      </c>
      <c r="K219" s="14" t="s">
        <v>1019</v>
      </c>
      <c r="L219" s="14" t="s">
        <v>967</v>
      </c>
      <c r="M219" s="14" t="s">
        <v>108</v>
      </c>
      <c r="N219" s="14" t="s">
        <v>992</v>
      </c>
      <c r="O219" s="14" t="s">
        <v>978</v>
      </c>
      <c r="P219" s="14"/>
      <c r="Q219" s="14" t="s">
        <v>35</v>
      </c>
      <c r="R219" s="14" t="s">
        <v>36</v>
      </c>
      <c r="S219" s="14" t="s">
        <v>104</v>
      </c>
      <c r="T219" s="14" t="s">
        <v>105</v>
      </c>
      <c r="U219" s="14" t="s">
        <v>106</v>
      </c>
      <c r="V219" s="22">
        <v>46190.122824074075</v>
      </c>
      <c r="W219" s="22">
        <v>46190.146527777775</v>
      </c>
      <c r="X219" s="15">
        <v>34.130000000000003</v>
      </c>
      <c r="Y219" s="22">
        <v>46190.122824074075</v>
      </c>
      <c r="Z219" s="15">
        <v>0</v>
      </c>
      <c r="AA219" s="15">
        <v>30</v>
      </c>
      <c r="AB219" s="15" t="s">
        <v>40</v>
      </c>
      <c r="AC219" s="22">
        <v>46190.128344907411</v>
      </c>
      <c r="AD219" s="22">
        <v>46190.145370370374</v>
      </c>
      <c r="AE219" s="15">
        <v>24.52</v>
      </c>
      <c r="AF219" s="15">
        <v>9.6199999999999992</v>
      </c>
      <c r="AG219" s="15">
        <v>120</v>
      </c>
      <c r="AH219" s="15" t="s">
        <v>40</v>
      </c>
      <c r="AI219" s="14"/>
      <c r="AJ219" s="16">
        <v>129600</v>
      </c>
      <c r="AK219" s="1">
        <f t="shared" si="12"/>
        <v>129590.38</v>
      </c>
      <c r="AL219" s="2">
        <f t="shared" si="13"/>
        <v>99.992577160493838</v>
      </c>
      <c r="AM219" s="16">
        <f t="shared" si="14"/>
        <v>129575.48</v>
      </c>
      <c r="AN219" s="2">
        <f t="shared" si="15"/>
        <v>99.981080246913578</v>
      </c>
    </row>
    <row r="220" spans="1:40" x14ac:dyDescent="0.35">
      <c r="A220" s="14" t="s">
        <v>27</v>
      </c>
      <c r="B220" s="14" t="s">
        <v>28</v>
      </c>
      <c r="C220" s="14" t="s">
        <v>100</v>
      </c>
      <c r="D220" s="14" t="s">
        <v>101</v>
      </c>
      <c r="E220" s="14" t="s">
        <v>31</v>
      </c>
      <c r="F220" s="14" t="s">
        <v>32</v>
      </c>
      <c r="G220" s="14" t="s">
        <v>33</v>
      </c>
      <c r="H220" s="14" t="s">
        <v>963</v>
      </c>
      <c r="I220" s="14" t="s">
        <v>103</v>
      </c>
      <c r="J220" s="14" t="s">
        <v>103</v>
      </c>
      <c r="K220" s="14" t="s">
        <v>976</v>
      </c>
      <c r="L220" s="14" t="s">
        <v>967</v>
      </c>
      <c r="M220" s="14" t="s">
        <v>102</v>
      </c>
      <c r="N220" s="14" t="s">
        <v>977</v>
      </c>
      <c r="O220" s="14" t="s">
        <v>978</v>
      </c>
      <c r="P220" s="14"/>
      <c r="Q220" s="14" t="s">
        <v>35</v>
      </c>
      <c r="R220" s="14" t="s">
        <v>36</v>
      </c>
      <c r="S220" s="14" t="s">
        <v>104</v>
      </c>
      <c r="T220" s="14" t="s">
        <v>105</v>
      </c>
      <c r="U220" s="14" t="s">
        <v>106</v>
      </c>
      <c r="V220" s="22">
        <v>46190.123055555552</v>
      </c>
      <c r="W220" s="22">
        <v>46190.147222222222</v>
      </c>
      <c r="X220" s="15">
        <v>34.799999999999997</v>
      </c>
      <c r="Y220" s="22">
        <v>46190.123067129629</v>
      </c>
      <c r="Z220" s="15">
        <v>0.02</v>
      </c>
      <c r="AA220" s="15">
        <v>30</v>
      </c>
      <c r="AB220" s="15" t="s">
        <v>40</v>
      </c>
      <c r="AC220" s="22">
        <v>46190.130162037036</v>
      </c>
      <c r="AD220" s="22">
        <v>46190.145949074074</v>
      </c>
      <c r="AE220" s="15">
        <v>22.73</v>
      </c>
      <c r="AF220" s="15">
        <v>12.07</v>
      </c>
      <c r="AG220" s="15">
        <v>120</v>
      </c>
      <c r="AH220" s="15" t="s">
        <v>40</v>
      </c>
      <c r="AI220" s="14"/>
      <c r="AJ220" s="16">
        <v>129600</v>
      </c>
      <c r="AK220" s="1">
        <f t="shared" si="12"/>
        <v>129587.93</v>
      </c>
      <c r="AL220" s="2">
        <f t="shared" si="13"/>
        <v>99.990686728395062</v>
      </c>
      <c r="AM220" s="16">
        <f t="shared" si="14"/>
        <v>129577.27</v>
      </c>
      <c r="AN220" s="2">
        <f t="shared" si="15"/>
        <v>99.982461419753093</v>
      </c>
    </row>
    <row r="221" spans="1:40" x14ac:dyDescent="0.35">
      <c r="A221" s="14" t="s">
        <v>27</v>
      </c>
      <c r="B221" s="14" t="s">
        <v>28</v>
      </c>
      <c r="C221" s="14" t="s">
        <v>100</v>
      </c>
      <c r="D221" s="14" t="s">
        <v>258</v>
      </c>
      <c r="E221" s="14" t="s">
        <v>193</v>
      </c>
      <c r="F221" s="14" t="s">
        <v>32</v>
      </c>
      <c r="G221" s="14" t="s">
        <v>33</v>
      </c>
      <c r="H221" s="14" t="s">
        <v>963</v>
      </c>
      <c r="I221" s="14" t="s">
        <v>260</v>
      </c>
      <c r="J221" s="14" t="s">
        <v>260</v>
      </c>
      <c r="K221" s="14" t="s">
        <v>204</v>
      </c>
      <c r="L221" s="14" t="s">
        <v>973</v>
      </c>
      <c r="M221" s="14" t="s">
        <v>259</v>
      </c>
      <c r="N221" s="14" t="s">
        <v>996</v>
      </c>
      <c r="O221" s="14" t="s">
        <v>980</v>
      </c>
      <c r="P221" s="14"/>
      <c r="Q221" s="14" t="s">
        <v>196</v>
      </c>
      <c r="R221" s="14" t="s">
        <v>36</v>
      </c>
      <c r="S221" s="14" t="s">
        <v>104</v>
      </c>
      <c r="T221" s="14" t="s">
        <v>105</v>
      </c>
      <c r="U221" s="14" t="s">
        <v>261</v>
      </c>
      <c r="V221" s="22">
        <v>46190.123055555552</v>
      </c>
      <c r="W221" s="22">
        <v>46190.149305555555</v>
      </c>
      <c r="X221" s="15">
        <v>37.799999999999997</v>
      </c>
      <c r="Y221" s="22">
        <v>46190.123067129629</v>
      </c>
      <c r="Z221" s="15">
        <v>0.02</v>
      </c>
      <c r="AA221" s="15">
        <v>30</v>
      </c>
      <c r="AB221" s="15" t="s">
        <v>40</v>
      </c>
      <c r="AC221" s="22">
        <v>46190.12909722222</v>
      </c>
      <c r="AD221" s="22">
        <v>46190.148460648146</v>
      </c>
      <c r="AE221" s="15">
        <v>27.88</v>
      </c>
      <c r="AF221" s="15">
        <v>9.92</v>
      </c>
      <c r="AG221" s="15">
        <v>120</v>
      </c>
      <c r="AH221" s="15" t="s">
        <v>40</v>
      </c>
      <c r="AI221" s="14"/>
      <c r="AJ221" s="16">
        <v>129600</v>
      </c>
      <c r="AK221" s="1">
        <f t="shared" si="12"/>
        <v>129590.08</v>
      </c>
      <c r="AL221" s="2">
        <f t="shared" si="13"/>
        <v>99.992345679012345</v>
      </c>
      <c r="AM221" s="16">
        <f t="shared" si="14"/>
        <v>129572.12</v>
      </c>
      <c r="AN221" s="2">
        <f t="shared" si="15"/>
        <v>99.978487654320986</v>
      </c>
    </row>
    <row r="222" spans="1:40" x14ac:dyDescent="0.35">
      <c r="A222" s="14" t="s">
        <v>27</v>
      </c>
      <c r="B222" s="14" t="s">
        <v>28</v>
      </c>
      <c r="C222" s="14" t="s">
        <v>100</v>
      </c>
      <c r="D222" s="14" t="s">
        <v>866</v>
      </c>
      <c r="E222" s="14" t="s">
        <v>848</v>
      </c>
      <c r="F222" s="14" t="s">
        <v>32</v>
      </c>
      <c r="G222" s="14" t="s">
        <v>33</v>
      </c>
      <c r="H222" s="14" t="s">
        <v>963</v>
      </c>
      <c r="I222" s="14" t="s">
        <v>103</v>
      </c>
      <c r="J222" s="14" t="s">
        <v>103</v>
      </c>
      <c r="K222" s="14" t="s">
        <v>976</v>
      </c>
      <c r="L222" s="14" t="s">
        <v>967</v>
      </c>
      <c r="M222" s="14" t="s">
        <v>102</v>
      </c>
      <c r="N222" s="14" t="s">
        <v>977</v>
      </c>
      <c r="O222" s="14" t="s">
        <v>978</v>
      </c>
      <c r="P222" s="14"/>
      <c r="Q222" s="14" t="s">
        <v>839</v>
      </c>
      <c r="R222" s="14" t="s">
        <v>36</v>
      </c>
      <c r="S222" s="14" t="s">
        <v>37</v>
      </c>
      <c r="T222" s="14"/>
      <c r="U222" s="14" t="s">
        <v>867</v>
      </c>
      <c r="V222" s="22">
        <v>46190.125439814816</v>
      </c>
      <c r="W222" s="22">
        <v>46190.140972222223</v>
      </c>
      <c r="X222" s="15">
        <v>22.37</v>
      </c>
      <c r="Y222" s="22">
        <v>46190.125451388885</v>
      </c>
      <c r="Z222" s="15">
        <v>0.02</v>
      </c>
      <c r="AA222" s="15">
        <v>30</v>
      </c>
      <c r="AB222" s="15" t="s">
        <v>40</v>
      </c>
      <c r="AC222" s="15"/>
      <c r="AD222" s="15"/>
      <c r="AE222" s="15">
        <v>0</v>
      </c>
      <c r="AF222" s="15">
        <v>22.37</v>
      </c>
      <c r="AG222" s="15">
        <v>1440</v>
      </c>
      <c r="AH222" s="15" t="s">
        <v>40</v>
      </c>
      <c r="AI222" s="14"/>
      <c r="AJ222" s="16">
        <v>129600</v>
      </c>
      <c r="AK222" s="1">
        <f t="shared" si="12"/>
        <v>129577.63</v>
      </c>
      <c r="AL222" s="2">
        <f t="shared" si="13"/>
        <v>99.982739197530861</v>
      </c>
      <c r="AM222" s="16">
        <f t="shared" si="14"/>
        <v>129600</v>
      </c>
      <c r="AN222" s="2">
        <f t="shared" si="15"/>
        <v>100</v>
      </c>
    </row>
    <row r="223" spans="1:40" x14ac:dyDescent="0.35">
      <c r="A223" s="14" t="s">
        <v>27</v>
      </c>
      <c r="B223" s="14" t="s">
        <v>28</v>
      </c>
      <c r="C223" s="14" t="s">
        <v>54</v>
      </c>
      <c r="D223" s="14" t="s">
        <v>857</v>
      </c>
      <c r="E223" s="14" t="s">
        <v>848</v>
      </c>
      <c r="F223" s="14" t="s">
        <v>32</v>
      </c>
      <c r="G223" s="14" t="s">
        <v>33</v>
      </c>
      <c r="H223" s="14" t="s">
        <v>963</v>
      </c>
      <c r="I223" s="14" t="s">
        <v>220</v>
      </c>
      <c r="J223" s="14" t="s">
        <v>220</v>
      </c>
      <c r="K223" s="14" t="s">
        <v>999</v>
      </c>
      <c r="L223" s="14" t="s">
        <v>967</v>
      </c>
      <c r="M223" s="14" t="s">
        <v>219</v>
      </c>
      <c r="N223" s="14" t="s">
        <v>992</v>
      </c>
      <c r="O223" s="14" t="s">
        <v>978</v>
      </c>
      <c r="P223" s="14"/>
      <c r="Q223" s="14" t="s">
        <v>839</v>
      </c>
      <c r="R223" s="14" t="s">
        <v>36</v>
      </c>
      <c r="S223" s="14" t="s">
        <v>104</v>
      </c>
      <c r="T223" s="14"/>
      <c r="U223" s="14" t="s">
        <v>849</v>
      </c>
      <c r="V223" s="22">
        <v>46190.126192129632</v>
      </c>
      <c r="W223" s="22">
        <v>46190.142777777779</v>
      </c>
      <c r="X223" s="15">
        <v>23.88</v>
      </c>
      <c r="Y223" s="22">
        <v>46190.126203703701</v>
      </c>
      <c r="Z223" s="15">
        <v>0.02</v>
      </c>
      <c r="AA223" s="15">
        <v>30</v>
      </c>
      <c r="AB223" s="15" t="s">
        <v>40</v>
      </c>
      <c r="AC223" s="15"/>
      <c r="AD223" s="15"/>
      <c r="AE223" s="15">
        <v>0</v>
      </c>
      <c r="AF223" s="15">
        <v>23.88</v>
      </c>
      <c r="AG223" s="15">
        <v>1440</v>
      </c>
      <c r="AH223" s="15" t="s">
        <v>40</v>
      </c>
      <c r="AI223" s="14"/>
      <c r="AJ223" s="16">
        <v>129600</v>
      </c>
      <c r="AK223" s="1">
        <f t="shared" si="12"/>
        <v>129576.12</v>
      </c>
      <c r="AL223" s="2">
        <f t="shared" si="13"/>
        <v>99.981574074074075</v>
      </c>
      <c r="AM223" s="16">
        <f t="shared" si="14"/>
        <v>129600</v>
      </c>
      <c r="AN223" s="2">
        <f t="shared" si="15"/>
        <v>100</v>
      </c>
    </row>
    <row r="224" spans="1:40" x14ac:dyDescent="0.35">
      <c r="A224" s="14" t="s">
        <v>27</v>
      </c>
      <c r="B224" s="14" t="s">
        <v>28</v>
      </c>
      <c r="C224" s="14" t="s">
        <v>54</v>
      </c>
      <c r="D224" s="14" t="s">
        <v>847</v>
      </c>
      <c r="E224" s="14" t="s">
        <v>848</v>
      </c>
      <c r="F224" s="14" t="s">
        <v>32</v>
      </c>
      <c r="G224" s="14" t="s">
        <v>33</v>
      </c>
      <c r="H224" s="14" t="s">
        <v>963</v>
      </c>
      <c r="I224" s="14" t="s">
        <v>157</v>
      </c>
      <c r="J224" s="14" t="s">
        <v>157</v>
      </c>
      <c r="K224" s="14" t="s">
        <v>999</v>
      </c>
      <c r="L224" s="14" t="s">
        <v>967</v>
      </c>
      <c r="M224" s="14" t="s">
        <v>156</v>
      </c>
      <c r="N224" s="14" t="s">
        <v>992</v>
      </c>
      <c r="O224" s="14" t="s">
        <v>978</v>
      </c>
      <c r="P224" s="14"/>
      <c r="Q224" s="14" t="s">
        <v>839</v>
      </c>
      <c r="R224" s="14" t="s">
        <v>36</v>
      </c>
      <c r="S224" s="14" t="s">
        <v>104</v>
      </c>
      <c r="T224" s="14"/>
      <c r="U224" s="14" t="s">
        <v>849</v>
      </c>
      <c r="V224" s="22">
        <v>46190.126307870371</v>
      </c>
      <c r="W224" s="22">
        <v>46190.142604166664</v>
      </c>
      <c r="X224" s="15">
        <v>23.47</v>
      </c>
      <c r="Y224" s="22">
        <v>46190.126319444447</v>
      </c>
      <c r="Z224" s="15">
        <v>0.02</v>
      </c>
      <c r="AA224" s="15">
        <v>30</v>
      </c>
      <c r="AB224" s="15" t="s">
        <v>40</v>
      </c>
      <c r="AC224" s="15"/>
      <c r="AD224" s="15"/>
      <c r="AE224" s="15">
        <v>0</v>
      </c>
      <c r="AF224" s="15">
        <v>23.47</v>
      </c>
      <c r="AG224" s="15">
        <v>1440</v>
      </c>
      <c r="AH224" s="15" t="s">
        <v>40</v>
      </c>
      <c r="AI224" s="14"/>
      <c r="AJ224" s="16">
        <v>129600</v>
      </c>
      <c r="AK224" s="1">
        <f t="shared" si="12"/>
        <v>129576.53</v>
      </c>
      <c r="AL224" s="2">
        <f t="shared" si="13"/>
        <v>99.981890432098766</v>
      </c>
      <c r="AM224" s="16">
        <f t="shared" si="14"/>
        <v>129600</v>
      </c>
      <c r="AN224" s="2">
        <f t="shared" si="15"/>
        <v>100</v>
      </c>
    </row>
    <row r="225" spans="1:40" x14ac:dyDescent="0.35">
      <c r="A225" s="14" t="s">
        <v>27</v>
      </c>
      <c r="B225" s="14" t="s">
        <v>28</v>
      </c>
      <c r="C225" s="14" t="s">
        <v>54</v>
      </c>
      <c r="D225" s="14" t="s">
        <v>868</v>
      </c>
      <c r="E225" s="14" t="s">
        <v>848</v>
      </c>
      <c r="F225" s="14" t="s">
        <v>32</v>
      </c>
      <c r="G225" s="14" t="s">
        <v>33</v>
      </c>
      <c r="H225" s="14" t="s">
        <v>963</v>
      </c>
      <c r="I225" s="14" t="s">
        <v>109</v>
      </c>
      <c r="J225" s="14" t="s">
        <v>109</v>
      </c>
      <c r="K225" s="14" t="s">
        <v>1019</v>
      </c>
      <c r="L225" s="14" t="s">
        <v>967</v>
      </c>
      <c r="M225" s="14" t="s">
        <v>108</v>
      </c>
      <c r="N225" s="14" t="s">
        <v>992</v>
      </c>
      <c r="O225" s="14" t="s">
        <v>978</v>
      </c>
      <c r="P225" s="14"/>
      <c r="Q225" s="14" t="s">
        <v>839</v>
      </c>
      <c r="R225" s="14" t="s">
        <v>36</v>
      </c>
      <c r="S225" s="14" t="s">
        <v>104</v>
      </c>
      <c r="T225" s="14"/>
      <c r="U225" s="14" t="s">
        <v>849</v>
      </c>
      <c r="V225" s="22">
        <v>46190.127071759256</v>
      </c>
      <c r="W225" s="22">
        <v>46190.140451388892</v>
      </c>
      <c r="X225" s="15">
        <v>19.27</v>
      </c>
      <c r="Y225" s="22">
        <v>46190.127071759256</v>
      </c>
      <c r="Z225" s="15">
        <v>0</v>
      </c>
      <c r="AA225" s="15">
        <v>30</v>
      </c>
      <c r="AB225" s="15" t="s">
        <v>40</v>
      </c>
      <c r="AC225" s="15"/>
      <c r="AD225" s="15"/>
      <c r="AE225" s="15">
        <v>0</v>
      </c>
      <c r="AF225" s="15">
        <v>19.27</v>
      </c>
      <c r="AG225" s="15">
        <v>1440</v>
      </c>
      <c r="AH225" s="15" t="s">
        <v>40</v>
      </c>
      <c r="AI225" s="14"/>
      <c r="AJ225" s="16">
        <v>129600</v>
      </c>
      <c r="AK225" s="1">
        <f t="shared" si="12"/>
        <v>129580.73</v>
      </c>
      <c r="AL225" s="2">
        <f t="shared" si="13"/>
        <v>99.985131172839502</v>
      </c>
      <c r="AM225" s="16">
        <f t="shared" si="14"/>
        <v>129600</v>
      </c>
      <c r="AN225" s="2">
        <f t="shared" si="15"/>
        <v>100</v>
      </c>
    </row>
    <row r="226" spans="1:40" x14ac:dyDescent="0.35">
      <c r="A226" s="14" t="s">
        <v>27</v>
      </c>
      <c r="B226" s="14" t="s">
        <v>94</v>
      </c>
      <c r="C226" s="14" t="s">
        <v>65</v>
      </c>
      <c r="D226" s="14" t="s">
        <v>904</v>
      </c>
      <c r="E226" s="14" t="s">
        <v>905</v>
      </c>
      <c r="F226" s="14" t="s">
        <v>32</v>
      </c>
      <c r="G226" s="14" t="s">
        <v>312</v>
      </c>
      <c r="H226" s="14" t="s">
        <v>984</v>
      </c>
      <c r="I226" s="14"/>
      <c r="J226" s="3" t="s">
        <v>426</v>
      </c>
      <c r="K226" s="14" t="s">
        <v>204</v>
      </c>
      <c r="L226" s="14" t="s">
        <v>973</v>
      </c>
      <c r="M226" s="14" t="s">
        <v>425</v>
      </c>
      <c r="N226" s="14" t="s">
        <v>974</v>
      </c>
      <c r="O226" s="14" t="s">
        <v>991</v>
      </c>
      <c r="P226" s="14"/>
      <c r="Q226" s="14" t="s">
        <v>872</v>
      </c>
      <c r="R226" s="14" t="s">
        <v>36</v>
      </c>
      <c r="S226" s="14" t="s">
        <v>279</v>
      </c>
      <c r="T226" s="14" t="s">
        <v>906</v>
      </c>
      <c r="U226" s="14" t="s">
        <v>907</v>
      </c>
      <c r="V226" s="22">
        <v>46191.629803240743</v>
      </c>
      <c r="W226" s="22">
        <v>46191.654166666667</v>
      </c>
      <c r="X226" s="15">
        <v>35.08</v>
      </c>
      <c r="Y226" s="22">
        <v>46191.629791666666</v>
      </c>
      <c r="Z226" s="15">
        <v>0</v>
      </c>
      <c r="AA226" s="15">
        <v>30</v>
      </c>
      <c r="AB226" s="15" t="s">
        <v>40</v>
      </c>
      <c r="AC226" s="22">
        <v>46191.636076388888</v>
      </c>
      <c r="AD226" s="22">
        <v>46191.651377314818</v>
      </c>
      <c r="AE226" s="15">
        <v>22.03</v>
      </c>
      <c r="AF226" s="15">
        <v>13.05</v>
      </c>
      <c r="AG226" s="15">
        <v>2880</v>
      </c>
      <c r="AH226" s="15" t="s">
        <v>40</v>
      </c>
      <c r="AI226" s="14"/>
      <c r="AJ226" s="16">
        <v>129600</v>
      </c>
      <c r="AK226" s="1">
        <f t="shared" si="12"/>
        <v>129586.95</v>
      </c>
      <c r="AL226" s="2">
        <f t="shared" si="13"/>
        <v>99.989930555555546</v>
      </c>
      <c r="AM226" s="16">
        <f t="shared" si="14"/>
        <v>129577.97</v>
      </c>
      <c r="AN226" s="2">
        <f t="shared" si="15"/>
        <v>99.98300154320988</v>
      </c>
    </row>
    <row r="227" spans="1:40" x14ac:dyDescent="0.35">
      <c r="A227" s="14" t="s">
        <v>27</v>
      </c>
      <c r="B227" s="14" t="s">
        <v>28</v>
      </c>
      <c r="C227" s="14" t="s">
        <v>47</v>
      </c>
      <c r="D227" s="14" t="s">
        <v>695</v>
      </c>
      <c r="E227" s="14" t="s">
        <v>218</v>
      </c>
      <c r="F227" s="14" t="s">
        <v>32</v>
      </c>
      <c r="G227" s="14" t="s">
        <v>33</v>
      </c>
      <c r="H227" s="14" t="s">
        <v>963</v>
      </c>
      <c r="I227" s="14" t="s">
        <v>103</v>
      </c>
      <c r="J227" s="14" t="s">
        <v>103</v>
      </c>
      <c r="K227" s="14" t="s">
        <v>976</v>
      </c>
      <c r="L227" s="14" t="s">
        <v>967</v>
      </c>
      <c r="M227" s="14" t="s">
        <v>102</v>
      </c>
      <c r="N227" s="14" t="s">
        <v>977</v>
      </c>
      <c r="O227" s="14" t="s">
        <v>978</v>
      </c>
      <c r="P227" s="14"/>
      <c r="Q227" s="14" t="s">
        <v>196</v>
      </c>
      <c r="R227" s="14" t="s">
        <v>36</v>
      </c>
      <c r="S227" s="14" t="s">
        <v>696</v>
      </c>
      <c r="T227" s="14" t="s">
        <v>697</v>
      </c>
      <c r="U227" s="14" t="s">
        <v>698</v>
      </c>
      <c r="V227" s="22">
        <v>46191.638495370367</v>
      </c>
      <c r="W227" s="22">
        <v>46204.659722222219</v>
      </c>
      <c r="X227" s="15">
        <v>18750.57</v>
      </c>
      <c r="Y227" s="22">
        <v>46191.638506944444</v>
      </c>
      <c r="Z227" s="15">
        <v>0.02</v>
      </c>
      <c r="AA227" s="15">
        <v>30</v>
      </c>
      <c r="AB227" s="15" t="s">
        <v>40</v>
      </c>
      <c r="AC227" s="22">
        <v>46191.639560185184</v>
      </c>
      <c r="AD227" s="22">
        <v>46204.654803240737</v>
      </c>
      <c r="AE227" s="15">
        <v>18741.95</v>
      </c>
      <c r="AF227" s="15">
        <v>8.6199999999999992</v>
      </c>
      <c r="AG227" s="15">
        <v>120</v>
      </c>
      <c r="AH227" s="15" t="s">
        <v>40</v>
      </c>
      <c r="AI227" s="14"/>
      <c r="AJ227" s="16">
        <v>129600</v>
      </c>
      <c r="AK227" s="1">
        <f t="shared" si="12"/>
        <v>129591.38</v>
      </c>
      <c r="AL227" s="2">
        <f t="shared" si="13"/>
        <v>99.993348765432103</v>
      </c>
      <c r="AM227" s="16">
        <f t="shared" si="14"/>
        <v>110858.05</v>
      </c>
      <c r="AN227" s="2">
        <f t="shared" si="15"/>
        <v>85.538618827160491</v>
      </c>
    </row>
    <row r="228" spans="1:40" x14ac:dyDescent="0.35">
      <c r="A228" s="14" t="s">
        <v>27</v>
      </c>
      <c r="B228" s="14" t="s">
        <v>28</v>
      </c>
      <c r="C228" s="14" t="s">
        <v>47</v>
      </c>
      <c r="D228" s="14" t="s">
        <v>739</v>
      </c>
      <c r="E228" s="14" t="s">
        <v>218</v>
      </c>
      <c r="F228" s="14" t="s">
        <v>32</v>
      </c>
      <c r="G228" s="14" t="s">
        <v>33</v>
      </c>
      <c r="H228" s="14" t="s">
        <v>963</v>
      </c>
      <c r="I228" s="14" t="s">
        <v>220</v>
      </c>
      <c r="J228" s="14" t="s">
        <v>220</v>
      </c>
      <c r="K228" s="14" t="s">
        <v>999</v>
      </c>
      <c r="L228" s="14" t="s">
        <v>967</v>
      </c>
      <c r="M228" s="14" t="s">
        <v>219</v>
      </c>
      <c r="N228" s="14" t="s">
        <v>992</v>
      </c>
      <c r="O228" s="14" t="s">
        <v>978</v>
      </c>
      <c r="P228" s="14"/>
      <c r="Q228" s="14" t="s">
        <v>196</v>
      </c>
      <c r="R228" s="14" t="s">
        <v>36</v>
      </c>
      <c r="S228" s="14" t="s">
        <v>279</v>
      </c>
      <c r="T228" s="14" t="s">
        <v>597</v>
      </c>
      <c r="U228" s="14" t="s">
        <v>740</v>
      </c>
      <c r="V228" s="22">
        <v>46192.104525462964</v>
      </c>
      <c r="W228" s="22">
        <v>46192.458333333336</v>
      </c>
      <c r="X228" s="15">
        <v>509.48</v>
      </c>
      <c r="Y228" s="22">
        <v>46192.104548611111</v>
      </c>
      <c r="Z228" s="15">
        <v>0.03</v>
      </c>
      <c r="AA228" s="15">
        <v>30</v>
      </c>
      <c r="AB228" s="15" t="s">
        <v>40</v>
      </c>
      <c r="AC228" s="22">
        <v>46192.105682870373</v>
      </c>
      <c r="AD228" s="22">
        <v>46192.452847222223</v>
      </c>
      <c r="AE228" s="15">
        <v>499.92</v>
      </c>
      <c r="AF228" s="15">
        <v>9.57</v>
      </c>
      <c r="AG228" s="15">
        <v>120</v>
      </c>
      <c r="AH228" s="15" t="s">
        <v>40</v>
      </c>
      <c r="AI228" s="14"/>
      <c r="AJ228" s="16">
        <v>129600</v>
      </c>
      <c r="AK228" s="1">
        <f t="shared" si="12"/>
        <v>129590.43</v>
      </c>
      <c r="AL228" s="2">
        <f t="shared" si="13"/>
        <v>99.992615740740732</v>
      </c>
      <c r="AM228" s="16">
        <f t="shared" si="14"/>
        <v>129100.08</v>
      </c>
      <c r="AN228" s="2">
        <f t="shared" si="15"/>
        <v>99.614259259259256</v>
      </c>
    </row>
    <row r="229" spans="1:40" x14ac:dyDescent="0.35">
      <c r="A229" s="14" t="s">
        <v>27</v>
      </c>
      <c r="B229" s="14" t="s">
        <v>28</v>
      </c>
      <c r="C229" s="14" t="s">
        <v>47</v>
      </c>
      <c r="D229" s="14" t="s">
        <v>428</v>
      </c>
      <c r="E229" s="14" t="s">
        <v>218</v>
      </c>
      <c r="F229" s="14" t="s">
        <v>32</v>
      </c>
      <c r="G229" s="14" t="s">
        <v>33</v>
      </c>
      <c r="H229" s="14" t="s">
        <v>963</v>
      </c>
      <c r="I229" s="14" t="s">
        <v>103</v>
      </c>
      <c r="J229" s="14" t="s">
        <v>103</v>
      </c>
      <c r="K229" s="14" t="s">
        <v>976</v>
      </c>
      <c r="L229" s="14" t="s">
        <v>967</v>
      </c>
      <c r="M229" s="14" t="s">
        <v>102</v>
      </c>
      <c r="N229" s="14" t="s">
        <v>977</v>
      </c>
      <c r="O229" s="14" t="s">
        <v>978</v>
      </c>
      <c r="P229" s="14"/>
      <c r="Q229" s="14" t="s">
        <v>196</v>
      </c>
      <c r="R229" s="14" t="s">
        <v>36</v>
      </c>
      <c r="S229" s="14" t="s">
        <v>279</v>
      </c>
      <c r="T229" s="14" t="s">
        <v>429</v>
      </c>
      <c r="U229" s="14" t="s">
        <v>430</v>
      </c>
      <c r="V229" s="22">
        <v>46192.448807870373</v>
      </c>
      <c r="W229" s="22">
        <v>46192.508333333331</v>
      </c>
      <c r="X229" s="15">
        <v>85.72</v>
      </c>
      <c r="Y229" s="22">
        <v>46192.448819444442</v>
      </c>
      <c r="Z229" s="15">
        <v>0.02</v>
      </c>
      <c r="AA229" s="15">
        <v>30</v>
      </c>
      <c r="AB229" s="15" t="s">
        <v>40</v>
      </c>
      <c r="AC229" s="22">
        <v>46192.451516203706</v>
      </c>
      <c r="AD229" s="22">
        <v>46192.506481481483</v>
      </c>
      <c r="AE229" s="15">
        <v>79.150000000000006</v>
      </c>
      <c r="AF229" s="15">
        <v>6.57</v>
      </c>
      <c r="AG229" s="15">
        <v>120</v>
      </c>
      <c r="AH229" s="15" t="s">
        <v>40</v>
      </c>
      <c r="AI229" s="14"/>
      <c r="AJ229" s="16">
        <v>129600</v>
      </c>
      <c r="AK229" s="1">
        <f t="shared" si="12"/>
        <v>129593.43</v>
      </c>
      <c r="AL229" s="2">
        <f t="shared" si="13"/>
        <v>99.994930555555555</v>
      </c>
      <c r="AM229" s="16">
        <f t="shared" si="14"/>
        <v>129520.85</v>
      </c>
      <c r="AN229" s="2">
        <f t="shared" si="15"/>
        <v>99.938927469135805</v>
      </c>
    </row>
    <row r="230" spans="1:40" x14ac:dyDescent="0.35">
      <c r="A230" s="14" t="s">
        <v>27</v>
      </c>
      <c r="B230" s="14" t="s">
        <v>28</v>
      </c>
      <c r="C230" s="14" t="s">
        <v>47</v>
      </c>
      <c r="D230" s="14" t="s">
        <v>711</v>
      </c>
      <c r="E230" s="14" t="s">
        <v>218</v>
      </c>
      <c r="F230" s="14" t="s">
        <v>32</v>
      </c>
      <c r="G230" s="14" t="s">
        <v>33</v>
      </c>
      <c r="H230" s="14" t="s">
        <v>963</v>
      </c>
      <c r="I230" s="14" t="s">
        <v>103</v>
      </c>
      <c r="J230" s="14" t="s">
        <v>103</v>
      </c>
      <c r="K230" s="14" t="s">
        <v>976</v>
      </c>
      <c r="L230" s="14" t="s">
        <v>967</v>
      </c>
      <c r="M230" s="14" t="s">
        <v>102</v>
      </c>
      <c r="N230" s="14" t="s">
        <v>977</v>
      </c>
      <c r="O230" s="14" t="s">
        <v>978</v>
      </c>
      <c r="P230" s="14"/>
      <c r="Q230" s="14" t="s">
        <v>196</v>
      </c>
      <c r="R230" s="14" t="s">
        <v>36</v>
      </c>
      <c r="S230" s="14" t="s">
        <v>279</v>
      </c>
      <c r="T230" s="14" t="s">
        <v>712</v>
      </c>
      <c r="U230" s="14" t="s">
        <v>713</v>
      </c>
      <c r="V230" s="22">
        <v>46192.455185185187</v>
      </c>
      <c r="W230" s="22">
        <v>46192.506944444445</v>
      </c>
      <c r="X230" s="15">
        <v>74.53</v>
      </c>
      <c r="Y230" s="22">
        <v>46192.455196759256</v>
      </c>
      <c r="Z230" s="15">
        <v>0.02</v>
      </c>
      <c r="AA230" s="15">
        <v>30</v>
      </c>
      <c r="AB230" s="15" t="s">
        <v>40</v>
      </c>
      <c r="AC230" s="22">
        <v>46192.457152777781</v>
      </c>
      <c r="AD230" s="22">
        <v>46192.505856481483</v>
      </c>
      <c r="AE230" s="15">
        <v>70.13</v>
      </c>
      <c r="AF230" s="15">
        <v>4.4000000000000004</v>
      </c>
      <c r="AG230" s="15">
        <v>120</v>
      </c>
      <c r="AH230" s="15" t="s">
        <v>40</v>
      </c>
      <c r="AI230" s="14"/>
      <c r="AJ230" s="16">
        <v>129600</v>
      </c>
      <c r="AK230" s="1">
        <f t="shared" si="12"/>
        <v>129595.6</v>
      </c>
      <c r="AL230" s="2">
        <f t="shared" si="13"/>
        <v>99.996604938271602</v>
      </c>
      <c r="AM230" s="16">
        <f t="shared" si="14"/>
        <v>129529.87</v>
      </c>
      <c r="AN230" s="2">
        <f t="shared" si="15"/>
        <v>99.945887345679012</v>
      </c>
    </row>
    <row r="231" spans="1:40" x14ac:dyDescent="0.35">
      <c r="A231" s="14" t="s">
        <v>27</v>
      </c>
      <c r="B231" s="14" t="s">
        <v>28</v>
      </c>
      <c r="C231" s="14" t="s">
        <v>47</v>
      </c>
      <c r="D231" s="14" t="s">
        <v>275</v>
      </c>
      <c r="E231" s="14" t="s">
        <v>218</v>
      </c>
      <c r="F231" s="14" t="s">
        <v>32</v>
      </c>
      <c r="G231" s="14" t="s">
        <v>33</v>
      </c>
      <c r="H231" s="14" t="s">
        <v>966</v>
      </c>
      <c r="I231" s="14" t="s">
        <v>277</v>
      </c>
      <c r="J231" s="14" t="s">
        <v>277</v>
      </c>
      <c r="K231" s="14" t="s">
        <v>278</v>
      </c>
      <c r="L231" s="14" t="s">
        <v>967</v>
      </c>
      <c r="M231" s="14" t="s">
        <v>276</v>
      </c>
      <c r="N231" s="14" t="s">
        <v>971</v>
      </c>
      <c r="O231" s="14" t="s">
        <v>969</v>
      </c>
      <c r="P231" s="14"/>
      <c r="Q231" s="14" t="s">
        <v>196</v>
      </c>
      <c r="R231" s="14" t="s">
        <v>36</v>
      </c>
      <c r="S231" s="14" t="s">
        <v>279</v>
      </c>
      <c r="T231" s="14" t="s">
        <v>280</v>
      </c>
      <c r="U231" s="14" t="s">
        <v>281</v>
      </c>
      <c r="V231" s="22">
        <v>46192.74728009259</v>
      </c>
      <c r="W231" s="22">
        <v>46202.416666666664</v>
      </c>
      <c r="X231" s="15">
        <v>13923.92</v>
      </c>
      <c r="Y231" s="22">
        <v>46192.747291666667</v>
      </c>
      <c r="Z231" s="15">
        <v>0.02</v>
      </c>
      <c r="AA231" s="15">
        <v>30</v>
      </c>
      <c r="AB231" s="15" t="s">
        <v>40</v>
      </c>
      <c r="AC231" s="22">
        <v>46192.752175925925</v>
      </c>
      <c r="AD231" s="22">
        <v>46202.410196759258</v>
      </c>
      <c r="AE231" s="15">
        <v>13907.55</v>
      </c>
      <c r="AF231" s="15">
        <v>16.37</v>
      </c>
      <c r="AG231" s="15">
        <v>120</v>
      </c>
      <c r="AH231" s="15" t="s">
        <v>40</v>
      </c>
      <c r="AI231" s="14"/>
      <c r="AJ231" s="16">
        <v>129600</v>
      </c>
      <c r="AK231" s="1">
        <f t="shared" si="12"/>
        <v>129583.63</v>
      </c>
      <c r="AL231" s="2">
        <f t="shared" si="13"/>
        <v>99.987368827160495</v>
      </c>
      <c r="AM231" s="16">
        <f t="shared" si="14"/>
        <v>115692.45</v>
      </c>
      <c r="AN231" s="2">
        <f t="shared" si="15"/>
        <v>89.26886574074075</v>
      </c>
    </row>
    <row r="232" spans="1:40" x14ac:dyDescent="0.35">
      <c r="A232" s="14" t="s">
        <v>27</v>
      </c>
      <c r="B232" s="14" t="s">
        <v>94</v>
      </c>
      <c r="C232" s="14" t="s">
        <v>65</v>
      </c>
      <c r="D232" s="14" t="s">
        <v>674</v>
      </c>
      <c r="E232" s="14" t="s">
        <v>675</v>
      </c>
      <c r="F232" s="14" t="s">
        <v>32</v>
      </c>
      <c r="G232" s="14" t="s">
        <v>33</v>
      </c>
      <c r="H232" s="14" t="s">
        <v>963</v>
      </c>
      <c r="I232" s="14" t="s">
        <v>220</v>
      </c>
      <c r="J232" s="14" t="s">
        <v>220</v>
      </c>
      <c r="K232" s="14" t="s">
        <v>999</v>
      </c>
      <c r="L232" s="14" t="s">
        <v>967</v>
      </c>
      <c r="M232" s="14" t="s">
        <v>219</v>
      </c>
      <c r="N232" s="14" t="s">
        <v>992</v>
      </c>
      <c r="O232" s="14" t="s">
        <v>978</v>
      </c>
      <c r="P232" s="14"/>
      <c r="Q232" s="14" t="s">
        <v>196</v>
      </c>
      <c r="R232" s="14" t="s">
        <v>36</v>
      </c>
      <c r="S232" s="14" t="s">
        <v>676</v>
      </c>
      <c r="T232" s="14" t="s">
        <v>677</v>
      </c>
      <c r="U232" s="14" t="s">
        <v>678</v>
      </c>
      <c r="V232" s="22">
        <v>46192.766134259262</v>
      </c>
      <c r="W232" s="22">
        <v>46193.810416666667</v>
      </c>
      <c r="X232" s="15">
        <v>1503.77</v>
      </c>
      <c r="Y232" s="22">
        <v>46192.766122685185</v>
      </c>
      <c r="Z232" s="15">
        <v>0</v>
      </c>
      <c r="AA232" s="15">
        <v>30</v>
      </c>
      <c r="AB232" s="15" t="s">
        <v>40</v>
      </c>
      <c r="AC232" s="22">
        <v>46192.78466435185</v>
      </c>
      <c r="AD232" s="22">
        <v>46193.809351851851</v>
      </c>
      <c r="AE232" s="15">
        <v>1475.55</v>
      </c>
      <c r="AF232" s="15">
        <v>28.22</v>
      </c>
      <c r="AG232" s="15">
        <v>120</v>
      </c>
      <c r="AH232" s="15" t="s">
        <v>40</v>
      </c>
      <c r="AI232" s="14"/>
      <c r="AJ232" s="16">
        <v>129600</v>
      </c>
      <c r="AK232" s="1">
        <f t="shared" si="12"/>
        <v>129571.78</v>
      </c>
      <c r="AL232" s="2">
        <f t="shared" si="13"/>
        <v>99.978225308641981</v>
      </c>
      <c r="AM232" s="16">
        <f t="shared" si="14"/>
        <v>128124.45</v>
      </c>
      <c r="AN232" s="2">
        <f t="shared" si="15"/>
        <v>98.861458333333331</v>
      </c>
    </row>
    <row r="233" spans="1:40" x14ac:dyDescent="0.35">
      <c r="A233" s="14" t="s">
        <v>27</v>
      </c>
      <c r="B233" s="14" t="s">
        <v>28</v>
      </c>
      <c r="C233" s="14" t="s">
        <v>54</v>
      </c>
      <c r="D233" s="14" t="s">
        <v>485</v>
      </c>
      <c r="E233" s="14" t="s">
        <v>218</v>
      </c>
      <c r="F233" s="14" t="s">
        <v>32</v>
      </c>
      <c r="G233" s="14" t="s">
        <v>33</v>
      </c>
      <c r="H233" s="14" t="s">
        <v>966</v>
      </c>
      <c r="I233" s="14" t="s">
        <v>487</v>
      </c>
      <c r="J233" s="14" t="s">
        <v>487</v>
      </c>
      <c r="K233" s="14" t="s">
        <v>180</v>
      </c>
      <c r="L233" s="14" t="s">
        <v>967</v>
      </c>
      <c r="M233" s="14" t="s">
        <v>486</v>
      </c>
      <c r="N233" s="14" t="s">
        <v>1020</v>
      </c>
      <c r="O233" s="14" t="s">
        <v>969</v>
      </c>
      <c r="P233" s="14"/>
      <c r="Q233" s="14" t="s">
        <v>196</v>
      </c>
      <c r="R233" s="14" t="s">
        <v>36</v>
      </c>
      <c r="S233" s="14" t="s">
        <v>97</v>
      </c>
      <c r="T233" s="14" t="s">
        <v>488</v>
      </c>
      <c r="U233" s="14" t="s">
        <v>489</v>
      </c>
      <c r="V233" s="22">
        <v>46192.911203703705</v>
      </c>
      <c r="W233" s="22">
        <v>46198.517361111109</v>
      </c>
      <c r="X233" s="15">
        <v>8072.87</v>
      </c>
      <c r="Y233" s="22">
        <v>46192.911203703705</v>
      </c>
      <c r="Z233" s="15">
        <v>0</v>
      </c>
      <c r="AA233" s="15">
        <v>30</v>
      </c>
      <c r="AB233" s="15" t="s">
        <v>40</v>
      </c>
      <c r="AC233" s="22">
        <v>46192.915671296294</v>
      </c>
      <c r="AD233" s="22">
        <v>46198.514965277776</v>
      </c>
      <c r="AE233" s="15">
        <v>8062.98</v>
      </c>
      <c r="AF233" s="15">
        <v>9.8800000000000008</v>
      </c>
      <c r="AG233" s="15">
        <v>120</v>
      </c>
      <c r="AH233" s="15" t="s">
        <v>40</v>
      </c>
      <c r="AI233" s="14"/>
      <c r="AJ233" s="16">
        <v>129600</v>
      </c>
      <c r="AK233" s="1">
        <f t="shared" si="12"/>
        <v>129590.12</v>
      </c>
      <c r="AL233" s="2">
        <f t="shared" si="13"/>
        <v>99.992376543209872</v>
      </c>
      <c r="AM233" s="16">
        <f t="shared" si="14"/>
        <v>121537.02</v>
      </c>
      <c r="AN233" s="2">
        <f t="shared" si="15"/>
        <v>93.778564814814814</v>
      </c>
    </row>
    <row r="234" spans="1:40" x14ac:dyDescent="0.35">
      <c r="A234" s="14" t="s">
        <v>27</v>
      </c>
      <c r="B234" s="14" t="s">
        <v>28</v>
      </c>
      <c r="C234" s="14" t="s">
        <v>54</v>
      </c>
      <c r="D234" s="14" t="s">
        <v>55</v>
      </c>
      <c r="E234" s="14" t="s">
        <v>31</v>
      </c>
      <c r="F234" s="14" t="s">
        <v>32</v>
      </c>
      <c r="G234" s="14" t="s">
        <v>33</v>
      </c>
      <c r="H234" s="14" t="s">
        <v>966</v>
      </c>
      <c r="I234" s="14" t="s">
        <v>57</v>
      </c>
      <c r="J234" s="14" t="s">
        <v>57</v>
      </c>
      <c r="K234" s="14" t="s">
        <v>1021</v>
      </c>
      <c r="L234" s="14" t="s">
        <v>967</v>
      </c>
      <c r="M234" s="14" t="s">
        <v>56</v>
      </c>
      <c r="N234" s="14" t="s">
        <v>1022</v>
      </c>
      <c r="O234" s="14" t="s">
        <v>982</v>
      </c>
      <c r="P234" s="14"/>
      <c r="Q234" s="14" t="s">
        <v>35</v>
      </c>
      <c r="R234" s="14" t="s">
        <v>36</v>
      </c>
      <c r="S234" s="14" t="s">
        <v>37</v>
      </c>
      <c r="T234" s="14" t="s">
        <v>58</v>
      </c>
      <c r="U234" s="14" t="s">
        <v>59</v>
      </c>
      <c r="V234" s="22">
        <v>46192.913877314815</v>
      </c>
      <c r="W234" s="22">
        <v>46193.48265046296</v>
      </c>
      <c r="X234" s="15">
        <v>819.03</v>
      </c>
      <c r="Y234" s="22">
        <v>46192.913888888892</v>
      </c>
      <c r="Z234" s="15">
        <v>0.02</v>
      </c>
      <c r="AA234" s="15">
        <v>30</v>
      </c>
      <c r="AB234" s="15" t="s">
        <v>40</v>
      </c>
      <c r="AC234" s="22">
        <v>46192.916354166664</v>
      </c>
      <c r="AD234" s="22">
        <v>46193.48033564815</v>
      </c>
      <c r="AE234" s="15">
        <v>812.13</v>
      </c>
      <c r="AF234" s="15">
        <v>6.9</v>
      </c>
      <c r="AG234" s="15">
        <v>120</v>
      </c>
      <c r="AH234" s="15" t="s">
        <v>40</v>
      </c>
      <c r="AI234" s="14"/>
      <c r="AJ234" s="16">
        <v>129600</v>
      </c>
      <c r="AK234" s="1">
        <f t="shared" si="12"/>
        <v>129593.1</v>
      </c>
      <c r="AL234" s="2">
        <f t="shared" si="13"/>
        <v>99.994675925925932</v>
      </c>
      <c r="AM234" s="16">
        <f t="shared" si="14"/>
        <v>128787.87</v>
      </c>
      <c r="AN234" s="2">
        <f t="shared" si="15"/>
        <v>99.37335648148148</v>
      </c>
    </row>
    <row r="235" spans="1:40" x14ac:dyDescent="0.35">
      <c r="A235" s="14" t="s">
        <v>27</v>
      </c>
      <c r="B235" s="14" t="s">
        <v>28</v>
      </c>
      <c r="C235" s="14" t="s">
        <v>54</v>
      </c>
      <c r="D235" s="14" t="s">
        <v>186</v>
      </c>
      <c r="E235" s="14" t="s">
        <v>31</v>
      </c>
      <c r="F235" s="14" t="s">
        <v>32</v>
      </c>
      <c r="G235" s="14" t="s">
        <v>33</v>
      </c>
      <c r="H235" s="14" t="s">
        <v>966</v>
      </c>
      <c r="I235" s="14" t="s">
        <v>188</v>
      </c>
      <c r="J235" s="14" t="s">
        <v>188</v>
      </c>
      <c r="K235" s="14" t="s">
        <v>1021</v>
      </c>
      <c r="L235" s="14" t="s">
        <v>967</v>
      </c>
      <c r="M235" s="14" t="s">
        <v>187</v>
      </c>
      <c r="N235" s="14" t="s">
        <v>1022</v>
      </c>
      <c r="O235" s="14" t="s">
        <v>982</v>
      </c>
      <c r="P235" s="14"/>
      <c r="Q235" s="14" t="s">
        <v>35</v>
      </c>
      <c r="R235" s="14" t="s">
        <v>36</v>
      </c>
      <c r="S235" s="14" t="s">
        <v>37</v>
      </c>
      <c r="T235" s="14" t="s">
        <v>58</v>
      </c>
      <c r="U235" s="14" t="s">
        <v>58</v>
      </c>
      <c r="V235" s="22">
        <v>46192.913877314815</v>
      </c>
      <c r="W235" s="22">
        <v>46193.483495370368</v>
      </c>
      <c r="X235" s="15">
        <v>820.25</v>
      </c>
      <c r="Y235" s="22">
        <v>46192.913877314815</v>
      </c>
      <c r="Z235" s="15">
        <v>0</v>
      </c>
      <c r="AA235" s="15">
        <v>30</v>
      </c>
      <c r="AB235" s="15" t="s">
        <v>40</v>
      </c>
      <c r="AC235" s="22">
        <v>46192.916851851849</v>
      </c>
      <c r="AD235" s="22">
        <v>46193.481076388889</v>
      </c>
      <c r="AE235" s="15">
        <v>812.48</v>
      </c>
      <c r="AF235" s="15">
        <v>7.77</v>
      </c>
      <c r="AG235" s="15">
        <v>120</v>
      </c>
      <c r="AH235" s="15" t="s">
        <v>40</v>
      </c>
      <c r="AI235" s="14"/>
      <c r="AJ235" s="16">
        <v>129600</v>
      </c>
      <c r="AK235" s="1">
        <f t="shared" si="12"/>
        <v>129592.23</v>
      </c>
      <c r="AL235" s="2">
        <f t="shared" si="13"/>
        <v>99.994004629629629</v>
      </c>
      <c r="AM235" s="16">
        <f t="shared" si="14"/>
        <v>128787.52</v>
      </c>
      <c r="AN235" s="2">
        <f t="shared" si="15"/>
        <v>99.373086419753093</v>
      </c>
    </row>
    <row r="236" spans="1:40" x14ac:dyDescent="0.35">
      <c r="A236" s="14" t="s">
        <v>27</v>
      </c>
      <c r="B236" s="14" t="s">
        <v>28</v>
      </c>
      <c r="C236" s="14" t="s">
        <v>54</v>
      </c>
      <c r="D236" s="14" t="s">
        <v>496</v>
      </c>
      <c r="E236" s="14" t="s">
        <v>193</v>
      </c>
      <c r="F236" s="14" t="s">
        <v>32</v>
      </c>
      <c r="G236" s="14" t="s">
        <v>33</v>
      </c>
      <c r="H236" s="14" t="s">
        <v>966</v>
      </c>
      <c r="I236" s="14" t="s">
        <v>498</v>
      </c>
      <c r="J236" s="14" t="s">
        <v>498</v>
      </c>
      <c r="K236" s="14" t="s">
        <v>204</v>
      </c>
      <c r="L236" s="14" t="s">
        <v>973</v>
      </c>
      <c r="M236" s="14" t="s">
        <v>497</v>
      </c>
      <c r="N236" s="14" t="s">
        <v>996</v>
      </c>
      <c r="O236" s="14" t="s">
        <v>980</v>
      </c>
      <c r="P236" s="14"/>
      <c r="Q236" s="14" t="s">
        <v>196</v>
      </c>
      <c r="R236" s="14" t="s">
        <v>36</v>
      </c>
      <c r="S236" s="14" t="s">
        <v>37</v>
      </c>
      <c r="T236" s="14" t="s">
        <v>58</v>
      </c>
      <c r="U236" s="14" t="s">
        <v>58</v>
      </c>
      <c r="V236" s="22">
        <v>46192.915150462963</v>
      </c>
      <c r="W236" s="22">
        <v>46193.484189814815</v>
      </c>
      <c r="X236" s="15">
        <v>819.42</v>
      </c>
      <c r="Y236" s="22">
        <v>46192.915162037039</v>
      </c>
      <c r="Z236" s="15">
        <v>0.02</v>
      </c>
      <c r="AA236" s="15">
        <v>30</v>
      </c>
      <c r="AB236" s="15" t="s">
        <v>40</v>
      </c>
      <c r="AC236" s="22">
        <v>46192.917442129627</v>
      </c>
      <c r="AD236" s="22">
        <v>46193.481944444444</v>
      </c>
      <c r="AE236" s="15">
        <v>812.88</v>
      </c>
      <c r="AF236" s="15">
        <v>6.53</v>
      </c>
      <c r="AG236" s="15">
        <v>120</v>
      </c>
      <c r="AH236" s="15" t="s">
        <v>40</v>
      </c>
      <c r="AI236" s="14"/>
      <c r="AJ236" s="16">
        <v>129600</v>
      </c>
      <c r="AK236" s="1">
        <f t="shared" si="12"/>
        <v>129593.47</v>
      </c>
      <c r="AL236" s="2">
        <f t="shared" si="13"/>
        <v>99.994961419753096</v>
      </c>
      <c r="AM236" s="16">
        <f t="shared" si="14"/>
        <v>128787.12</v>
      </c>
      <c r="AN236" s="2">
        <f t="shared" si="15"/>
        <v>99.37277777777777</v>
      </c>
    </row>
    <row r="237" spans="1:40" x14ac:dyDescent="0.35">
      <c r="A237" s="14" t="s">
        <v>27</v>
      </c>
      <c r="B237" s="14" t="s">
        <v>28</v>
      </c>
      <c r="C237" s="14" t="s">
        <v>127</v>
      </c>
      <c r="D237" s="14" t="s">
        <v>253</v>
      </c>
      <c r="E237" s="14" t="s">
        <v>218</v>
      </c>
      <c r="F237" s="14" t="s">
        <v>32</v>
      </c>
      <c r="G237" s="14" t="s">
        <v>33</v>
      </c>
      <c r="H237" s="14" t="s">
        <v>963</v>
      </c>
      <c r="I237" s="14" t="s">
        <v>103</v>
      </c>
      <c r="J237" s="14" t="s">
        <v>103</v>
      </c>
      <c r="K237" s="14" t="s">
        <v>976</v>
      </c>
      <c r="L237" s="14" t="s">
        <v>967</v>
      </c>
      <c r="M237" s="14" t="s">
        <v>102</v>
      </c>
      <c r="N237" s="14" t="s">
        <v>977</v>
      </c>
      <c r="O237" s="14" t="s">
        <v>978</v>
      </c>
      <c r="P237" s="14"/>
      <c r="Q237" s="14" t="s">
        <v>196</v>
      </c>
      <c r="R237" s="14" t="s">
        <v>36</v>
      </c>
      <c r="S237" s="14" t="s">
        <v>221</v>
      </c>
      <c r="T237" s="14" t="s">
        <v>254</v>
      </c>
      <c r="U237" s="14" t="s">
        <v>129</v>
      </c>
      <c r="V237" s="22">
        <v>46194.296157407407</v>
      </c>
      <c r="W237" s="22">
        <v>46197.504861111112</v>
      </c>
      <c r="X237" s="15">
        <v>4620.53</v>
      </c>
      <c r="Y237" s="22">
        <v>46194.296168981484</v>
      </c>
      <c r="Z237" s="15">
        <v>0.02</v>
      </c>
      <c r="AA237" s="15">
        <v>30</v>
      </c>
      <c r="AB237" s="15" t="s">
        <v>40</v>
      </c>
      <c r="AC237" s="22">
        <v>46194.309641203705</v>
      </c>
      <c r="AD237" s="22">
        <v>46197.501481481479</v>
      </c>
      <c r="AE237" s="15">
        <v>4596.25</v>
      </c>
      <c r="AF237" s="15">
        <v>24.28</v>
      </c>
      <c r="AG237" s="15">
        <v>120</v>
      </c>
      <c r="AH237" s="15" t="s">
        <v>40</v>
      </c>
      <c r="AI237" s="14"/>
      <c r="AJ237" s="16">
        <v>129600</v>
      </c>
      <c r="AK237" s="1">
        <f t="shared" si="12"/>
        <v>129575.72</v>
      </c>
      <c r="AL237" s="2">
        <f t="shared" si="13"/>
        <v>99.981265432098766</v>
      </c>
      <c r="AM237" s="16">
        <f t="shared" si="14"/>
        <v>125003.75</v>
      </c>
      <c r="AN237" s="2">
        <f t="shared" si="15"/>
        <v>96.45351080246914</v>
      </c>
    </row>
    <row r="238" spans="1:40" x14ac:dyDescent="0.35">
      <c r="A238" s="14" t="s">
        <v>27</v>
      </c>
      <c r="B238" s="14" t="s">
        <v>28</v>
      </c>
      <c r="C238" s="14" t="s">
        <v>127</v>
      </c>
      <c r="D238" s="14" t="s">
        <v>768</v>
      </c>
      <c r="E238" s="14" t="s">
        <v>218</v>
      </c>
      <c r="F238" s="14" t="s">
        <v>32</v>
      </c>
      <c r="G238" s="14" t="s">
        <v>33</v>
      </c>
      <c r="H238" s="14" t="s">
        <v>963</v>
      </c>
      <c r="I238" s="14" t="s">
        <v>103</v>
      </c>
      <c r="J238" s="14" t="s">
        <v>103</v>
      </c>
      <c r="K238" s="14" t="s">
        <v>976</v>
      </c>
      <c r="L238" s="14" t="s">
        <v>967</v>
      </c>
      <c r="M238" s="14" t="s">
        <v>102</v>
      </c>
      <c r="N238" s="14" t="s">
        <v>977</v>
      </c>
      <c r="O238" s="14" t="s">
        <v>978</v>
      </c>
      <c r="P238" s="14"/>
      <c r="Q238" s="14" t="s">
        <v>196</v>
      </c>
      <c r="R238" s="14" t="s">
        <v>36</v>
      </c>
      <c r="S238" s="14" t="s">
        <v>221</v>
      </c>
      <c r="T238" s="14" t="s">
        <v>769</v>
      </c>
      <c r="U238" s="14" t="s">
        <v>129</v>
      </c>
      <c r="V238" s="22">
        <v>46194.302766203706</v>
      </c>
      <c r="W238" s="22">
        <v>46197.506944444445</v>
      </c>
      <c r="X238" s="15">
        <v>4614.0200000000004</v>
      </c>
      <c r="Y238" s="22">
        <v>46194.302777777775</v>
      </c>
      <c r="Z238" s="15">
        <v>0.02</v>
      </c>
      <c r="AA238" s="15">
        <v>30</v>
      </c>
      <c r="AB238" s="15" t="s">
        <v>40</v>
      </c>
      <c r="AC238" s="22">
        <v>46194.310983796298</v>
      </c>
      <c r="AD238" s="22">
        <v>46197.50340277778</v>
      </c>
      <c r="AE238" s="15">
        <v>4597.08</v>
      </c>
      <c r="AF238" s="15">
        <v>16.93</v>
      </c>
      <c r="AG238" s="15">
        <v>120</v>
      </c>
      <c r="AH238" s="15" t="s">
        <v>40</v>
      </c>
      <c r="AI238" s="14"/>
      <c r="AJ238" s="16">
        <v>129600</v>
      </c>
      <c r="AK238" s="1">
        <f t="shared" si="12"/>
        <v>129583.07</v>
      </c>
      <c r="AL238" s="2">
        <f t="shared" si="13"/>
        <v>99.986936728395065</v>
      </c>
      <c r="AM238" s="16">
        <f t="shared" si="14"/>
        <v>125002.92</v>
      </c>
      <c r="AN238" s="2">
        <f t="shared" si="15"/>
        <v>96.452870370370363</v>
      </c>
    </row>
    <row r="239" spans="1:40" x14ac:dyDescent="0.35">
      <c r="A239" s="14" t="s">
        <v>27</v>
      </c>
      <c r="B239" s="14" t="s">
        <v>28</v>
      </c>
      <c r="C239" s="14" t="s">
        <v>29</v>
      </c>
      <c r="D239" s="14" t="s">
        <v>133</v>
      </c>
      <c r="E239" s="14" t="s">
        <v>31</v>
      </c>
      <c r="F239" s="14" t="s">
        <v>32</v>
      </c>
      <c r="G239" s="14" t="s">
        <v>33</v>
      </c>
      <c r="H239" s="14" t="s">
        <v>984</v>
      </c>
      <c r="I239" s="14" t="s">
        <v>44</v>
      </c>
      <c r="J239" s="14" t="s">
        <v>44</v>
      </c>
      <c r="K239" s="14" t="s">
        <v>985</v>
      </c>
      <c r="L239" s="14" t="s">
        <v>967</v>
      </c>
      <c r="M239" s="14" t="s">
        <v>43</v>
      </c>
      <c r="N239" s="14" t="s">
        <v>986</v>
      </c>
      <c r="O239" s="14" t="s">
        <v>987</v>
      </c>
      <c r="P239" s="14"/>
      <c r="Q239" s="14" t="s">
        <v>35</v>
      </c>
      <c r="R239" s="14" t="s">
        <v>36</v>
      </c>
      <c r="S239" s="14" t="s">
        <v>37</v>
      </c>
      <c r="T239" s="14" t="s">
        <v>38</v>
      </c>
      <c r="U239" s="14" t="s">
        <v>39</v>
      </c>
      <c r="V239" s="22">
        <v>46194.624421296299</v>
      </c>
      <c r="W239" s="22">
        <v>46194.769444444442</v>
      </c>
      <c r="X239" s="15">
        <v>208.83</v>
      </c>
      <c r="Y239" s="22">
        <v>46194.624444444446</v>
      </c>
      <c r="Z239" s="15">
        <v>0.03</v>
      </c>
      <c r="AA239" s="15">
        <v>30</v>
      </c>
      <c r="AB239" s="15" t="s">
        <v>40</v>
      </c>
      <c r="AC239" s="22">
        <v>46194.627106481479</v>
      </c>
      <c r="AD239" s="22">
        <v>46194.768680555557</v>
      </c>
      <c r="AE239" s="15">
        <v>203.87</v>
      </c>
      <c r="AF239" s="15">
        <v>4.97</v>
      </c>
      <c r="AG239" s="15">
        <v>120</v>
      </c>
      <c r="AH239" s="15" t="s">
        <v>40</v>
      </c>
      <c r="AI239" s="14"/>
      <c r="AJ239" s="16">
        <v>129600</v>
      </c>
      <c r="AK239" s="1">
        <f t="shared" si="12"/>
        <v>129595.03</v>
      </c>
      <c r="AL239" s="2">
        <f t="shared" si="13"/>
        <v>99.996165123456791</v>
      </c>
      <c r="AM239" s="16">
        <f t="shared" si="14"/>
        <v>129396.13</v>
      </c>
      <c r="AN239" s="2">
        <f t="shared" si="15"/>
        <v>99.842692901234571</v>
      </c>
    </row>
    <row r="240" spans="1:40" x14ac:dyDescent="0.35">
      <c r="A240" s="14" t="s">
        <v>27</v>
      </c>
      <c r="B240" s="14" t="s">
        <v>28</v>
      </c>
      <c r="C240" s="14" t="s">
        <v>29</v>
      </c>
      <c r="D240" s="14" t="s">
        <v>609</v>
      </c>
      <c r="E240" s="14" t="s">
        <v>193</v>
      </c>
      <c r="F240" s="14" t="s">
        <v>32</v>
      </c>
      <c r="G240" s="14" t="s">
        <v>33</v>
      </c>
      <c r="H240" s="14" t="s">
        <v>984</v>
      </c>
      <c r="I240" s="14" t="s">
        <v>611</v>
      </c>
      <c r="J240" s="14" t="s">
        <v>611</v>
      </c>
      <c r="K240" s="14" t="s">
        <v>204</v>
      </c>
      <c r="L240" s="14" t="s">
        <v>973</v>
      </c>
      <c r="M240" s="14" t="s">
        <v>610</v>
      </c>
      <c r="N240" s="14" t="s">
        <v>990</v>
      </c>
      <c r="O240" s="14" t="s">
        <v>991</v>
      </c>
      <c r="P240" s="14"/>
      <c r="Q240" s="14" t="s">
        <v>196</v>
      </c>
      <c r="R240" s="14" t="s">
        <v>36</v>
      </c>
      <c r="S240" s="14" t="s">
        <v>37</v>
      </c>
      <c r="T240" s="14" t="s">
        <v>38</v>
      </c>
      <c r="U240" s="14" t="s">
        <v>612</v>
      </c>
      <c r="V240" s="22">
        <v>46194.624432870369</v>
      </c>
      <c r="W240" s="22">
        <v>46194.78125</v>
      </c>
      <c r="X240" s="15">
        <v>225.82</v>
      </c>
      <c r="Y240" s="22">
        <v>46194.624444444446</v>
      </c>
      <c r="Z240" s="15">
        <v>0.02</v>
      </c>
      <c r="AA240" s="15">
        <v>30</v>
      </c>
      <c r="AB240" s="15" t="s">
        <v>40</v>
      </c>
      <c r="AC240" s="22">
        <v>46194.629270833335</v>
      </c>
      <c r="AD240" s="22">
        <v>46194.779849537037</v>
      </c>
      <c r="AE240" s="15">
        <v>216.83</v>
      </c>
      <c r="AF240" s="15">
        <v>8.98</v>
      </c>
      <c r="AG240" s="15">
        <v>120</v>
      </c>
      <c r="AH240" s="15" t="s">
        <v>40</v>
      </c>
      <c r="AI240" s="14"/>
      <c r="AJ240" s="16">
        <v>129600</v>
      </c>
      <c r="AK240" s="1">
        <f t="shared" si="12"/>
        <v>129591.02</v>
      </c>
      <c r="AL240" s="2">
        <f t="shared" si="13"/>
        <v>99.99307098765432</v>
      </c>
      <c r="AM240" s="16">
        <f t="shared" si="14"/>
        <v>129383.17</v>
      </c>
      <c r="AN240" s="2">
        <f t="shared" si="15"/>
        <v>99.832692901234566</v>
      </c>
    </row>
    <row r="241" spans="1:40" x14ac:dyDescent="0.35">
      <c r="A241" s="14" t="s">
        <v>27</v>
      </c>
      <c r="B241" s="14" t="s">
        <v>28</v>
      </c>
      <c r="C241" s="14" t="s">
        <v>29</v>
      </c>
      <c r="D241" s="14" t="s">
        <v>710</v>
      </c>
      <c r="E241" s="14" t="s">
        <v>193</v>
      </c>
      <c r="F241" s="14" t="s">
        <v>32</v>
      </c>
      <c r="G241" s="14" t="s">
        <v>33</v>
      </c>
      <c r="H241" s="14" t="s">
        <v>984</v>
      </c>
      <c r="I241" s="14" t="s">
        <v>647</v>
      </c>
      <c r="J241" s="14" t="s">
        <v>647</v>
      </c>
      <c r="K241" s="14" t="s">
        <v>204</v>
      </c>
      <c r="L241" s="14" t="s">
        <v>973</v>
      </c>
      <c r="M241" s="14" t="s">
        <v>646</v>
      </c>
      <c r="N241" s="14" t="s">
        <v>990</v>
      </c>
      <c r="O241" s="14" t="s">
        <v>991</v>
      </c>
      <c r="P241" s="14"/>
      <c r="Q241" s="14" t="s">
        <v>196</v>
      </c>
      <c r="R241" s="14" t="s">
        <v>36</v>
      </c>
      <c r="S241" s="14" t="s">
        <v>37</v>
      </c>
      <c r="T241" s="14" t="s">
        <v>38</v>
      </c>
      <c r="U241" s="14" t="s">
        <v>700</v>
      </c>
      <c r="V241" s="22">
        <v>46194.624432870369</v>
      </c>
      <c r="W241" s="22">
        <v>46194.768750000003</v>
      </c>
      <c r="X241" s="15">
        <v>207.82</v>
      </c>
      <c r="Y241" s="22">
        <v>46194.624444444446</v>
      </c>
      <c r="Z241" s="15">
        <v>0.02</v>
      </c>
      <c r="AA241" s="15">
        <v>30</v>
      </c>
      <c r="AB241" s="15" t="s">
        <v>40</v>
      </c>
      <c r="AC241" s="22">
        <v>46194.630682870367</v>
      </c>
      <c r="AD241" s="22">
        <v>46194.768194444441</v>
      </c>
      <c r="AE241" s="15">
        <v>198.02</v>
      </c>
      <c r="AF241" s="15">
        <v>9.8000000000000007</v>
      </c>
      <c r="AG241" s="15">
        <v>120</v>
      </c>
      <c r="AH241" s="15" t="s">
        <v>40</v>
      </c>
      <c r="AI241" s="14"/>
      <c r="AJ241" s="16">
        <v>129600</v>
      </c>
      <c r="AK241" s="1">
        <f t="shared" si="12"/>
        <v>129590.2</v>
      </c>
      <c r="AL241" s="2">
        <f t="shared" si="13"/>
        <v>99.992438271604939</v>
      </c>
      <c r="AM241" s="16">
        <f t="shared" si="14"/>
        <v>129401.98</v>
      </c>
      <c r="AN241" s="2">
        <f t="shared" si="15"/>
        <v>99.847206790123451</v>
      </c>
    </row>
    <row r="242" spans="1:40" x14ac:dyDescent="0.35">
      <c r="A242" s="14" t="s">
        <v>27</v>
      </c>
      <c r="B242" s="14" t="s">
        <v>28</v>
      </c>
      <c r="C242" s="14" t="s">
        <v>29</v>
      </c>
      <c r="D242" s="14" t="s">
        <v>821</v>
      </c>
      <c r="E242" s="14" t="s">
        <v>193</v>
      </c>
      <c r="F242" s="14" t="s">
        <v>32</v>
      </c>
      <c r="G242" s="14" t="s">
        <v>33</v>
      </c>
      <c r="H242" s="14" t="s">
        <v>984</v>
      </c>
      <c r="I242" s="14" t="s">
        <v>414</v>
      </c>
      <c r="J242" s="14" t="s">
        <v>414</v>
      </c>
      <c r="K242" s="14" t="s">
        <v>204</v>
      </c>
      <c r="L242" s="14" t="s">
        <v>973</v>
      </c>
      <c r="M242" s="14" t="s">
        <v>413</v>
      </c>
      <c r="N242" s="14" t="s">
        <v>996</v>
      </c>
      <c r="O242" s="14" t="s">
        <v>991</v>
      </c>
      <c r="P242" s="14"/>
      <c r="Q242" s="14" t="s">
        <v>196</v>
      </c>
      <c r="R242" s="14" t="s">
        <v>36</v>
      </c>
      <c r="S242" s="14" t="s">
        <v>37</v>
      </c>
      <c r="T242" s="14" t="s">
        <v>38</v>
      </c>
      <c r="U242" s="14" t="s">
        <v>700</v>
      </c>
      <c r="V242" s="22">
        <v>46194.624652777777</v>
      </c>
      <c r="W242" s="22">
        <v>46194.770138888889</v>
      </c>
      <c r="X242" s="15">
        <v>209.5</v>
      </c>
      <c r="Y242" s="22">
        <v>46194.624652777777</v>
      </c>
      <c r="Z242" s="15">
        <v>0</v>
      </c>
      <c r="AA242" s="15">
        <v>30</v>
      </c>
      <c r="AB242" s="15" t="s">
        <v>40</v>
      </c>
      <c r="AC242" s="22">
        <v>46194.631377314814</v>
      </c>
      <c r="AD242" s="22">
        <v>46194.767627314817</v>
      </c>
      <c r="AE242" s="15">
        <v>196.2</v>
      </c>
      <c r="AF242" s="15">
        <v>13.3</v>
      </c>
      <c r="AG242" s="15">
        <v>120</v>
      </c>
      <c r="AH242" s="15" t="s">
        <v>40</v>
      </c>
      <c r="AI242" s="14"/>
      <c r="AJ242" s="16">
        <v>129600</v>
      </c>
      <c r="AK242" s="1">
        <f t="shared" si="12"/>
        <v>129586.7</v>
      </c>
      <c r="AL242" s="2">
        <f t="shared" si="13"/>
        <v>99.98973765432099</v>
      </c>
      <c r="AM242" s="16">
        <f t="shared" si="14"/>
        <v>129403.8</v>
      </c>
      <c r="AN242" s="2">
        <f t="shared" si="15"/>
        <v>99.848611111111126</v>
      </c>
    </row>
    <row r="243" spans="1:40" x14ac:dyDescent="0.35">
      <c r="A243" s="14" t="s">
        <v>27</v>
      </c>
      <c r="B243" s="14" t="s">
        <v>28</v>
      </c>
      <c r="C243" s="14" t="s">
        <v>29</v>
      </c>
      <c r="D243" s="14" t="s">
        <v>30</v>
      </c>
      <c r="E243" s="14" t="s">
        <v>31</v>
      </c>
      <c r="F243" s="14" t="s">
        <v>32</v>
      </c>
      <c r="G243" s="14" t="s">
        <v>33</v>
      </c>
      <c r="H243" s="14" t="s">
        <v>984</v>
      </c>
      <c r="I243" s="14" t="s">
        <v>34</v>
      </c>
      <c r="J243" s="14" t="s">
        <v>34</v>
      </c>
      <c r="K243" s="14" t="s">
        <v>1000</v>
      </c>
      <c r="L243" s="14" t="s">
        <v>967</v>
      </c>
      <c r="M243" s="14" t="s">
        <v>1001</v>
      </c>
      <c r="N243" s="14" t="s">
        <v>1002</v>
      </c>
      <c r="O243" s="14" t="s">
        <v>987</v>
      </c>
      <c r="P243" s="14"/>
      <c r="Q243" s="14" t="s">
        <v>35</v>
      </c>
      <c r="R243" s="14" t="s">
        <v>36</v>
      </c>
      <c r="S243" s="14" t="s">
        <v>37</v>
      </c>
      <c r="T243" s="14" t="s">
        <v>38</v>
      </c>
      <c r="U243" s="14" t="s">
        <v>39</v>
      </c>
      <c r="V243" s="22">
        <v>46194.624768518515</v>
      </c>
      <c r="W243" s="22">
        <v>46194.767361111109</v>
      </c>
      <c r="X243" s="15">
        <v>205.33</v>
      </c>
      <c r="Y243" s="22">
        <v>46194.624768518515</v>
      </c>
      <c r="Z243" s="15">
        <v>0</v>
      </c>
      <c r="AA243" s="15">
        <v>30</v>
      </c>
      <c r="AB243" s="15" t="s">
        <v>40</v>
      </c>
      <c r="AC243" s="22">
        <v>46194.632048611114</v>
      </c>
      <c r="AD243" s="22">
        <v>46194.767013888886</v>
      </c>
      <c r="AE243" s="15">
        <v>194.35</v>
      </c>
      <c r="AF243" s="15">
        <v>10.98</v>
      </c>
      <c r="AG243" s="15">
        <v>120</v>
      </c>
      <c r="AH243" s="15" t="s">
        <v>40</v>
      </c>
      <c r="AI243" s="14"/>
      <c r="AJ243" s="16">
        <v>129600</v>
      </c>
      <c r="AK243" s="1">
        <f t="shared" si="12"/>
        <v>129589.02</v>
      </c>
      <c r="AL243" s="2">
        <f t="shared" si="13"/>
        <v>99.991527777777776</v>
      </c>
      <c r="AM243" s="16">
        <f t="shared" si="14"/>
        <v>129405.65</v>
      </c>
      <c r="AN243" s="2">
        <f t="shared" si="15"/>
        <v>99.850038580246917</v>
      </c>
    </row>
    <row r="244" spans="1:40" x14ac:dyDescent="0.35">
      <c r="A244" s="14" t="s">
        <v>27</v>
      </c>
      <c r="B244" s="14" t="s">
        <v>28</v>
      </c>
      <c r="C244" s="14" t="s">
        <v>29</v>
      </c>
      <c r="D244" s="14" t="s">
        <v>699</v>
      </c>
      <c r="E244" s="14" t="s">
        <v>193</v>
      </c>
      <c r="F244" s="14" t="s">
        <v>32</v>
      </c>
      <c r="G244" s="14" t="s">
        <v>33</v>
      </c>
      <c r="H244" s="14" t="s">
        <v>984</v>
      </c>
      <c r="I244" s="14" t="s">
        <v>521</v>
      </c>
      <c r="J244" s="14" t="s">
        <v>521</v>
      </c>
      <c r="K244" s="14" t="s">
        <v>204</v>
      </c>
      <c r="L244" s="14" t="s">
        <v>973</v>
      </c>
      <c r="M244" s="14" t="s">
        <v>520</v>
      </c>
      <c r="N244" s="14" t="s">
        <v>996</v>
      </c>
      <c r="O244" s="14" t="s">
        <v>991</v>
      </c>
      <c r="P244" s="14"/>
      <c r="Q244" s="14" t="s">
        <v>196</v>
      </c>
      <c r="R244" s="14" t="s">
        <v>36</v>
      </c>
      <c r="S244" s="14" t="s">
        <v>37</v>
      </c>
      <c r="T244" s="14" t="s">
        <v>38</v>
      </c>
      <c r="U244" s="14" t="s">
        <v>700</v>
      </c>
      <c r="V244" s="22">
        <v>46194.624768518515</v>
      </c>
      <c r="W244" s="22">
        <v>46194.768055555556</v>
      </c>
      <c r="X244" s="15">
        <v>206.33</v>
      </c>
      <c r="Y244" s="22">
        <v>46194.624780092592</v>
      </c>
      <c r="Z244" s="15">
        <v>0.02</v>
      </c>
      <c r="AA244" s="15">
        <v>30</v>
      </c>
      <c r="AB244" s="15" t="s">
        <v>40</v>
      </c>
      <c r="AC244" s="22">
        <v>46194.633530092593</v>
      </c>
      <c r="AD244" s="22">
        <v>46194.766597222224</v>
      </c>
      <c r="AE244" s="15">
        <v>191.62</v>
      </c>
      <c r="AF244" s="15">
        <v>14.72</v>
      </c>
      <c r="AG244" s="15">
        <v>120</v>
      </c>
      <c r="AH244" s="15" t="s">
        <v>40</v>
      </c>
      <c r="AI244" s="14"/>
      <c r="AJ244" s="16">
        <v>129600</v>
      </c>
      <c r="AK244" s="1">
        <f t="shared" si="12"/>
        <v>129585.28</v>
      </c>
      <c r="AL244" s="2">
        <f t="shared" si="13"/>
        <v>99.988641975308639</v>
      </c>
      <c r="AM244" s="16">
        <f t="shared" si="14"/>
        <v>129408.38</v>
      </c>
      <c r="AN244" s="2">
        <f t="shared" si="15"/>
        <v>99.852145061728407</v>
      </c>
    </row>
    <row r="245" spans="1:40" x14ac:dyDescent="0.35">
      <c r="A245" s="14" t="s">
        <v>27</v>
      </c>
      <c r="B245" s="14" t="s">
        <v>28</v>
      </c>
      <c r="C245" s="14" t="s">
        <v>29</v>
      </c>
      <c r="D245" s="14" t="s">
        <v>764</v>
      </c>
      <c r="E245" s="14" t="s">
        <v>193</v>
      </c>
      <c r="F245" s="14" t="s">
        <v>32</v>
      </c>
      <c r="G245" s="14" t="s">
        <v>33</v>
      </c>
      <c r="H245" s="14" t="s">
        <v>984</v>
      </c>
      <c r="I245" s="14" t="s">
        <v>244</v>
      </c>
      <c r="J245" s="14" t="s">
        <v>244</v>
      </c>
      <c r="K245" s="14" t="s">
        <v>204</v>
      </c>
      <c r="L245" s="14" t="s">
        <v>973</v>
      </c>
      <c r="M245" s="14" t="s">
        <v>243</v>
      </c>
      <c r="N245" s="14" t="s">
        <v>996</v>
      </c>
      <c r="O245" s="14" t="s">
        <v>991</v>
      </c>
      <c r="P245" s="14"/>
      <c r="Q245" s="14" t="s">
        <v>196</v>
      </c>
      <c r="R245" s="14" t="s">
        <v>36</v>
      </c>
      <c r="S245" s="14" t="s">
        <v>37</v>
      </c>
      <c r="T245" s="14" t="s">
        <v>64</v>
      </c>
      <c r="U245" s="14" t="s">
        <v>700</v>
      </c>
      <c r="V245" s="22">
        <v>46194.624884259261</v>
      </c>
      <c r="W245" s="22">
        <v>46194.768750000003</v>
      </c>
      <c r="X245" s="15">
        <v>207.17</v>
      </c>
      <c r="Y245" s="22">
        <v>46194.624895833331</v>
      </c>
      <c r="Z245" s="15">
        <v>0.02</v>
      </c>
      <c r="AA245" s="15">
        <v>30</v>
      </c>
      <c r="AB245" s="15" t="s">
        <v>40</v>
      </c>
      <c r="AC245" s="22">
        <v>46194.633831018517</v>
      </c>
      <c r="AD245" s="22">
        <v>46194.766099537039</v>
      </c>
      <c r="AE245" s="15">
        <v>190.47</v>
      </c>
      <c r="AF245" s="15">
        <v>16.7</v>
      </c>
      <c r="AG245" s="15">
        <v>120</v>
      </c>
      <c r="AH245" s="15" t="s">
        <v>40</v>
      </c>
      <c r="AI245" s="14"/>
      <c r="AJ245" s="16">
        <v>129600</v>
      </c>
      <c r="AK245" s="1">
        <f t="shared" si="12"/>
        <v>129583.3</v>
      </c>
      <c r="AL245" s="2">
        <f t="shared" si="13"/>
        <v>99.987114197530872</v>
      </c>
      <c r="AM245" s="16">
        <f t="shared" si="14"/>
        <v>129409.53</v>
      </c>
      <c r="AN245" s="2">
        <f t="shared" si="15"/>
        <v>99.853032407407412</v>
      </c>
    </row>
    <row r="246" spans="1:40" x14ac:dyDescent="0.35">
      <c r="A246" s="14" t="s">
        <v>27</v>
      </c>
      <c r="B246" s="14" t="s">
        <v>28</v>
      </c>
      <c r="C246" s="14" t="s">
        <v>29</v>
      </c>
      <c r="D246" s="14" t="s">
        <v>763</v>
      </c>
      <c r="E246" s="14" t="s">
        <v>193</v>
      </c>
      <c r="F246" s="14" t="s">
        <v>32</v>
      </c>
      <c r="G246" s="14" t="s">
        <v>33</v>
      </c>
      <c r="H246" s="14" t="s">
        <v>984</v>
      </c>
      <c r="I246" s="14" t="s">
        <v>517</v>
      </c>
      <c r="J246" s="14" t="s">
        <v>517</v>
      </c>
      <c r="K246" s="14" t="s">
        <v>204</v>
      </c>
      <c r="L246" s="14" t="s">
        <v>973</v>
      </c>
      <c r="M246" s="14" t="s">
        <v>516</v>
      </c>
      <c r="N246" s="14" t="s">
        <v>974</v>
      </c>
      <c r="O246" s="14" t="s">
        <v>991</v>
      </c>
      <c r="P246" s="14"/>
      <c r="Q246" s="14" t="s">
        <v>196</v>
      </c>
      <c r="R246" s="14" t="s">
        <v>36</v>
      </c>
      <c r="S246" s="14" t="s">
        <v>37</v>
      </c>
      <c r="T246" s="14" t="s">
        <v>59</v>
      </c>
      <c r="U246" s="14" t="s">
        <v>700</v>
      </c>
      <c r="V246" s="22">
        <v>46194.625347222223</v>
      </c>
      <c r="W246" s="22">
        <v>46194.765972222223</v>
      </c>
      <c r="X246" s="15">
        <v>202.5</v>
      </c>
      <c r="Y246" s="22">
        <v>46194.625358796293</v>
      </c>
      <c r="Z246" s="15">
        <v>0.02</v>
      </c>
      <c r="AA246" s="15">
        <v>30</v>
      </c>
      <c r="AB246" s="15" t="s">
        <v>40</v>
      </c>
      <c r="AC246" s="22">
        <v>46194.6330787037</v>
      </c>
      <c r="AD246" s="22">
        <v>46194.76525462963</v>
      </c>
      <c r="AE246" s="15">
        <v>190.33</v>
      </c>
      <c r="AF246" s="15">
        <v>12.17</v>
      </c>
      <c r="AG246" s="15">
        <v>120</v>
      </c>
      <c r="AH246" s="15" t="s">
        <v>40</v>
      </c>
      <c r="AI246" s="14"/>
      <c r="AJ246" s="16">
        <v>129600</v>
      </c>
      <c r="AK246" s="1">
        <f t="shared" si="12"/>
        <v>129587.83</v>
      </c>
      <c r="AL246" s="2">
        <f t="shared" si="13"/>
        <v>99.990609567901231</v>
      </c>
      <c r="AM246" s="16">
        <f t="shared" si="14"/>
        <v>129409.67</v>
      </c>
      <c r="AN246" s="2">
        <f t="shared" si="15"/>
        <v>99.853140432098769</v>
      </c>
    </row>
    <row r="247" spans="1:40" x14ac:dyDescent="0.35">
      <c r="A247" s="14" t="s">
        <v>27</v>
      </c>
      <c r="B247" s="14" t="s">
        <v>28</v>
      </c>
      <c r="C247" s="14" t="s">
        <v>65</v>
      </c>
      <c r="D247" s="14" t="s">
        <v>645</v>
      </c>
      <c r="E247" s="14" t="s">
        <v>193</v>
      </c>
      <c r="F247" s="14" t="s">
        <v>32</v>
      </c>
      <c r="G247" s="14" t="s">
        <v>33</v>
      </c>
      <c r="H247" s="14" t="s">
        <v>984</v>
      </c>
      <c r="I247" s="14" t="s">
        <v>647</v>
      </c>
      <c r="J247" s="14" t="s">
        <v>647</v>
      </c>
      <c r="K247" s="14" t="s">
        <v>204</v>
      </c>
      <c r="L247" s="14" t="s">
        <v>973</v>
      </c>
      <c r="M247" s="14" t="s">
        <v>646</v>
      </c>
      <c r="N247" s="14" t="s">
        <v>990</v>
      </c>
      <c r="O247" s="14" t="s">
        <v>991</v>
      </c>
      <c r="P247" s="14"/>
      <c r="Q247" s="14" t="s">
        <v>196</v>
      </c>
      <c r="R247" s="14" t="s">
        <v>36</v>
      </c>
      <c r="S247" s="14" t="s">
        <v>37</v>
      </c>
      <c r="T247" s="14" t="s">
        <v>37</v>
      </c>
      <c r="U247" s="14" t="s">
        <v>648</v>
      </c>
      <c r="V247" s="22">
        <v>46194.930428240739</v>
      </c>
      <c r="W247" s="22">
        <v>46196.013194444444</v>
      </c>
      <c r="X247" s="15">
        <v>1559.18</v>
      </c>
      <c r="Y247" s="22">
        <v>46194.930439814816</v>
      </c>
      <c r="Z247" s="15">
        <v>0.02</v>
      </c>
      <c r="AA247" s="15">
        <v>30</v>
      </c>
      <c r="AB247" s="15" t="s">
        <v>40</v>
      </c>
      <c r="AC247" s="22">
        <v>46194.941168981481</v>
      </c>
      <c r="AD247" s="22">
        <v>46196.011481481481</v>
      </c>
      <c r="AE247" s="15">
        <v>1541.25</v>
      </c>
      <c r="AF247" s="15">
        <v>17.93</v>
      </c>
      <c r="AG247" s="15">
        <v>120</v>
      </c>
      <c r="AH247" s="15" t="s">
        <v>40</v>
      </c>
      <c r="AI247" s="14"/>
      <c r="AJ247" s="16">
        <v>129600</v>
      </c>
      <c r="AK247" s="1">
        <f t="shared" si="12"/>
        <v>129582.07</v>
      </c>
      <c r="AL247" s="2">
        <f t="shared" si="13"/>
        <v>99.9861651234568</v>
      </c>
      <c r="AM247" s="16">
        <f t="shared" si="14"/>
        <v>128058.75</v>
      </c>
      <c r="AN247" s="2">
        <f t="shared" si="15"/>
        <v>98.810763888888886</v>
      </c>
    </row>
    <row r="248" spans="1:40" x14ac:dyDescent="0.35">
      <c r="A248" s="14" t="s">
        <v>27</v>
      </c>
      <c r="B248" s="14" t="s">
        <v>28</v>
      </c>
      <c r="C248" s="14" t="s">
        <v>65</v>
      </c>
      <c r="D248" s="14" t="s">
        <v>820</v>
      </c>
      <c r="E248" s="14" t="s">
        <v>193</v>
      </c>
      <c r="F248" s="14" t="s">
        <v>32</v>
      </c>
      <c r="G248" s="14" t="s">
        <v>33</v>
      </c>
      <c r="H248" s="14" t="s">
        <v>984</v>
      </c>
      <c r="I248" s="14" t="s">
        <v>611</v>
      </c>
      <c r="J248" s="14" t="s">
        <v>611</v>
      </c>
      <c r="K248" s="14" t="s">
        <v>204</v>
      </c>
      <c r="L248" s="14" t="s">
        <v>973</v>
      </c>
      <c r="M248" s="14" t="s">
        <v>610</v>
      </c>
      <c r="N248" s="14" t="s">
        <v>990</v>
      </c>
      <c r="O248" s="14" t="s">
        <v>991</v>
      </c>
      <c r="P248" s="14"/>
      <c r="Q248" s="14" t="s">
        <v>196</v>
      </c>
      <c r="R248" s="14" t="s">
        <v>36</v>
      </c>
      <c r="S248" s="14" t="s">
        <v>37</v>
      </c>
      <c r="T248" s="14" t="s">
        <v>37</v>
      </c>
      <c r="U248" s="14" t="s">
        <v>536</v>
      </c>
      <c r="V248" s="22">
        <v>46194.930428240739</v>
      </c>
      <c r="W248" s="22">
        <v>46195.981944444444</v>
      </c>
      <c r="X248" s="15">
        <v>1514.18</v>
      </c>
      <c r="Y248" s="22">
        <v>46194.930439814816</v>
      </c>
      <c r="Z248" s="15">
        <v>0.02</v>
      </c>
      <c r="AA248" s="15">
        <v>30</v>
      </c>
      <c r="AB248" s="15" t="s">
        <v>40</v>
      </c>
      <c r="AC248" s="22">
        <v>46194.939930555556</v>
      </c>
      <c r="AD248" s="22">
        <v>46195.979953703703</v>
      </c>
      <c r="AE248" s="15">
        <v>1497.63</v>
      </c>
      <c r="AF248" s="15">
        <v>16.55</v>
      </c>
      <c r="AG248" s="15">
        <v>120</v>
      </c>
      <c r="AH248" s="15" t="s">
        <v>40</v>
      </c>
      <c r="AI248" s="14"/>
      <c r="AJ248" s="16">
        <v>129600</v>
      </c>
      <c r="AK248" s="1">
        <f t="shared" si="12"/>
        <v>129583.45</v>
      </c>
      <c r="AL248" s="2">
        <f t="shared" si="13"/>
        <v>99.987229938271611</v>
      </c>
      <c r="AM248" s="16">
        <f t="shared" si="14"/>
        <v>128102.37</v>
      </c>
      <c r="AN248" s="2">
        <f t="shared" si="15"/>
        <v>98.844421296296289</v>
      </c>
    </row>
    <row r="249" spans="1:40" x14ac:dyDescent="0.35">
      <c r="A249" s="14" t="s">
        <v>27</v>
      </c>
      <c r="B249" s="14" t="s">
        <v>28</v>
      </c>
      <c r="C249" s="14" t="s">
        <v>84</v>
      </c>
      <c r="D249" s="14" t="s">
        <v>756</v>
      </c>
      <c r="E249" s="14" t="s">
        <v>193</v>
      </c>
      <c r="F249" s="14" t="s">
        <v>32</v>
      </c>
      <c r="G249" s="14" t="s">
        <v>33</v>
      </c>
      <c r="H249" s="14" t="s">
        <v>984</v>
      </c>
      <c r="I249" s="14" t="s">
        <v>639</v>
      </c>
      <c r="J249" s="14" t="s">
        <v>639</v>
      </c>
      <c r="K249" s="14" t="s">
        <v>204</v>
      </c>
      <c r="L249" s="14" t="s">
        <v>973</v>
      </c>
      <c r="M249" s="14" t="s">
        <v>638</v>
      </c>
      <c r="N249" s="14" t="s">
        <v>974</v>
      </c>
      <c r="O249" s="14" t="s">
        <v>991</v>
      </c>
      <c r="P249" s="14"/>
      <c r="Q249" s="14" t="s">
        <v>196</v>
      </c>
      <c r="R249" s="14" t="s">
        <v>36</v>
      </c>
      <c r="S249" s="14" t="s">
        <v>37</v>
      </c>
      <c r="T249" s="14" t="s">
        <v>88</v>
      </c>
      <c r="U249" s="14" t="s">
        <v>89</v>
      </c>
      <c r="V249" s="22">
        <v>46194.930543981478</v>
      </c>
      <c r="W249" s="22">
        <v>46196.51666666667</v>
      </c>
      <c r="X249" s="15">
        <v>2284.02</v>
      </c>
      <c r="Y249" s="22">
        <v>46194.930555555555</v>
      </c>
      <c r="Z249" s="15">
        <v>0.02</v>
      </c>
      <c r="AA249" s="15">
        <v>30</v>
      </c>
      <c r="AB249" s="15" t="s">
        <v>40</v>
      </c>
      <c r="AC249" s="22">
        <v>46194.942754629628</v>
      </c>
      <c r="AD249" s="22">
        <v>46196.015856481485</v>
      </c>
      <c r="AE249" s="15">
        <v>1545.27</v>
      </c>
      <c r="AF249" s="15">
        <v>738.75</v>
      </c>
      <c r="AG249" s="15">
        <v>120</v>
      </c>
      <c r="AH249" s="15" t="s">
        <v>268</v>
      </c>
      <c r="AI249" s="14"/>
      <c r="AJ249" s="16">
        <v>129600</v>
      </c>
      <c r="AK249" s="1">
        <f t="shared" si="12"/>
        <v>128861.25</v>
      </c>
      <c r="AL249" s="2">
        <f t="shared" si="13"/>
        <v>99.429976851851848</v>
      </c>
      <c r="AM249" s="16">
        <f t="shared" si="14"/>
        <v>128054.73</v>
      </c>
      <c r="AN249" s="2">
        <f t="shared" si="15"/>
        <v>98.807662037037034</v>
      </c>
    </row>
    <row r="250" spans="1:40" x14ac:dyDescent="0.35">
      <c r="A250" s="14" t="s">
        <v>27</v>
      </c>
      <c r="B250" s="14" t="s">
        <v>28</v>
      </c>
      <c r="C250" s="14" t="s">
        <v>84</v>
      </c>
      <c r="D250" s="14" t="s">
        <v>147</v>
      </c>
      <c r="E250" s="14" t="s">
        <v>31</v>
      </c>
      <c r="F250" s="14" t="s">
        <v>32</v>
      </c>
      <c r="G250" s="14" t="s">
        <v>33</v>
      </c>
      <c r="H250" s="14" t="s">
        <v>984</v>
      </c>
      <c r="I250" s="14" t="s">
        <v>34</v>
      </c>
      <c r="J250" s="14" t="s">
        <v>34</v>
      </c>
      <c r="K250" s="14" t="s">
        <v>1000</v>
      </c>
      <c r="L250" s="14" t="s">
        <v>967</v>
      </c>
      <c r="M250" s="14" t="s">
        <v>1001</v>
      </c>
      <c r="N250" s="14" t="s">
        <v>1002</v>
      </c>
      <c r="O250" s="14" t="s">
        <v>987</v>
      </c>
      <c r="P250" s="14"/>
      <c r="Q250" s="14" t="s">
        <v>35</v>
      </c>
      <c r="R250" s="14" t="s">
        <v>36</v>
      </c>
      <c r="S250" s="14" t="s">
        <v>37</v>
      </c>
      <c r="T250" s="14" t="s">
        <v>88</v>
      </c>
      <c r="U250" s="14" t="s">
        <v>89</v>
      </c>
      <c r="V250" s="22">
        <v>46194.930590277778</v>
      </c>
      <c r="W250" s="22">
        <v>46196.519444444442</v>
      </c>
      <c r="X250" s="15">
        <v>2287.9499999999998</v>
      </c>
      <c r="Y250" s="22">
        <v>46194.930601851855</v>
      </c>
      <c r="Z250" s="15">
        <v>0.02</v>
      </c>
      <c r="AA250" s="15">
        <v>30</v>
      </c>
      <c r="AB250" s="15" t="s">
        <v>40</v>
      </c>
      <c r="AC250" s="22">
        <v>46194.944016203706</v>
      </c>
      <c r="AD250" s="22">
        <v>46196.017743055556</v>
      </c>
      <c r="AE250" s="15">
        <v>1546.17</v>
      </c>
      <c r="AF250" s="15">
        <v>741.78</v>
      </c>
      <c r="AG250" s="15">
        <v>120</v>
      </c>
      <c r="AH250" s="15" t="s">
        <v>40</v>
      </c>
      <c r="AI250" s="14"/>
      <c r="AJ250" s="16">
        <v>129600</v>
      </c>
      <c r="AK250" s="1">
        <f t="shared" si="12"/>
        <v>128858.22</v>
      </c>
      <c r="AL250" s="2">
        <f t="shared" si="13"/>
        <v>99.427638888888893</v>
      </c>
      <c r="AM250" s="16">
        <f t="shared" si="14"/>
        <v>128053.83</v>
      </c>
      <c r="AN250" s="2">
        <f t="shared" si="15"/>
        <v>98.806967592592599</v>
      </c>
    </row>
    <row r="251" spans="1:40" x14ac:dyDescent="0.35">
      <c r="A251" s="14" t="s">
        <v>27</v>
      </c>
      <c r="B251" s="14" t="s">
        <v>28</v>
      </c>
      <c r="C251" s="14" t="s">
        <v>84</v>
      </c>
      <c r="D251" s="14" t="s">
        <v>382</v>
      </c>
      <c r="E251" s="14" t="s">
        <v>193</v>
      </c>
      <c r="F251" s="14" t="s">
        <v>32</v>
      </c>
      <c r="G251" s="14" t="s">
        <v>33</v>
      </c>
      <c r="H251" s="14" t="s">
        <v>984</v>
      </c>
      <c r="I251" s="14" t="s">
        <v>384</v>
      </c>
      <c r="J251" s="14" t="s">
        <v>384</v>
      </c>
      <c r="K251" s="14" t="s">
        <v>204</v>
      </c>
      <c r="L251" s="14" t="s">
        <v>973</v>
      </c>
      <c r="M251" s="14" t="s">
        <v>383</v>
      </c>
      <c r="N251" s="14" t="s">
        <v>974</v>
      </c>
      <c r="O251" s="14" t="s">
        <v>991</v>
      </c>
      <c r="P251" s="14"/>
      <c r="Q251" s="14" t="s">
        <v>196</v>
      </c>
      <c r="R251" s="14" t="s">
        <v>36</v>
      </c>
      <c r="S251" s="14" t="s">
        <v>37</v>
      </c>
      <c r="T251" s="14" t="s">
        <v>88</v>
      </c>
      <c r="U251" s="14" t="s">
        <v>89</v>
      </c>
      <c r="V251" s="22">
        <v>46194.930659722224</v>
      </c>
      <c r="W251" s="22">
        <v>46196.520833333336</v>
      </c>
      <c r="X251" s="15">
        <v>2289.85</v>
      </c>
      <c r="Y251" s="22">
        <v>46194.930671296293</v>
      </c>
      <c r="Z251" s="15">
        <v>0.02</v>
      </c>
      <c r="AA251" s="15">
        <v>30</v>
      </c>
      <c r="AB251" s="15" t="s">
        <v>40</v>
      </c>
      <c r="AC251" s="22">
        <v>46194.945092592592</v>
      </c>
      <c r="AD251" s="22">
        <v>46196.020300925928</v>
      </c>
      <c r="AE251" s="15">
        <v>1548.3</v>
      </c>
      <c r="AF251" s="15">
        <v>741.55</v>
      </c>
      <c r="AG251" s="15">
        <v>120</v>
      </c>
      <c r="AH251" s="15" t="s">
        <v>268</v>
      </c>
      <c r="AI251" s="14"/>
      <c r="AJ251" s="16">
        <v>129600</v>
      </c>
      <c r="AK251" s="1">
        <f t="shared" si="12"/>
        <v>128858.45</v>
      </c>
      <c r="AL251" s="2">
        <f t="shared" si="13"/>
        <v>99.427816358024685</v>
      </c>
      <c r="AM251" s="16">
        <f t="shared" si="14"/>
        <v>128051.7</v>
      </c>
      <c r="AN251" s="2">
        <f t="shared" si="15"/>
        <v>98.805324074074079</v>
      </c>
    </row>
    <row r="252" spans="1:40" x14ac:dyDescent="0.35">
      <c r="A252" s="14" t="s">
        <v>27</v>
      </c>
      <c r="B252" s="14" t="s">
        <v>28</v>
      </c>
      <c r="C252" s="14" t="s">
        <v>84</v>
      </c>
      <c r="D252" s="14" t="s">
        <v>154</v>
      </c>
      <c r="E252" s="14" t="s">
        <v>31</v>
      </c>
      <c r="F252" s="14" t="s">
        <v>32</v>
      </c>
      <c r="G252" s="14" t="s">
        <v>33</v>
      </c>
      <c r="H252" s="14" t="s">
        <v>984</v>
      </c>
      <c r="I252" s="14" t="s">
        <v>44</v>
      </c>
      <c r="J252" s="14" t="s">
        <v>44</v>
      </c>
      <c r="K252" s="14" t="s">
        <v>985</v>
      </c>
      <c r="L252" s="14" t="s">
        <v>967</v>
      </c>
      <c r="M252" s="14" t="s">
        <v>43</v>
      </c>
      <c r="N252" s="14" t="s">
        <v>986</v>
      </c>
      <c r="O252" s="14" t="s">
        <v>987</v>
      </c>
      <c r="P252" s="14"/>
      <c r="Q252" s="14" t="s">
        <v>35</v>
      </c>
      <c r="R252" s="14" t="s">
        <v>36</v>
      </c>
      <c r="S252" s="14" t="s">
        <v>37</v>
      </c>
      <c r="T252" s="14" t="s">
        <v>88</v>
      </c>
      <c r="U252" s="14" t="s">
        <v>89</v>
      </c>
      <c r="V252" s="22">
        <v>46194.930775462963</v>
      </c>
      <c r="W252" s="22">
        <v>46196.522222222222</v>
      </c>
      <c r="X252" s="15">
        <v>2291.6799999999998</v>
      </c>
      <c r="Y252" s="22">
        <v>46194.930787037039</v>
      </c>
      <c r="Z252" s="15">
        <v>0.02</v>
      </c>
      <c r="AA252" s="15">
        <v>30</v>
      </c>
      <c r="AB252" s="15" t="s">
        <v>40</v>
      </c>
      <c r="AC252" s="22">
        <v>46194.946076388886</v>
      </c>
      <c r="AD252" s="22">
        <v>46196.021874999999</v>
      </c>
      <c r="AE252" s="15">
        <v>1549.15</v>
      </c>
      <c r="AF252" s="15">
        <v>742.53</v>
      </c>
      <c r="AG252" s="15">
        <v>120</v>
      </c>
      <c r="AH252" s="15" t="s">
        <v>40</v>
      </c>
      <c r="AI252" s="14"/>
      <c r="AJ252" s="16">
        <v>129600</v>
      </c>
      <c r="AK252" s="1">
        <f t="shared" si="12"/>
        <v>128857.47</v>
      </c>
      <c r="AL252" s="2">
        <f t="shared" si="13"/>
        <v>99.427060185185184</v>
      </c>
      <c r="AM252" s="16">
        <f t="shared" si="14"/>
        <v>128050.85</v>
      </c>
      <c r="AN252" s="2">
        <f t="shared" si="15"/>
        <v>98.804668209876539</v>
      </c>
    </row>
    <row r="253" spans="1:40" x14ac:dyDescent="0.35">
      <c r="A253" s="14" t="s">
        <v>27</v>
      </c>
      <c r="B253" s="14" t="s">
        <v>28</v>
      </c>
      <c r="C253" s="14" t="s">
        <v>84</v>
      </c>
      <c r="D253" s="14" t="s">
        <v>779</v>
      </c>
      <c r="E253" s="14" t="s">
        <v>193</v>
      </c>
      <c r="F253" s="14" t="s">
        <v>32</v>
      </c>
      <c r="G253" s="14" t="s">
        <v>33</v>
      </c>
      <c r="H253" s="14" t="s">
        <v>984</v>
      </c>
      <c r="I253" s="14" t="s">
        <v>369</v>
      </c>
      <c r="J253" s="14" t="s">
        <v>369</v>
      </c>
      <c r="K253" s="14" t="s">
        <v>204</v>
      </c>
      <c r="L253" s="14" t="s">
        <v>973</v>
      </c>
      <c r="M253" s="14" t="s">
        <v>368</v>
      </c>
      <c r="N253" s="14" t="s">
        <v>974</v>
      </c>
      <c r="O253" s="14" t="s">
        <v>991</v>
      </c>
      <c r="P253" s="14"/>
      <c r="Q253" s="14" t="s">
        <v>196</v>
      </c>
      <c r="R253" s="14" t="s">
        <v>36</v>
      </c>
      <c r="S253" s="14" t="s">
        <v>37</v>
      </c>
      <c r="T253" s="14" t="s">
        <v>88</v>
      </c>
      <c r="U253" s="14" t="s">
        <v>89</v>
      </c>
      <c r="V253" s="22">
        <v>46194.930879629632</v>
      </c>
      <c r="W253" s="22">
        <v>46196.525000000001</v>
      </c>
      <c r="X253" s="15">
        <v>2295.5300000000002</v>
      </c>
      <c r="Y253" s="22">
        <v>46194.930891203701</v>
      </c>
      <c r="Z253" s="15">
        <v>0.02</v>
      </c>
      <c r="AA253" s="15">
        <v>30</v>
      </c>
      <c r="AB253" s="15" t="s">
        <v>40</v>
      </c>
      <c r="AC253" s="22">
        <v>46194.946967592594</v>
      </c>
      <c r="AD253" s="22">
        <v>46196.023969907408</v>
      </c>
      <c r="AE253" s="15">
        <v>1550.88</v>
      </c>
      <c r="AF253" s="15">
        <v>744.65</v>
      </c>
      <c r="AG253" s="15">
        <v>120</v>
      </c>
      <c r="AH253" s="15" t="s">
        <v>268</v>
      </c>
      <c r="AI253" s="14"/>
      <c r="AJ253" s="16">
        <v>129600</v>
      </c>
      <c r="AK253" s="1">
        <f t="shared" si="12"/>
        <v>128855.35</v>
      </c>
      <c r="AL253" s="2">
        <f t="shared" si="13"/>
        <v>99.425424382716059</v>
      </c>
      <c r="AM253" s="16">
        <f t="shared" si="14"/>
        <v>128049.12</v>
      </c>
      <c r="AN253" s="2">
        <f t="shared" si="15"/>
        <v>98.803333333333327</v>
      </c>
    </row>
    <row r="254" spans="1:40" x14ac:dyDescent="0.35">
      <c r="A254" s="14" t="s">
        <v>27</v>
      </c>
      <c r="B254" s="14" t="s">
        <v>28</v>
      </c>
      <c r="C254" s="14" t="s">
        <v>84</v>
      </c>
      <c r="D254" s="14" t="s">
        <v>805</v>
      </c>
      <c r="E254" s="14" t="s">
        <v>193</v>
      </c>
      <c r="F254" s="14" t="s">
        <v>32</v>
      </c>
      <c r="G254" s="14" t="s">
        <v>33</v>
      </c>
      <c r="H254" s="14" t="s">
        <v>984</v>
      </c>
      <c r="I254" s="14" t="s">
        <v>414</v>
      </c>
      <c r="J254" s="14" t="s">
        <v>414</v>
      </c>
      <c r="K254" s="14" t="s">
        <v>204</v>
      </c>
      <c r="L254" s="14" t="s">
        <v>973</v>
      </c>
      <c r="M254" s="14" t="s">
        <v>413</v>
      </c>
      <c r="N254" s="14" t="s">
        <v>996</v>
      </c>
      <c r="O254" s="14" t="s">
        <v>991</v>
      </c>
      <c r="P254" s="14"/>
      <c r="Q254" s="14" t="s">
        <v>196</v>
      </c>
      <c r="R254" s="14" t="s">
        <v>36</v>
      </c>
      <c r="S254" s="14" t="s">
        <v>37</v>
      </c>
      <c r="T254" s="14" t="s">
        <v>88</v>
      </c>
      <c r="U254" s="14" t="s">
        <v>89</v>
      </c>
      <c r="V254" s="22">
        <v>46194.930995370371</v>
      </c>
      <c r="W254" s="22">
        <v>46196.526388888888</v>
      </c>
      <c r="X254" s="15">
        <v>2297.37</v>
      </c>
      <c r="Y254" s="22">
        <v>46194.931018518517</v>
      </c>
      <c r="Z254" s="15">
        <v>0.03</v>
      </c>
      <c r="AA254" s="15">
        <v>30</v>
      </c>
      <c r="AB254" s="15" t="s">
        <v>40</v>
      </c>
      <c r="AC254" s="22">
        <v>46194.948148148149</v>
      </c>
      <c r="AD254" s="22">
        <v>46196.025983796295</v>
      </c>
      <c r="AE254" s="15">
        <v>1552.08</v>
      </c>
      <c r="AF254" s="15">
        <v>745.28</v>
      </c>
      <c r="AG254" s="15">
        <v>120</v>
      </c>
      <c r="AH254" s="15" t="s">
        <v>268</v>
      </c>
      <c r="AI254" s="14"/>
      <c r="AJ254" s="16">
        <v>129600</v>
      </c>
      <c r="AK254" s="1">
        <f t="shared" si="12"/>
        <v>128854.72</v>
      </c>
      <c r="AL254" s="2">
        <f t="shared" si="13"/>
        <v>99.42493827160493</v>
      </c>
      <c r="AM254" s="16">
        <f t="shared" si="14"/>
        <v>128047.92</v>
      </c>
      <c r="AN254" s="2">
        <f t="shared" si="15"/>
        <v>98.802407407407415</v>
      </c>
    </row>
    <row r="255" spans="1:40" x14ac:dyDescent="0.35">
      <c r="A255" s="14" t="s">
        <v>27</v>
      </c>
      <c r="B255" s="14" t="s">
        <v>28</v>
      </c>
      <c r="C255" s="14" t="s">
        <v>84</v>
      </c>
      <c r="D255" s="14" t="s">
        <v>519</v>
      </c>
      <c r="E255" s="14" t="s">
        <v>193</v>
      </c>
      <c r="F255" s="14" t="s">
        <v>32</v>
      </c>
      <c r="G255" s="14" t="s">
        <v>33</v>
      </c>
      <c r="H255" s="14" t="s">
        <v>984</v>
      </c>
      <c r="I255" s="14" t="s">
        <v>521</v>
      </c>
      <c r="J255" s="14" t="s">
        <v>521</v>
      </c>
      <c r="K255" s="14" t="s">
        <v>204</v>
      </c>
      <c r="L255" s="14" t="s">
        <v>973</v>
      </c>
      <c r="M255" s="14" t="s">
        <v>520</v>
      </c>
      <c r="N255" s="14" t="s">
        <v>996</v>
      </c>
      <c r="O255" s="14" t="s">
        <v>991</v>
      </c>
      <c r="P255" s="14"/>
      <c r="Q255" s="14" t="s">
        <v>196</v>
      </c>
      <c r="R255" s="14" t="s">
        <v>36</v>
      </c>
      <c r="S255" s="14" t="s">
        <v>37</v>
      </c>
      <c r="T255" s="14" t="s">
        <v>88</v>
      </c>
      <c r="U255" s="14" t="s">
        <v>89</v>
      </c>
      <c r="V255" s="22">
        <v>46194.931041666663</v>
      </c>
      <c r="W255" s="22">
        <v>46196.527777777781</v>
      </c>
      <c r="X255" s="15">
        <v>2299.3000000000002</v>
      </c>
      <c r="Y255" s="22">
        <v>46194.93105324074</v>
      </c>
      <c r="Z255" s="15">
        <v>0.02</v>
      </c>
      <c r="AA255" s="15">
        <v>30</v>
      </c>
      <c r="AB255" s="15" t="s">
        <v>40</v>
      </c>
      <c r="AC255" s="22">
        <v>46194.949155092596</v>
      </c>
      <c r="AD255" s="22">
        <v>46196.027326388888</v>
      </c>
      <c r="AE255" s="15">
        <v>1552.57</v>
      </c>
      <c r="AF255" s="15">
        <v>746.73</v>
      </c>
      <c r="AG255" s="15">
        <v>120</v>
      </c>
      <c r="AH255" s="15" t="s">
        <v>268</v>
      </c>
      <c r="AI255" s="14"/>
      <c r="AJ255" s="16">
        <v>129600</v>
      </c>
      <c r="AK255" s="1">
        <f t="shared" si="12"/>
        <v>128853.27</v>
      </c>
      <c r="AL255" s="2">
        <f t="shared" si="13"/>
        <v>99.423819444444447</v>
      </c>
      <c r="AM255" s="16">
        <f t="shared" si="14"/>
        <v>128047.43</v>
      </c>
      <c r="AN255" s="2">
        <f t="shared" si="15"/>
        <v>98.802029320987657</v>
      </c>
    </row>
    <row r="256" spans="1:40" x14ac:dyDescent="0.35">
      <c r="A256" s="14" t="s">
        <v>27</v>
      </c>
      <c r="B256" s="14" t="s">
        <v>28</v>
      </c>
      <c r="C256" s="14" t="s">
        <v>41</v>
      </c>
      <c r="D256" s="14" t="s">
        <v>902</v>
      </c>
      <c r="E256" s="14" t="s">
        <v>903</v>
      </c>
      <c r="F256" s="14" t="s">
        <v>32</v>
      </c>
      <c r="G256" s="14" t="s">
        <v>871</v>
      </c>
      <c r="H256" s="14" t="s">
        <v>984</v>
      </c>
      <c r="I256" s="14"/>
      <c r="J256" s="3" t="s">
        <v>921</v>
      </c>
      <c r="K256" s="14" t="s">
        <v>180</v>
      </c>
      <c r="L256" s="14" t="s">
        <v>967</v>
      </c>
      <c r="M256" s="14" t="s">
        <v>997</v>
      </c>
      <c r="N256" s="14" t="s">
        <v>977</v>
      </c>
      <c r="O256" s="14" t="s">
        <v>998</v>
      </c>
      <c r="P256" s="14"/>
      <c r="Q256" s="14" t="s">
        <v>872</v>
      </c>
      <c r="R256" s="14" t="s">
        <v>36</v>
      </c>
      <c r="S256" s="14" t="s">
        <v>104</v>
      </c>
      <c r="T256" s="14"/>
      <c r="U256" s="14"/>
      <c r="V256" s="22">
        <v>46195.477337962962</v>
      </c>
      <c r="W256" s="22">
        <v>46196.694444444445</v>
      </c>
      <c r="X256" s="15">
        <v>1752.63</v>
      </c>
      <c r="Y256" s="22">
        <v>46195.477349537039</v>
      </c>
      <c r="Z256" s="15">
        <v>0.02</v>
      </c>
      <c r="AA256" s="15">
        <v>30</v>
      </c>
      <c r="AB256" s="15" t="s">
        <v>40</v>
      </c>
      <c r="AC256" s="15"/>
      <c r="AD256" s="15"/>
      <c r="AE256" s="15">
        <v>0</v>
      </c>
      <c r="AF256" s="15">
        <v>1752.63</v>
      </c>
      <c r="AG256" s="15">
        <v>2880</v>
      </c>
      <c r="AH256" s="15" t="s">
        <v>40</v>
      </c>
      <c r="AI256" s="14"/>
      <c r="AJ256" s="16">
        <v>129600</v>
      </c>
      <c r="AK256" s="1">
        <f t="shared" si="12"/>
        <v>127847.37</v>
      </c>
      <c r="AL256" s="2">
        <f t="shared" si="13"/>
        <v>98.647662037037037</v>
      </c>
      <c r="AM256" s="16">
        <f t="shared" si="14"/>
        <v>129600</v>
      </c>
      <c r="AN256" s="2">
        <f t="shared" si="15"/>
        <v>100</v>
      </c>
    </row>
    <row r="257" spans="1:40" x14ac:dyDescent="0.35">
      <c r="A257" s="14" t="s">
        <v>27</v>
      </c>
      <c r="B257" s="14" t="s">
        <v>94</v>
      </c>
      <c r="C257" s="14" t="s">
        <v>54</v>
      </c>
      <c r="D257" s="14" t="s">
        <v>95</v>
      </c>
      <c r="E257" s="14" t="s">
        <v>96</v>
      </c>
      <c r="F257" s="14" t="s">
        <v>32</v>
      </c>
      <c r="G257" s="14" t="s">
        <v>33</v>
      </c>
      <c r="H257" s="14" t="s">
        <v>966</v>
      </c>
      <c r="I257" s="14"/>
      <c r="J257" s="14" t="s">
        <v>947</v>
      </c>
      <c r="K257" s="14" t="s">
        <v>1023</v>
      </c>
      <c r="L257" s="14" t="s">
        <v>967</v>
      </c>
      <c r="M257" s="14" t="s">
        <v>1024</v>
      </c>
      <c r="N257" s="14" t="s">
        <v>971</v>
      </c>
      <c r="O257" s="14" t="s">
        <v>969</v>
      </c>
      <c r="P257" s="14"/>
      <c r="Q257" s="14" t="s">
        <v>35</v>
      </c>
      <c r="R257" s="14" t="s">
        <v>36</v>
      </c>
      <c r="S257" s="14" t="s">
        <v>97</v>
      </c>
      <c r="T257" s="14" t="s">
        <v>98</v>
      </c>
      <c r="U257" s="14" t="s">
        <v>99</v>
      </c>
      <c r="V257" s="22">
        <v>46196.503703703704</v>
      </c>
      <c r="W257" s="22">
        <v>46199.520833333336</v>
      </c>
      <c r="X257" s="15">
        <v>4344.67</v>
      </c>
      <c r="Y257" s="22">
        <v>46196.503692129627</v>
      </c>
      <c r="Z257" s="15">
        <v>0</v>
      </c>
      <c r="AA257" s="15">
        <v>30</v>
      </c>
      <c r="AB257" s="15" t="s">
        <v>40</v>
      </c>
      <c r="AC257" s="22">
        <v>46196.509236111109</v>
      </c>
      <c r="AD257" s="22">
        <v>46199.516979166663</v>
      </c>
      <c r="AE257" s="15">
        <v>4331.1499999999996</v>
      </c>
      <c r="AF257" s="15">
        <v>13.52</v>
      </c>
      <c r="AG257" s="15">
        <v>120</v>
      </c>
      <c r="AH257" s="15" t="s">
        <v>40</v>
      </c>
      <c r="AI257" s="14"/>
      <c r="AJ257" s="16">
        <v>129600</v>
      </c>
      <c r="AK257" s="1">
        <f t="shared" si="12"/>
        <v>129586.48</v>
      </c>
      <c r="AL257" s="2">
        <f t="shared" si="13"/>
        <v>99.989567901234565</v>
      </c>
      <c r="AM257" s="16">
        <f t="shared" si="14"/>
        <v>125268.85</v>
      </c>
      <c r="AN257" s="2">
        <f t="shared" si="15"/>
        <v>96.658063271604945</v>
      </c>
    </row>
    <row r="258" spans="1:40" x14ac:dyDescent="0.35">
      <c r="A258" s="14" t="s">
        <v>27</v>
      </c>
      <c r="B258" s="14" t="s">
        <v>28</v>
      </c>
      <c r="C258" s="14" t="s">
        <v>127</v>
      </c>
      <c r="D258" s="14" t="s">
        <v>797</v>
      </c>
      <c r="E258" s="14" t="s">
        <v>193</v>
      </c>
      <c r="F258" s="14" t="s">
        <v>32</v>
      </c>
      <c r="G258" s="14" t="s">
        <v>33</v>
      </c>
      <c r="H258" s="14" t="s">
        <v>964</v>
      </c>
      <c r="I258" s="14" t="s">
        <v>387</v>
      </c>
      <c r="J258" s="14" t="s">
        <v>387</v>
      </c>
      <c r="K258" s="14" t="s">
        <v>204</v>
      </c>
      <c r="L258" s="14" t="s">
        <v>973</v>
      </c>
      <c r="M258" s="14" t="s">
        <v>386</v>
      </c>
      <c r="N258" s="14" t="s">
        <v>974</v>
      </c>
      <c r="O258" s="14" t="s">
        <v>991</v>
      </c>
      <c r="P258" s="14"/>
      <c r="Q258" s="14" t="s">
        <v>196</v>
      </c>
      <c r="R258" s="14" t="s">
        <v>36</v>
      </c>
      <c r="S258" s="14" t="s">
        <v>37</v>
      </c>
      <c r="T258" s="14" t="s">
        <v>64</v>
      </c>
      <c r="U258" s="14" t="s">
        <v>129</v>
      </c>
      <c r="V258" s="22">
        <v>46196.555474537039</v>
      </c>
      <c r="W258" s="22">
        <v>46204.541666666664</v>
      </c>
      <c r="X258" s="15">
        <v>11500.12</v>
      </c>
      <c r="Y258" s="22">
        <v>46196.555486111109</v>
      </c>
      <c r="Z258" s="15">
        <v>0.02</v>
      </c>
      <c r="AA258" s="15">
        <v>30</v>
      </c>
      <c r="AB258" s="15" t="s">
        <v>40</v>
      </c>
      <c r="AC258" s="22">
        <v>46196.556863425925</v>
      </c>
      <c r="AD258" s="22">
        <v>46204.513437499998</v>
      </c>
      <c r="AE258" s="15">
        <v>11457.47</v>
      </c>
      <c r="AF258" s="15">
        <v>42.65</v>
      </c>
      <c r="AG258" s="15">
        <v>120</v>
      </c>
      <c r="AH258" s="15" t="s">
        <v>40</v>
      </c>
      <c r="AI258" s="14"/>
      <c r="AJ258" s="16">
        <v>129600</v>
      </c>
      <c r="AK258" s="1">
        <f t="shared" si="12"/>
        <v>129557.35</v>
      </c>
      <c r="AL258" s="2">
        <f t="shared" si="13"/>
        <v>99.967091049382717</v>
      </c>
      <c r="AM258" s="16">
        <f t="shared" si="14"/>
        <v>118142.53</v>
      </c>
      <c r="AN258" s="2">
        <f t="shared" si="15"/>
        <v>91.159359567901234</v>
      </c>
    </row>
    <row r="259" spans="1:40" x14ac:dyDescent="0.35">
      <c r="A259" s="14" t="s">
        <v>27</v>
      </c>
      <c r="B259" s="14" t="s">
        <v>28</v>
      </c>
      <c r="C259" s="14" t="s">
        <v>127</v>
      </c>
      <c r="D259" s="14" t="s">
        <v>229</v>
      </c>
      <c r="E259" s="14" t="s">
        <v>193</v>
      </c>
      <c r="F259" s="14" t="s">
        <v>32</v>
      </c>
      <c r="G259" s="14" t="s">
        <v>33</v>
      </c>
      <c r="H259" s="14" t="s">
        <v>964</v>
      </c>
      <c r="I259" s="14" t="s">
        <v>231</v>
      </c>
      <c r="J259" s="14" t="s">
        <v>231</v>
      </c>
      <c r="K259" s="14" t="s">
        <v>204</v>
      </c>
      <c r="L259" s="14" t="s">
        <v>973</v>
      </c>
      <c r="M259" s="14" t="s">
        <v>230</v>
      </c>
      <c r="N259" s="14" t="s">
        <v>974</v>
      </c>
      <c r="O259" s="14" t="s">
        <v>991</v>
      </c>
      <c r="P259" s="14"/>
      <c r="Q259" s="14" t="s">
        <v>196</v>
      </c>
      <c r="R259" s="14" t="s">
        <v>36</v>
      </c>
      <c r="S259" s="14" t="s">
        <v>37</v>
      </c>
      <c r="T259" s="14" t="s">
        <v>64</v>
      </c>
      <c r="U259" s="14" t="s">
        <v>129</v>
      </c>
      <c r="V259" s="22">
        <v>46196.577592592592</v>
      </c>
      <c r="W259" s="22">
        <v>46197.510416666664</v>
      </c>
      <c r="X259" s="15">
        <v>1343.27</v>
      </c>
      <c r="Y259" s="22">
        <v>46196.577604166669</v>
      </c>
      <c r="Z259" s="15">
        <v>0.02</v>
      </c>
      <c r="AA259" s="15">
        <v>30</v>
      </c>
      <c r="AB259" s="15" t="s">
        <v>40</v>
      </c>
      <c r="AC259" s="22">
        <v>46196.634652777779</v>
      </c>
      <c r="AD259" s="22">
        <v>46197.509398148148</v>
      </c>
      <c r="AE259" s="15">
        <v>1259.6300000000001</v>
      </c>
      <c r="AF259" s="15">
        <v>83.63</v>
      </c>
      <c r="AG259" s="15">
        <v>120</v>
      </c>
      <c r="AH259" s="15" t="s">
        <v>40</v>
      </c>
      <c r="AI259" s="14"/>
      <c r="AJ259" s="16">
        <v>129600</v>
      </c>
      <c r="AK259" s="1">
        <f t="shared" ref="AK259:AK322" si="16">AJ259-AF259</f>
        <v>129516.37</v>
      </c>
      <c r="AL259" s="2">
        <f t="shared" ref="AL259:AL322" si="17">AK259/AJ259*100</f>
        <v>99.93547067901234</v>
      </c>
      <c r="AM259" s="16">
        <f t="shared" ref="AM259:AM322" si="18">AJ259-AE259</f>
        <v>128340.37</v>
      </c>
      <c r="AN259" s="2">
        <f t="shared" ref="AN259:AN322" si="19">AM259/AJ259*100</f>
        <v>99.028063271604935</v>
      </c>
    </row>
    <row r="260" spans="1:40" x14ac:dyDescent="0.35">
      <c r="A260" s="14" t="s">
        <v>27</v>
      </c>
      <c r="B260" s="14" t="s">
        <v>28</v>
      </c>
      <c r="C260" s="14" t="s">
        <v>41</v>
      </c>
      <c r="D260" s="14" t="s">
        <v>586</v>
      </c>
      <c r="E260" s="14" t="s">
        <v>218</v>
      </c>
      <c r="F260" s="14" t="s">
        <v>32</v>
      </c>
      <c r="G260" s="14" t="s">
        <v>33</v>
      </c>
      <c r="H260" s="14" t="s">
        <v>963</v>
      </c>
      <c r="I260" s="14" t="s">
        <v>220</v>
      </c>
      <c r="J260" s="14" t="s">
        <v>220</v>
      </c>
      <c r="K260" s="14" t="s">
        <v>999</v>
      </c>
      <c r="L260" s="14" t="s">
        <v>967</v>
      </c>
      <c r="M260" s="14" t="s">
        <v>219</v>
      </c>
      <c r="N260" s="14" t="s">
        <v>992</v>
      </c>
      <c r="O260" s="14" t="s">
        <v>978</v>
      </c>
      <c r="P260" s="14"/>
      <c r="Q260" s="14" t="s">
        <v>196</v>
      </c>
      <c r="R260" s="14" t="s">
        <v>36</v>
      </c>
      <c r="S260" s="14" t="s">
        <v>104</v>
      </c>
      <c r="T260" s="14" t="s">
        <v>222</v>
      </c>
      <c r="U260" s="14" t="s">
        <v>36</v>
      </c>
      <c r="V260" s="22">
        <v>46197.397291666668</v>
      </c>
      <c r="W260" s="22">
        <v>46198.677777777775</v>
      </c>
      <c r="X260" s="15">
        <v>1843.9</v>
      </c>
      <c r="Y260" s="22">
        <v>46197.397314814814</v>
      </c>
      <c r="Z260" s="15">
        <v>0.03</v>
      </c>
      <c r="AA260" s="15">
        <v>30</v>
      </c>
      <c r="AB260" s="15" t="s">
        <v>40</v>
      </c>
      <c r="AC260" s="22">
        <v>46197.405266203707</v>
      </c>
      <c r="AD260" s="22">
        <v>46198.676111111112</v>
      </c>
      <c r="AE260" s="15">
        <v>1830.02</v>
      </c>
      <c r="AF260" s="15">
        <v>13.88</v>
      </c>
      <c r="AG260" s="15">
        <v>120</v>
      </c>
      <c r="AH260" s="15" t="s">
        <v>40</v>
      </c>
      <c r="AI260" s="14"/>
      <c r="AJ260" s="16">
        <v>129600</v>
      </c>
      <c r="AK260" s="1">
        <f t="shared" si="16"/>
        <v>129586.12</v>
      </c>
      <c r="AL260" s="2">
        <f t="shared" si="17"/>
        <v>99.989290123456783</v>
      </c>
      <c r="AM260" s="16">
        <f t="shared" si="18"/>
        <v>127769.98</v>
      </c>
      <c r="AN260" s="2">
        <f t="shared" si="19"/>
        <v>98.587947530864199</v>
      </c>
    </row>
    <row r="261" spans="1:40" x14ac:dyDescent="0.35">
      <c r="A261" s="14" t="s">
        <v>27</v>
      </c>
      <c r="B261" s="14" t="s">
        <v>28</v>
      </c>
      <c r="C261" s="14" t="s">
        <v>127</v>
      </c>
      <c r="D261" s="14" t="s">
        <v>833</v>
      </c>
      <c r="E261" s="14" t="s">
        <v>193</v>
      </c>
      <c r="F261" s="14" t="s">
        <v>32</v>
      </c>
      <c r="G261" s="14" t="s">
        <v>33</v>
      </c>
      <c r="H261" s="14" t="s">
        <v>964</v>
      </c>
      <c r="I261" s="14" t="s">
        <v>359</v>
      </c>
      <c r="J261" s="14" t="s">
        <v>359</v>
      </c>
      <c r="K261" s="14" t="s">
        <v>204</v>
      </c>
      <c r="L261" s="14" t="s">
        <v>973</v>
      </c>
      <c r="M261" s="14" t="s">
        <v>358</v>
      </c>
      <c r="N261" s="14" t="s">
        <v>990</v>
      </c>
      <c r="O261" s="14" t="s">
        <v>991</v>
      </c>
      <c r="P261" s="14"/>
      <c r="Q261" s="14" t="s">
        <v>196</v>
      </c>
      <c r="R261" s="14" t="s">
        <v>36</v>
      </c>
      <c r="S261" s="14" t="s">
        <v>37</v>
      </c>
      <c r="T261" s="14" t="s">
        <v>64</v>
      </c>
      <c r="U261" s="14" t="s">
        <v>129</v>
      </c>
      <c r="V261" s="22">
        <v>46197.545532407406</v>
      </c>
      <c r="W261" s="22">
        <v>46204.541666666664</v>
      </c>
      <c r="X261" s="15">
        <v>10074.43</v>
      </c>
      <c r="Y261" s="22">
        <v>46197.545543981483</v>
      </c>
      <c r="Z261" s="15">
        <v>0.02</v>
      </c>
      <c r="AA261" s="15">
        <v>30</v>
      </c>
      <c r="AB261" s="15" t="s">
        <v>40</v>
      </c>
      <c r="AC261" s="22">
        <v>46197.547256944446</v>
      </c>
      <c r="AD261" s="22">
        <v>46204.516064814816</v>
      </c>
      <c r="AE261" s="15">
        <v>10035.08</v>
      </c>
      <c r="AF261" s="15">
        <v>39.35</v>
      </c>
      <c r="AG261" s="15">
        <v>120</v>
      </c>
      <c r="AH261" s="15" t="s">
        <v>40</v>
      </c>
      <c r="AI261" s="14"/>
      <c r="AJ261" s="16">
        <v>129600</v>
      </c>
      <c r="AK261" s="1">
        <f t="shared" si="16"/>
        <v>129560.65</v>
      </c>
      <c r="AL261" s="2">
        <f t="shared" si="17"/>
        <v>99.969637345679004</v>
      </c>
      <c r="AM261" s="16">
        <f t="shared" si="18"/>
        <v>119564.92</v>
      </c>
      <c r="AN261" s="2">
        <f t="shared" si="19"/>
        <v>92.256882716049375</v>
      </c>
    </row>
    <row r="262" spans="1:40" x14ac:dyDescent="0.35">
      <c r="A262" s="14" t="s">
        <v>27</v>
      </c>
      <c r="B262" s="14" t="s">
        <v>28</v>
      </c>
      <c r="C262" s="14" t="s">
        <v>127</v>
      </c>
      <c r="D262" s="14" t="s">
        <v>457</v>
      </c>
      <c r="E262" s="14" t="s">
        <v>193</v>
      </c>
      <c r="F262" s="14" t="s">
        <v>32</v>
      </c>
      <c r="G262" s="14" t="s">
        <v>33</v>
      </c>
      <c r="H262" s="14" t="s">
        <v>964</v>
      </c>
      <c r="I262" s="14" t="s">
        <v>387</v>
      </c>
      <c r="J262" s="14" t="s">
        <v>387</v>
      </c>
      <c r="K262" s="14" t="s">
        <v>204</v>
      </c>
      <c r="L262" s="14" t="s">
        <v>973</v>
      </c>
      <c r="M262" s="14" t="s">
        <v>386</v>
      </c>
      <c r="N262" s="14" t="s">
        <v>974</v>
      </c>
      <c r="O262" s="14" t="s">
        <v>991</v>
      </c>
      <c r="P262" s="14"/>
      <c r="Q262" s="14" t="s">
        <v>196</v>
      </c>
      <c r="R262" s="14" t="s">
        <v>36</v>
      </c>
      <c r="S262" s="14" t="s">
        <v>37</v>
      </c>
      <c r="T262" s="14" t="s">
        <v>64</v>
      </c>
      <c r="U262" s="14" t="s">
        <v>129</v>
      </c>
      <c r="V262" s="22">
        <v>46197.670324074075</v>
      </c>
      <c r="W262" s="22">
        <v>46204.541666666664</v>
      </c>
      <c r="X262" s="15">
        <v>9894.73</v>
      </c>
      <c r="Y262" s="22">
        <v>46197.670324074075</v>
      </c>
      <c r="Z262" s="15">
        <v>0</v>
      </c>
      <c r="AA262" s="15">
        <v>30</v>
      </c>
      <c r="AB262" s="15" t="s">
        <v>40</v>
      </c>
      <c r="AC262" s="22">
        <v>46197.671446759261</v>
      </c>
      <c r="AD262" s="22">
        <v>46204.524629629632</v>
      </c>
      <c r="AE262" s="15">
        <v>9868.58</v>
      </c>
      <c r="AF262" s="15">
        <v>26.15</v>
      </c>
      <c r="AG262" s="15">
        <v>120</v>
      </c>
      <c r="AH262" s="15" t="s">
        <v>40</v>
      </c>
      <c r="AI262" s="14"/>
      <c r="AJ262" s="16">
        <v>129600</v>
      </c>
      <c r="AK262" s="1">
        <f t="shared" si="16"/>
        <v>129573.85</v>
      </c>
      <c r="AL262" s="2">
        <f t="shared" si="17"/>
        <v>99.979822530864197</v>
      </c>
      <c r="AM262" s="16">
        <f t="shared" si="18"/>
        <v>119731.42</v>
      </c>
      <c r="AN262" s="2">
        <f t="shared" si="19"/>
        <v>92.385354938271604</v>
      </c>
    </row>
    <row r="263" spans="1:40" x14ac:dyDescent="0.35">
      <c r="A263" s="14" t="s">
        <v>27</v>
      </c>
      <c r="B263" s="14" t="s">
        <v>94</v>
      </c>
      <c r="C263" s="14" t="s">
        <v>41</v>
      </c>
      <c r="D263" s="14" t="s">
        <v>927</v>
      </c>
      <c r="E263" s="14" t="s">
        <v>888</v>
      </c>
      <c r="F263" s="14" t="s">
        <v>32</v>
      </c>
      <c r="G263" s="14" t="s">
        <v>312</v>
      </c>
      <c r="H263" s="14" t="s">
        <v>963</v>
      </c>
      <c r="I263" s="14" t="s">
        <v>928</v>
      </c>
      <c r="J263" s="14" t="s">
        <v>928</v>
      </c>
      <c r="K263" s="14" t="s">
        <v>1019</v>
      </c>
      <c r="L263" s="14" t="s">
        <v>967</v>
      </c>
      <c r="M263" s="14">
        <v>1</v>
      </c>
      <c r="N263" s="14" t="e">
        <v>#N/A</v>
      </c>
      <c r="O263" s="14" t="e">
        <v>#N/A</v>
      </c>
      <c r="P263" s="14"/>
      <c r="Q263" s="14" t="s">
        <v>872</v>
      </c>
      <c r="R263" s="14" t="s">
        <v>36</v>
      </c>
      <c r="S263" s="14" t="s">
        <v>279</v>
      </c>
      <c r="T263" s="14" t="s">
        <v>929</v>
      </c>
      <c r="U263" s="14" t="s">
        <v>930</v>
      </c>
      <c r="V263" s="22">
        <v>46197.720995370371</v>
      </c>
      <c r="W263" s="22">
        <v>46198.381944444445</v>
      </c>
      <c r="X263" s="15">
        <v>951.77</v>
      </c>
      <c r="Y263" s="22">
        <v>46197.720983796295</v>
      </c>
      <c r="Z263" s="15">
        <v>0</v>
      </c>
      <c r="AA263" s="15">
        <v>30</v>
      </c>
      <c r="AB263" s="15" t="s">
        <v>40</v>
      </c>
      <c r="AC263" s="22">
        <v>46197.732430555552</v>
      </c>
      <c r="AD263" s="22">
        <v>46198.37903935185</v>
      </c>
      <c r="AE263" s="15">
        <v>931.12</v>
      </c>
      <c r="AF263" s="15">
        <v>20.65</v>
      </c>
      <c r="AG263" s="15">
        <v>2880</v>
      </c>
      <c r="AH263" s="15" t="s">
        <v>40</v>
      </c>
      <c r="AI263" s="14"/>
      <c r="AJ263" s="16">
        <v>129600</v>
      </c>
      <c r="AK263" s="1">
        <f t="shared" si="16"/>
        <v>129579.35</v>
      </c>
      <c r="AL263" s="2">
        <f t="shared" si="17"/>
        <v>99.984066358024691</v>
      </c>
      <c r="AM263" s="16">
        <f t="shared" si="18"/>
        <v>128668.88</v>
      </c>
      <c r="AN263" s="2">
        <f t="shared" si="19"/>
        <v>99.281543209876546</v>
      </c>
    </row>
    <row r="264" spans="1:40" x14ac:dyDescent="0.35">
      <c r="A264" s="14" t="s">
        <v>27</v>
      </c>
      <c r="B264" s="14" t="s">
        <v>28</v>
      </c>
      <c r="C264" s="14" t="s">
        <v>65</v>
      </c>
      <c r="D264" s="14" t="s">
        <v>144</v>
      </c>
      <c r="E264" s="14" t="s">
        <v>31</v>
      </c>
      <c r="F264" s="14" t="s">
        <v>32</v>
      </c>
      <c r="G264" s="14" t="s">
        <v>33</v>
      </c>
      <c r="H264" s="14" t="s">
        <v>966</v>
      </c>
      <c r="I264" s="14" t="s">
        <v>146</v>
      </c>
      <c r="J264" s="14" t="s">
        <v>146</v>
      </c>
      <c r="K264" s="14" t="s">
        <v>1025</v>
      </c>
      <c r="L264" s="14" t="s">
        <v>967</v>
      </c>
      <c r="M264" s="14" t="s">
        <v>145</v>
      </c>
      <c r="N264" s="14" t="s">
        <v>971</v>
      </c>
      <c r="O264" s="14" t="s">
        <v>969</v>
      </c>
      <c r="P264" s="14"/>
      <c r="Q264" s="14" t="s">
        <v>35</v>
      </c>
      <c r="R264" s="14" t="s">
        <v>36</v>
      </c>
      <c r="S264" s="14" t="s">
        <v>37</v>
      </c>
      <c r="T264" s="14" t="s">
        <v>59</v>
      </c>
      <c r="U264" s="14" t="s">
        <v>69</v>
      </c>
      <c r="V264" s="22">
        <v>46197.954513888886</v>
      </c>
      <c r="W264" s="22">
        <v>46198.268055555556</v>
      </c>
      <c r="X264" s="15">
        <v>451.5</v>
      </c>
      <c r="Y264" s="22">
        <v>46197.954525462963</v>
      </c>
      <c r="Z264" s="15">
        <v>0.02</v>
      </c>
      <c r="AA264" s="15">
        <v>30</v>
      </c>
      <c r="AB264" s="15" t="s">
        <v>40</v>
      </c>
      <c r="AC264" s="22">
        <v>46197.95789351852</v>
      </c>
      <c r="AD264" s="22">
        <v>46198.26703703704</v>
      </c>
      <c r="AE264" s="15">
        <v>445.17</v>
      </c>
      <c r="AF264" s="15">
        <v>6.33</v>
      </c>
      <c r="AG264" s="15">
        <v>120</v>
      </c>
      <c r="AH264" s="15" t="s">
        <v>40</v>
      </c>
      <c r="AI264" s="14"/>
      <c r="AJ264" s="16">
        <v>129600</v>
      </c>
      <c r="AK264" s="1">
        <f t="shared" si="16"/>
        <v>129593.67</v>
      </c>
      <c r="AL264" s="2">
        <f t="shared" si="17"/>
        <v>99.995115740740744</v>
      </c>
      <c r="AM264" s="16">
        <f t="shared" si="18"/>
        <v>129154.83</v>
      </c>
      <c r="AN264" s="2">
        <f t="shared" si="19"/>
        <v>99.656504629629623</v>
      </c>
    </row>
    <row r="265" spans="1:40" x14ac:dyDescent="0.35">
      <c r="A265" s="14" t="s">
        <v>27</v>
      </c>
      <c r="B265" s="14" t="s">
        <v>28</v>
      </c>
      <c r="C265" s="14" t="s">
        <v>65</v>
      </c>
      <c r="D265" s="14" t="s">
        <v>66</v>
      </c>
      <c r="E265" s="14" t="s">
        <v>31</v>
      </c>
      <c r="F265" s="14" t="s">
        <v>32</v>
      </c>
      <c r="G265" s="14" t="s">
        <v>33</v>
      </c>
      <c r="H265" s="14" t="s">
        <v>966</v>
      </c>
      <c r="I265" s="14" t="s">
        <v>68</v>
      </c>
      <c r="J265" s="14" t="s">
        <v>68</v>
      </c>
      <c r="K265" s="14" t="s">
        <v>1004</v>
      </c>
      <c r="L265" s="14" t="s">
        <v>967</v>
      </c>
      <c r="M265" s="14" t="s">
        <v>67</v>
      </c>
      <c r="N265" s="14" t="s">
        <v>971</v>
      </c>
      <c r="O265" s="14" t="s">
        <v>969</v>
      </c>
      <c r="P265" s="14"/>
      <c r="Q265" s="14" t="s">
        <v>35</v>
      </c>
      <c r="R265" s="14" t="s">
        <v>36</v>
      </c>
      <c r="S265" s="14" t="s">
        <v>37</v>
      </c>
      <c r="T265" s="14" t="s">
        <v>59</v>
      </c>
      <c r="U265" s="14" t="s">
        <v>69</v>
      </c>
      <c r="V265" s="22">
        <v>46197.954618055555</v>
      </c>
      <c r="W265" s="22">
        <v>46198.268750000003</v>
      </c>
      <c r="X265" s="15">
        <v>452.35</v>
      </c>
      <c r="Y265" s="22">
        <v>46197.954629629632</v>
      </c>
      <c r="Z265" s="15">
        <v>0.02</v>
      </c>
      <c r="AA265" s="15">
        <v>30</v>
      </c>
      <c r="AB265" s="15" t="s">
        <v>40</v>
      </c>
      <c r="AC265" s="22">
        <v>46197.960636574076</v>
      </c>
      <c r="AD265" s="22">
        <v>46198.268125000002</v>
      </c>
      <c r="AE265" s="15">
        <v>442.78</v>
      </c>
      <c r="AF265" s="15">
        <v>9.57</v>
      </c>
      <c r="AG265" s="15">
        <v>120</v>
      </c>
      <c r="AH265" s="15" t="s">
        <v>40</v>
      </c>
      <c r="AI265" s="14"/>
      <c r="AJ265" s="16">
        <v>129600</v>
      </c>
      <c r="AK265" s="1">
        <f t="shared" si="16"/>
        <v>129590.43</v>
      </c>
      <c r="AL265" s="2">
        <f t="shared" si="17"/>
        <v>99.992615740740732</v>
      </c>
      <c r="AM265" s="16">
        <f t="shared" si="18"/>
        <v>129157.22</v>
      </c>
      <c r="AN265" s="2">
        <f t="shared" si="19"/>
        <v>99.658348765432109</v>
      </c>
    </row>
    <row r="266" spans="1:40" x14ac:dyDescent="0.35">
      <c r="A266" s="14" t="s">
        <v>27</v>
      </c>
      <c r="B266" s="14" t="s">
        <v>28</v>
      </c>
      <c r="C266" s="14" t="s">
        <v>65</v>
      </c>
      <c r="D266" s="14" t="s">
        <v>167</v>
      </c>
      <c r="E266" s="14" t="s">
        <v>31</v>
      </c>
      <c r="F266" s="14" t="s">
        <v>32</v>
      </c>
      <c r="G266" s="14" t="s">
        <v>33</v>
      </c>
      <c r="H266" s="14" t="s">
        <v>966</v>
      </c>
      <c r="I266" s="14" t="s">
        <v>169</v>
      </c>
      <c r="J266" s="14" t="s">
        <v>169</v>
      </c>
      <c r="K266" s="14" t="s">
        <v>1025</v>
      </c>
      <c r="L266" s="14" t="s">
        <v>967</v>
      </c>
      <c r="M266" s="14" t="s">
        <v>168</v>
      </c>
      <c r="N266" s="14" t="s">
        <v>971</v>
      </c>
      <c r="O266" s="14" t="s">
        <v>982</v>
      </c>
      <c r="P266" s="14"/>
      <c r="Q266" s="14" t="s">
        <v>35</v>
      </c>
      <c r="R266" s="14" t="s">
        <v>36</v>
      </c>
      <c r="S266" s="14" t="s">
        <v>37</v>
      </c>
      <c r="T266" s="14" t="s">
        <v>64</v>
      </c>
      <c r="U266" s="14" t="s">
        <v>69</v>
      </c>
      <c r="V266" s="22">
        <v>46197.954618055555</v>
      </c>
      <c r="W266" s="22">
        <v>46198.270138888889</v>
      </c>
      <c r="X266" s="15">
        <v>454.35</v>
      </c>
      <c r="Y266" s="22">
        <v>46197.954629629632</v>
      </c>
      <c r="Z266" s="15">
        <v>0.02</v>
      </c>
      <c r="AA266" s="15">
        <v>30</v>
      </c>
      <c r="AB266" s="15" t="s">
        <v>40</v>
      </c>
      <c r="AC266" s="22">
        <v>46197.959467592591</v>
      </c>
      <c r="AD266" s="22">
        <v>46198.269328703704</v>
      </c>
      <c r="AE266" s="15">
        <v>446.2</v>
      </c>
      <c r="AF266" s="15">
        <v>8.15</v>
      </c>
      <c r="AG266" s="15">
        <v>120</v>
      </c>
      <c r="AH266" s="15" t="s">
        <v>40</v>
      </c>
      <c r="AI266" s="14"/>
      <c r="AJ266" s="16">
        <v>129600</v>
      </c>
      <c r="AK266" s="1">
        <f t="shared" si="16"/>
        <v>129591.85</v>
      </c>
      <c r="AL266" s="2">
        <f t="shared" si="17"/>
        <v>99.993711419753097</v>
      </c>
      <c r="AM266" s="16">
        <f t="shared" si="18"/>
        <v>129153.8</v>
      </c>
      <c r="AN266" s="2">
        <f t="shared" si="19"/>
        <v>99.655709876543213</v>
      </c>
    </row>
    <row r="267" spans="1:40" x14ac:dyDescent="0.35">
      <c r="A267" s="14" t="s">
        <v>27</v>
      </c>
      <c r="B267" s="14" t="s">
        <v>28</v>
      </c>
      <c r="C267" s="14" t="s">
        <v>65</v>
      </c>
      <c r="D267" s="14" t="s">
        <v>70</v>
      </c>
      <c r="E267" s="14" t="s">
        <v>31</v>
      </c>
      <c r="F267" s="14" t="s">
        <v>32</v>
      </c>
      <c r="G267" s="14" t="s">
        <v>33</v>
      </c>
      <c r="H267" s="14" t="s">
        <v>966</v>
      </c>
      <c r="I267" s="14" t="s">
        <v>72</v>
      </c>
      <c r="J267" s="14" t="s">
        <v>72</v>
      </c>
      <c r="K267" s="14" t="s">
        <v>1004</v>
      </c>
      <c r="L267" s="14" t="s">
        <v>967</v>
      </c>
      <c r="M267" s="14" t="s">
        <v>71</v>
      </c>
      <c r="N267" s="14" t="s">
        <v>971</v>
      </c>
      <c r="O267" s="14" t="s">
        <v>982</v>
      </c>
      <c r="P267" s="14"/>
      <c r="Q267" s="14" t="s">
        <v>35</v>
      </c>
      <c r="R267" s="14" t="s">
        <v>36</v>
      </c>
      <c r="S267" s="14" t="s">
        <v>37</v>
      </c>
      <c r="T267" s="14" t="s">
        <v>59</v>
      </c>
      <c r="U267" s="14" t="s">
        <v>69</v>
      </c>
      <c r="V267" s="22">
        <v>46197.954629629632</v>
      </c>
      <c r="W267" s="22">
        <v>46198.272222222222</v>
      </c>
      <c r="X267" s="15">
        <v>457.33</v>
      </c>
      <c r="Y267" s="22">
        <v>46197.954641203702</v>
      </c>
      <c r="Z267" s="15">
        <v>0.02</v>
      </c>
      <c r="AA267" s="15">
        <v>30</v>
      </c>
      <c r="AB267" s="15" t="s">
        <v>40</v>
      </c>
      <c r="AC267" s="22">
        <v>46197.958715277775</v>
      </c>
      <c r="AD267" s="22">
        <v>46198.271435185183</v>
      </c>
      <c r="AE267" s="15">
        <v>450.32</v>
      </c>
      <c r="AF267" s="15">
        <v>7.02</v>
      </c>
      <c r="AG267" s="15">
        <v>120</v>
      </c>
      <c r="AH267" s="15" t="s">
        <v>40</v>
      </c>
      <c r="AI267" s="14"/>
      <c r="AJ267" s="16">
        <v>129600</v>
      </c>
      <c r="AK267" s="1">
        <f t="shared" si="16"/>
        <v>129592.98</v>
      </c>
      <c r="AL267" s="2">
        <f t="shared" si="17"/>
        <v>99.994583333333338</v>
      </c>
      <c r="AM267" s="16">
        <f t="shared" si="18"/>
        <v>129149.68</v>
      </c>
      <c r="AN267" s="2">
        <f t="shared" si="19"/>
        <v>99.65253086419753</v>
      </c>
    </row>
    <row r="268" spans="1:40" x14ac:dyDescent="0.35">
      <c r="A268" s="14" t="s">
        <v>27</v>
      </c>
      <c r="B268" s="14" t="s">
        <v>28</v>
      </c>
      <c r="C268" s="14" t="s">
        <v>65</v>
      </c>
      <c r="D268" s="14" t="s">
        <v>148</v>
      </c>
      <c r="E268" s="14" t="s">
        <v>31</v>
      </c>
      <c r="F268" s="14" t="s">
        <v>32</v>
      </c>
      <c r="G268" s="14" t="s">
        <v>33</v>
      </c>
      <c r="H268" s="14" t="s">
        <v>966</v>
      </c>
      <c r="I268" s="14" t="s">
        <v>150</v>
      </c>
      <c r="J268" s="14" t="s">
        <v>150</v>
      </c>
      <c r="K268" s="14" t="s">
        <v>1025</v>
      </c>
      <c r="L268" s="14" t="s">
        <v>967</v>
      </c>
      <c r="M268" s="14" t="s">
        <v>149</v>
      </c>
      <c r="N268" s="14" t="s">
        <v>971</v>
      </c>
      <c r="O268" s="14" t="s">
        <v>982</v>
      </c>
      <c r="P268" s="14"/>
      <c r="Q268" s="14" t="s">
        <v>35</v>
      </c>
      <c r="R268" s="14" t="s">
        <v>36</v>
      </c>
      <c r="S268" s="14" t="s">
        <v>37</v>
      </c>
      <c r="T268" s="14" t="s">
        <v>64</v>
      </c>
      <c r="U268" s="14" t="s">
        <v>69</v>
      </c>
      <c r="V268" s="22">
        <v>46197.954745370371</v>
      </c>
      <c r="W268" s="22">
        <v>46198.273611111108</v>
      </c>
      <c r="X268" s="15">
        <v>459.17</v>
      </c>
      <c r="Y268" s="22">
        <v>46197.954756944448</v>
      </c>
      <c r="Z268" s="15">
        <v>0.02</v>
      </c>
      <c r="AA268" s="15">
        <v>30</v>
      </c>
      <c r="AB268" s="15" t="s">
        <v>40</v>
      </c>
      <c r="AC268" s="22">
        <v>46197.961539351854</v>
      </c>
      <c r="AD268" s="22">
        <v>46198.272673611114</v>
      </c>
      <c r="AE268" s="15">
        <v>448.03</v>
      </c>
      <c r="AF268" s="15">
        <v>11.13</v>
      </c>
      <c r="AG268" s="15">
        <v>120</v>
      </c>
      <c r="AH268" s="15" t="s">
        <v>40</v>
      </c>
      <c r="AI268" s="14"/>
      <c r="AJ268" s="16">
        <v>129600</v>
      </c>
      <c r="AK268" s="1">
        <f t="shared" si="16"/>
        <v>129588.87</v>
      </c>
      <c r="AL268" s="2">
        <f t="shared" si="17"/>
        <v>99.991412037037037</v>
      </c>
      <c r="AM268" s="16">
        <f t="shared" si="18"/>
        <v>129151.97</v>
      </c>
      <c r="AN268" s="2">
        <f t="shared" si="19"/>
        <v>99.654297839506185</v>
      </c>
    </row>
    <row r="269" spans="1:40" x14ac:dyDescent="0.35">
      <c r="A269" s="14" t="s">
        <v>27</v>
      </c>
      <c r="B269" s="14" t="s">
        <v>28</v>
      </c>
      <c r="C269" s="14" t="s">
        <v>65</v>
      </c>
      <c r="D269" s="14" t="s">
        <v>174</v>
      </c>
      <c r="E269" s="14" t="s">
        <v>31</v>
      </c>
      <c r="F269" s="14" t="s">
        <v>32</v>
      </c>
      <c r="G269" s="14" t="s">
        <v>33</v>
      </c>
      <c r="H269" s="14" t="s">
        <v>966</v>
      </c>
      <c r="I269" s="14" t="s">
        <v>176</v>
      </c>
      <c r="J269" s="14" t="s">
        <v>176</v>
      </c>
      <c r="K269" s="14" t="s">
        <v>1025</v>
      </c>
      <c r="L269" s="14" t="s">
        <v>967</v>
      </c>
      <c r="M269" s="14" t="s">
        <v>175</v>
      </c>
      <c r="N269" s="14" t="s">
        <v>971</v>
      </c>
      <c r="O269" s="14" t="s">
        <v>969</v>
      </c>
      <c r="P269" s="14"/>
      <c r="Q269" s="14" t="s">
        <v>35</v>
      </c>
      <c r="R269" s="14" t="s">
        <v>36</v>
      </c>
      <c r="S269" s="14" t="s">
        <v>37</v>
      </c>
      <c r="T269" s="14" t="s">
        <v>64</v>
      </c>
      <c r="U269" s="14" t="s">
        <v>69</v>
      </c>
      <c r="V269" s="22">
        <v>46197.954745370371</v>
      </c>
      <c r="W269" s="22">
        <v>46198.270833333336</v>
      </c>
      <c r="X269" s="15">
        <v>455.17</v>
      </c>
      <c r="Y269" s="22">
        <v>46197.954745370371</v>
      </c>
      <c r="Z269" s="15">
        <v>0</v>
      </c>
      <c r="AA269" s="15">
        <v>30</v>
      </c>
      <c r="AB269" s="15" t="s">
        <v>40</v>
      </c>
      <c r="AC269" s="22">
        <v>46197.963912037034</v>
      </c>
      <c r="AD269" s="22">
        <v>46198.270462962966</v>
      </c>
      <c r="AE269" s="15">
        <v>441.43</v>
      </c>
      <c r="AF269" s="15">
        <v>13.73</v>
      </c>
      <c r="AG269" s="15">
        <v>120</v>
      </c>
      <c r="AH269" s="15" t="s">
        <v>40</v>
      </c>
      <c r="AI269" s="14"/>
      <c r="AJ269" s="16">
        <v>129600</v>
      </c>
      <c r="AK269" s="1">
        <f t="shared" si="16"/>
        <v>129586.27</v>
      </c>
      <c r="AL269" s="2">
        <f t="shared" si="17"/>
        <v>99.989405864197536</v>
      </c>
      <c r="AM269" s="16">
        <f t="shared" si="18"/>
        <v>129158.57</v>
      </c>
      <c r="AN269" s="2">
        <f t="shared" si="19"/>
        <v>99.659390432098775</v>
      </c>
    </row>
    <row r="270" spans="1:40" x14ac:dyDescent="0.35">
      <c r="A270" s="14" t="s">
        <v>27</v>
      </c>
      <c r="B270" s="14" t="s">
        <v>28</v>
      </c>
      <c r="C270" s="14" t="s">
        <v>65</v>
      </c>
      <c r="D270" s="14" t="s">
        <v>184</v>
      </c>
      <c r="E270" s="14" t="s">
        <v>31</v>
      </c>
      <c r="F270" s="14" t="s">
        <v>32</v>
      </c>
      <c r="G270" s="14" t="s">
        <v>33</v>
      </c>
      <c r="H270" s="14" t="s">
        <v>966</v>
      </c>
      <c r="I270" s="14" t="s">
        <v>120</v>
      </c>
      <c r="J270" s="14" t="s">
        <v>120</v>
      </c>
      <c r="K270" s="14" t="s">
        <v>1005</v>
      </c>
      <c r="L270" s="14" t="s">
        <v>967</v>
      </c>
      <c r="M270" s="14" t="s">
        <v>119</v>
      </c>
      <c r="N270" s="14" t="s">
        <v>971</v>
      </c>
      <c r="O270" s="14" t="s">
        <v>982</v>
      </c>
      <c r="P270" s="14"/>
      <c r="Q270" s="14" t="s">
        <v>35</v>
      </c>
      <c r="R270" s="14" t="s">
        <v>36</v>
      </c>
      <c r="S270" s="14" t="s">
        <v>37</v>
      </c>
      <c r="T270" s="14" t="s">
        <v>64</v>
      </c>
      <c r="U270" s="14" t="s">
        <v>69</v>
      </c>
      <c r="V270" s="22">
        <v>46197.954745370371</v>
      </c>
      <c r="W270" s="22">
        <v>46198.274305555555</v>
      </c>
      <c r="X270" s="15">
        <v>460.17</v>
      </c>
      <c r="Y270" s="22">
        <v>46197.954745370371</v>
      </c>
      <c r="Z270" s="15">
        <v>0</v>
      </c>
      <c r="AA270" s="15">
        <v>30</v>
      </c>
      <c r="AB270" s="15" t="s">
        <v>40</v>
      </c>
      <c r="AC270" s="22">
        <v>46197.962997685187</v>
      </c>
      <c r="AD270" s="22">
        <v>46198.273541666669</v>
      </c>
      <c r="AE270" s="15">
        <v>447.18</v>
      </c>
      <c r="AF270" s="15">
        <v>12.98</v>
      </c>
      <c r="AG270" s="15">
        <v>120</v>
      </c>
      <c r="AH270" s="15" t="s">
        <v>40</v>
      </c>
      <c r="AI270" s="14"/>
      <c r="AJ270" s="16">
        <v>129600</v>
      </c>
      <c r="AK270" s="1">
        <f t="shared" si="16"/>
        <v>129587.02</v>
      </c>
      <c r="AL270" s="2">
        <f t="shared" si="17"/>
        <v>99.989984567901232</v>
      </c>
      <c r="AM270" s="16">
        <f t="shared" si="18"/>
        <v>129152.82</v>
      </c>
      <c r="AN270" s="2">
        <f t="shared" si="19"/>
        <v>99.654953703703711</v>
      </c>
    </row>
    <row r="271" spans="1:40" x14ac:dyDescent="0.35">
      <c r="A271" s="14" t="s">
        <v>27</v>
      </c>
      <c r="B271" s="14" t="s">
        <v>28</v>
      </c>
      <c r="C271" s="14" t="s">
        <v>65</v>
      </c>
      <c r="D271" s="14" t="s">
        <v>90</v>
      </c>
      <c r="E271" s="14" t="s">
        <v>31</v>
      </c>
      <c r="F271" s="14" t="s">
        <v>32</v>
      </c>
      <c r="G271" s="14" t="s">
        <v>33</v>
      </c>
      <c r="H271" s="14" t="s">
        <v>966</v>
      </c>
      <c r="I271" s="14" t="s">
        <v>92</v>
      </c>
      <c r="J271" s="14" t="s">
        <v>92</v>
      </c>
      <c r="K271" s="14" t="s">
        <v>1005</v>
      </c>
      <c r="L271" s="14" t="s">
        <v>967</v>
      </c>
      <c r="M271" s="14" t="s">
        <v>91</v>
      </c>
      <c r="N271" s="14" t="s">
        <v>971</v>
      </c>
      <c r="O271" s="14" t="s">
        <v>982</v>
      </c>
      <c r="P271" s="14"/>
      <c r="Q271" s="14" t="s">
        <v>35</v>
      </c>
      <c r="R271" s="14" t="s">
        <v>36</v>
      </c>
      <c r="S271" s="14" t="s">
        <v>37</v>
      </c>
      <c r="T271" s="14" t="s">
        <v>38</v>
      </c>
      <c r="U271" s="14" t="s">
        <v>69</v>
      </c>
      <c r="V271" s="22">
        <v>46197.954861111109</v>
      </c>
      <c r="W271" s="22">
        <v>46198.275694444441</v>
      </c>
      <c r="X271" s="15">
        <v>462</v>
      </c>
      <c r="Y271" s="22">
        <v>46197.954872685186</v>
      </c>
      <c r="Z271" s="15">
        <v>0.02</v>
      </c>
      <c r="AA271" s="15">
        <v>30</v>
      </c>
      <c r="AB271" s="15" t="s">
        <v>40</v>
      </c>
      <c r="AC271" s="22">
        <v>46197.964826388888</v>
      </c>
      <c r="AD271" s="22">
        <v>46198.27484953704</v>
      </c>
      <c r="AE271" s="15">
        <v>446.43</v>
      </c>
      <c r="AF271" s="15">
        <v>15.57</v>
      </c>
      <c r="AG271" s="15">
        <v>120</v>
      </c>
      <c r="AH271" s="15" t="s">
        <v>40</v>
      </c>
      <c r="AI271" s="14"/>
      <c r="AJ271" s="16">
        <v>129600</v>
      </c>
      <c r="AK271" s="1">
        <f t="shared" si="16"/>
        <v>129584.43</v>
      </c>
      <c r="AL271" s="2">
        <f t="shared" si="17"/>
        <v>99.987986111111098</v>
      </c>
      <c r="AM271" s="16">
        <f t="shared" si="18"/>
        <v>129153.57</v>
      </c>
      <c r="AN271" s="2">
        <f t="shared" si="19"/>
        <v>99.655532407407406</v>
      </c>
    </row>
    <row r="272" spans="1:40" x14ac:dyDescent="0.35">
      <c r="A272" s="14" t="s">
        <v>27</v>
      </c>
      <c r="B272" s="14" t="s">
        <v>28</v>
      </c>
      <c r="C272" s="14" t="s">
        <v>65</v>
      </c>
      <c r="D272" s="14" t="s">
        <v>332</v>
      </c>
      <c r="E272" s="14" t="s">
        <v>193</v>
      </c>
      <c r="F272" s="14" t="s">
        <v>32</v>
      </c>
      <c r="G272" s="14" t="s">
        <v>33</v>
      </c>
      <c r="H272" s="14" t="s">
        <v>966</v>
      </c>
      <c r="I272" s="14" t="s">
        <v>334</v>
      </c>
      <c r="J272" s="14" t="s">
        <v>334</v>
      </c>
      <c r="K272" s="14" t="s">
        <v>204</v>
      </c>
      <c r="L272" s="14" t="s">
        <v>973</v>
      </c>
      <c r="M272" s="14" t="s">
        <v>333</v>
      </c>
      <c r="N272" s="14" t="s">
        <v>979</v>
      </c>
      <c r="O272" s="14" t="s">
        <v>980</v>
      </c>
      <c r="P272" s="14"/>
      <c r="Q272" s="14" t="s">
        <v>196</v>
      </c>
      <c r="R272" s="14" t="s">
        <v>36</v>
      </c>
      <c r="S272" s="14" t="s">
        <v>37</v>
      </c>
      <c r="T272" s="14" t="s">
        <v>38</v>
      </c>
      <c r="U272" s="14" t="s">
        <v>246</v>
      </c>
      <c r="V272" s="22">
        <v>46197.95590277778</v>
      </c>
      <c r="W272" s="22">
        <v>46198.276388888888</v>
      </c>
      <c r="X272" s="15">
        <v>461.5</v>
      </c>
      <c r="Y272" s="22">
        <v>46197.955914351849</v>
      </c>
      <c r="Z272" s="15">
        <v>0.02</v>
      </c>
      <c r="AA272" s="15">
        <v>30</v>
      </c>
      <c r="AB272" s="15" t="s">
        <v>40</v>
      </c>
      <c r="AC272" s="22">
        <v>46197.965543981481</v>
      </c>
      <c r="AD272" s="22">
        <v>46198.275775462964</v>
      </c>
      <c r="AE272" s="15">
        <v>446.73</v>
      </c>
      <c r="AF272" s="15">
        <v>14.77</v>
      </c>
      <c r="AG272" s="15">
        <v>120</v>
      </c>
      <c r="AH272" s="15" t="s">
        <v>40</v>
      </c>
      <c r="AI272" s="14"/>
      <c r="AJ272" s="16">
        <v>129600</v>
      </c>
      <c r="AK272" s="1">
        <f t="shared" si="16"/>
        <v>129585.23</v>
      </c>
      <c r="AL272" s="2">
        <f t="shared" si="17"/>
        <v>99.98860339506173</v>
      </c>
      <c r="AM272" s="16">
        <f t="shared" si="18"/>
        <v>129153.27</v>
      </c>
      <c r="AN272" s="2">
        <f t="shared" si="19"/>
        <v>99.655300925925928</v>
      </c>
    </row>
    <row r="273" spans="1:40" x14ac:dyDescent="0.35">
      <c r="A273" s="14" t="s">
        <v>27</v>
      </c>
      <c r="B273" s="14" t="s">
        <v>28</v>
      </c>
      <c r="C273" s="14" t="s">
        <v>65</v>
      </c>
      <c r="D273" s="14" t="s">
        <v>316</v>
      </c>
      <c r="E273" s="14" t="s">
        <v>193</v>
      </c>
      <c r="F273" s="14" t="s">
        <v>32</v>
      </c>
      <c r="G273" s="14" t="s">
        <v>33</v>
      </c>
      <c r="H273" s="14" t="s">
        <v>966</v>
      </c>
      <c r="I273" s="14" t="s">
        <v>317</v>
      </c>
      <c r="J273" s="14" t="s">
        <v>317</v>
      </c>
      <c r="K273" s="14" t="s">
        <v>204</v>
      </c>
      <c r="L273" s="14" t="s">
        <v>973</v>
      </c>
      <c r="M273" s="14" t="s">
        <v>1026</v>
      </c>
      <c r="N273" s="14" t="s">
        <v>979</v>
      </c>
      <c r="O273" s="14" t="s">
        <v>1027</v>
      </c>
      <c r="P273" s="14"/>
      <c r="Q273" s="14" t="s">
        <v>196</v>
      </c>
      <c r="R273" s="14" t="s">
        <v>36</v>
      </c>
      <c r="S273" s="14" t="s">
        <v>37</v>
      </c>
      <c r="T273" s="14" t="s">
        <v>38</v>
      </c>
      <c r="U273" s="14" t="s">
        <v>246</v>
      </c>
      <c r="V273" s="22">
        <v>46197.956018518518</v>
      </c>
      <c r="W273" s="22">
        <v>46198.277777777781</v>
      </c>
      <c r="X273" s="15">
        <v>463.33</v>
      </c>
      <c r="Y273" s="22">
        <v>46197.956030092595</v>
      </c>
      <c r="Z273" s="15">
        <v>0.02</v>
      </c>
      <c r="AA273" s="15">
        <v>30</v>
      </c>
      <c r="AB273" s="15" t="s">
        <v>40</v>
      </c>
      <c r="AC273" s="22">
        <v>46197.966944444444</v>
      </c>
      <c r="AD273" s="22">
        <v>46198.276701388888</v>
      </c>
      <c r="AE273" s="15">
        <v>446.05</v>
      </c>
      <c r="AF273" s="15">
        <v>17.28</v>
      </c>
      <c r="AG273" s="15">
        <v>120</v>
      </c>
      <c r="AH273" s="15" t="s">
        <v>40</v>
      </c>
      <c r="AI273" s="14"/>
      <c r="AJ273" s="16">
        <v>129600</v>
      </c>
      <c r="AK273" s="1">
        <f t="shared" si="16"/>
        <v>129582.72</v>
      </c>
      <c r="AL273" s="2">
        <f t="shared" si="17"/>
        <v>99.986666666666665</v>
      </c>
      <c r="AM273" s="16">
        <f t="shared" si="18"/>
        <v>129153.95</v>
      </c>
      <c r="AN273" s="2">
        <f t="shared" si="19"/>
        <v>99.655825617283938</v>
      </c>
    </row>
    <row r="274" spans="1:40" x14ac:dyDescent="0.35">
      <c r="A274" s="14" t="s">
        <v>27</v>
      </c>
      <c r="B274" s="14" t="s">
        <v>28</v>
      </c>
      <c r="C274" s="14" t="s">
        <v>65</v>
      </c>
      <c r="D274" s="14" t="s">
        <v>507</v>
      </c>
      <c r="E274" s="14" t="s">
        <v>193</v>
      </c>
      <c r="F274" s="14" t="s">
        <v>32</v>
      </c>
      <c r="G274" s="14" t="s">
        <v>33</v>
      </c>
      <c r="H274" s="14" t="s">
        <v>966</v>
      </c>
      <c r="I274" s="14" t="s">
        <v>509</v>
      </c>
      <c r="J274" s="14" t="s">
        <v>509</v>
      </c>
      <c r="K274" s="14" t="s">
        <v>204</v>
      </c>
      <c r="L274" s="14" t="s">
        <v>973</v>
      </c>
      <c r="M274" s="14" t="s">
        <v>508</v>
      </c>
      <c r="N274" s="14" t="s">
        <v>979</v>
      </c>
      <c r="O274" s="14" t="s">
        <v>980</v>
      </c>
      <c r="P274" s="14"/>
      <c r="Q274" s="14" t="s">
        <v>196</v>
      </c>
      <c r="R274" s="14" t="s">
        <v>36</v>
      </c>
      <c r="S274" s="14" t="s">
        <v>37</v>
      </c>
      <c r="T274" s="14" t="s">
        <v>38</v>
      </c>
      <c r="U274" s="14" t="s">
        <v>246</v>
      </c>
      <c r="V274" s="22">
        <v>46197.956018518518</v>
      </c>
      <c r="W274" s="22">
        <v>46198.27847222222</v>
      </c>
      <c r="X274" s="15">
        <v>464.33</v>
      </c>
      <c r="Y274" s="22">
        <v>46197.956041666665</v>
      </c>
      <c r="Z274" s="15">
        <v>0.03</v>
      </c>
      <c r="AA274" s="15">
        <v>30</v>
      </c>
      <c r="AB274" s="15" t="s">
        <v>40</v>
      </c>
      <c r="AC274" s="22">
        <v>46197.966284722221</v>
      </c>
      <c r="AD274" s="22">
        <v>46198.277719907404</v>
      </c>
      <c r="AE274" s="15">
        <v>448.47</v>
      </c>
      <c r="AF274" s="15">
        <v>15.87</v>
      </c>
      <c r="AG274" s="15">
        <v>120</v>
      </c>
      <c r="AH274" s="15" t="s">
        <v>40</v>
      </c>
      <c r="AI274" s="14"/>
      <c r="AJ274" s="16">
        <v>129600</v>
      </c>
      <c r="AK274" s="1">
        <f t="shared" si="16"/>
        <v>129584.13</v>
      </c>
      <c r="AL274" s="2">
        <f t="shared" si="17"/>
        <v>99.987754629629634</v>
      </c>
      <c r="AM274" s="16">
        <f t="shared" si="18"/>
        <v>129151.53</v>
      </c>
      <c r="AN274" s="2">
        <f t="shared" si="19"/>
        <v>99.653958333333335</v>
      </c>
    </row>
    <row r="275" spans="1:40" x14ac:dyDescent="0.35">
      <c r="A275" s="14" t="s">
        <v>27</v>
      </c>
      <c r="B275" s="14" t="s">
        <v>28</v>
      </c>
      <c r="C275" s="14" t="s">
        <v>65</v>
      </c>
      <c r="D275" s="14" t="s">
        <v>342</v>
      </c>
      <c r="E275" s="14" t="s">
        <v>193</v>
      </c>
      <c r="F275" s="14" t="s">
        <v>32</v>
      </c>
      <c r="G275" s="14" t="s">
        <v>33</v>
      </c>
      <c r="H275" s="14" t="s">
        <v>964</v>
      </c>
      <c r="I275" s="14" t="s">
        <v>249</v>
      </c>
      <c r="J275" s="14" t="s">
        <v>249</v>
      </c>
      <c r="K275" s="14" t="s">
        <v>204</v>
      </c>
      <c r="L275" s="14" t="s">
        <v>973</v>
      </c>
      <c r="M275" s="14" t="s">
        <v>248</v>
      </c>
      <c r="N275" s="14" t="s">
        <v>990</v>
      </c>
      <c r="O275" s="14" t="s">
        <v>991</v>
      </c>
      <c r="P275" s="14"/>
      <c r="Q275" s="14" t="s">
        <v>196</v>
      </c>
      <c r="R275" s="14" t="s">
        <v>36</v>
      </c>
      <c r="S275" s="14" t="s">
        <v>37</v>
      </c>
      <c r="T275" s="14" t="s">
        <v>64</v>
      </c>
      <c r="U275" s="14" t="s">
        <v>246</v>
      </c>
      <c r="V275" s="22">
        <v>46198.198564814818</v>
      </c>
      <c r="W275" s="22">
        <v>46198.279861111114</v>
      </c>
      <c r="X275" s="15">
        <v>117.07</v>
      </c>
      <c r="Y275" s="22">
        <v>46198.198576388888</v>
      </c>
      <c r="Z275" s="15">
        <v>0.02</v>
      </c>
      <c r="AA275" s="15">
        <v>30</v>
      </c>
      <c r="AB275" s="15" t="s">
        <v>40</v>
      </c>
      <c r="AC275" s="22">
        <v>46198.201539351852</v>
      </c>
      <c r="AD275" s="22">
        <v>46198.278981481482</v>
      </c>
      <c r="AE275" s="15">
        <v>111.52</v>
      </c>
      <c r="AF275" s="15">
        <v>5.55</v>
      </c>
      <c r="AG275" s="15">
        <v>120</v>
      </c>
      <c r="AH275" s="15" t="s">
        <v>40</v>
      </c>
      <c r="AI275" s="14"/>
      <c r="AJ275" s="16">
        <v>129600</v>
      </c>
      <c r="AK275" s="1">
        <f t="shared" si="16"/>
        <v>129594.45</v>
      </c>
      <c r="AL275" s="2">
        <f t="shared" si="17"/>
        <v>99.995717592592598</v>
      </c>
      <c r="AM275" s="16">
        <f t="shared" si="18"/>
        <v>129488.48</v>
      </c>
      <c r="AN275" s="2">
        <f t="shared" si="19"/>
        <v>99.913950617283945</v>
      </c>
    </row>
    <row r="276" spans="1:40" x14ac:dyDescent="0.35">
      <c r="A276" s="14" t="s">
        <v>27</v>
      </c>
      <c r="B276" s="14" t="s">
        <v>28</v>
      </c>
      <c r="C276" s="14" t="s">
        <v>65</v>
      </c>
      <c r="D276" s="14" t="s">
        <v>602</v>
      </c>
      <c r="E276" s="14" t="s">
        <v>193</v>
      </c>
      <c r="F276" s="14" t="s">
        <v>32</v>
      </c>
      <c r="G276" s="14" t="s">
        <v>33</v>
      </c>
      <c r="H276" s="14" t="s">
        <v>964</v>
      </c>
      <c r="I276" s="14" t="s">
        <v>249</v>
      </c>
      <c r="J276" s="14" t="s">
        <v>249</v>
      </c>
      <c r="K276" s="14" t="s">
        <v>204</v>
      </c>
      <c r="L276" s="14" t="s">
        <v>973</v>
      </c>
      <c r="M276" s="14" t="s">
        <v>248</v>
      </c>
      <c r="N276" s="14" t="s">
        <v>990</v>
      </c>
      <c r="O276" s="14" t="s">
        <v>991</v>
      </c>
      <c r="P276" s="14"/>
      <c r="Q276" s="14" t="s">
        <v>196</v>
      </c>
      <c r="R276" s="14" t="s">
        <v>36</v>
      </c>
      <c r="S276" s="14" t="s">
        <v>37</v>
      </c>
      <c r="T276" s="14" t="s">
        <v>38</v>
      </c>
      <c r="U276" s="14" t="s">
        <v>246</v>
      </c>
      <c r="V276" s="22">
        <v>46198.254212962966</v>
      </c>
      <c r="W276" s="22">
        <v>46199.275000000001</v>
      </c>
      <c r="X276" s="15">
        <v>1469.93</v>
      </c>
      <c r="Y276" s="22">
        <v>46198.254224537035</v>
      </c>
      <c r="Z276" s="15">
        <v>0.02</v>
      </c>
      <c r="AA276" s="15">
        <v>30</v>
      </c>
      <c r="AB276" s="15" t="s">
        <v>40</v>
      </c>
      <c r="AC276" s="22">
        <v>46198.255428240744</v>
      </c>
      <c r="AD276" s="22">
        <v>46199.274201388886</v>
      </c>
      <c r="AE276" s="15">
        <v>1467.03</v>
      </c>
      <c r="AF276" s="15">
        <v>2.9</v>
      </c>
      <c r="AG276" s="15">
        <v>120</v>
      </c>
      <c r="AH276" s="15" t="s">
        <v>40</v>
      </c>
      <c r="AI276" s="14"/>
      <c r="AJ276" s="16">
        <v>129600</v>
      </c>
      <c r="AK276" s="1">
        <f t="shared" si="16"/>
        <v>129597.1</v>
      </c>
      <c r="AL276" s="2">
        <f t="shared" si="17"/>
        <v>99.997762345679021</v>
      </c>
      <c r="AM276" s="16">
        <f t="shared" si="18"/>
        <v>128132.97</v>
      </c>
      <c r="AN276" s="2">
        <f t="shared" si="19"/>
        <v>98.868032407407412</v>
      </c>
    </row>
    <row r="277" spans="1:40" x14ac:dyDescent="0.35">
      <c r="A277" s="14" t="s">
        <v>27</v>
      </c>
      <c r="B277" s="14" t="s">
        <v>28</v>
      </c>
      <c r="C277" s="14" t="s">
        <v>54</v>
      </c>
      <c r="D277" s="14" t="s">
        <v>869</v>
      </c>
      <c r="E277" s="14" t="s">
        <v>870</v>
      </c>
      <c r="F277" s="14" t="s">
        <v>32</v>
      </c>
      <c r="G277" s="14" t="s">
        <v>871</v>
      </c>
      <c r="H277" s="14" t="s">
        <v>966</v>
      </c>
      <c r="I277" s="14"/>
      <c r="J277" s="3" t="s">
        <v>950</v>
      </c>
      <c r="K277" s="14" t="s">
        <v>180</v>
      </c>
      <c r="L277" s="14" t="s">
        <v>967</v>
      </c>
      <c r="M277" s="14" t="s">
        <v>1028</v>
      </c>
      <c r="N277" s="14" t="s">
        <v>1020</v>
      </c>
      <c r="O277" s="14" t="s">
        <v>969</v>
      </c>
      <c r="P277" s="14"/>
      <c r="Q277" s="14" t="s">
        <v>872</v>
      </c>
      <c r="R277" s="14" t="s">
        <v>36</v>
      </c>
      <c r="S277" s="14" t="s">
        <v>104</v>
      </c>
      <c r="T277" s="14"/>
      <c r="U277" s="14"/>
      <c r="V277" s="22">
        <v>46198.598333333335</v>
      </c>
      <c r="W277" s="22">
        <v>46205.75277777778</v>
      </c>
      <c r="X277" s="15">
        <v>10302.4</v>
      </c>
      <c r="Y277" s="22">
        <v>46198.598356481481</v>
      </c>
      <c r="Z277" s="15">
        <v>0.03</v>
      </c>
      <c r="AA277" s="15">
        <v>30</v>
      </c>
      <c r="AB277" s="15" t="s">
        <v>40</v>
      </c>
      <c r="AC277" s="15"/>
      <c r="AD277" s="15"/>
      <c r="AE277" s="15">
        <v>0</v>
      </c>
      <c r="AF277" s="15">
        <v>10302.4</v>
      </c>
      <c r="AG277" s="15">
        <v>2880</v>
      </c>
      <c r="AH277" s="15" t="s">
        <v>268</v>
      </c>
      <c r="AI277" s="14"/>
      <c r="AJ277" s="16">
        <v>129600</v>
      </c>
      <c r="AK277" s="1">
        <f t="shared" si="16"/>
        <v>119297.60000000001</v>
      </c>
      <c r="AL277" s="2">
        <f t="shared" si="17"/>
        <v>92.050617283950615</v>
      </c>
      <c r="AM277" s="16">
        <f t="shared" si="18"/>
        <v>129600</v>
      </c>
      <c r="AN277" s="2">
        <f t="shared" si="19"/>
        <v>100</v>
      </c>
    </row>
    <row r="278" spans="1:40" x14ac:dyDescent="0.35">
      <c r="A278" s="14" t="s">
        <v>27</v>
      </c>
      <c r="B278" s="14" t="s">
        <v>28</v>
      </c>
      <c r="C278" s="14" t="s">
        <v>65</v>
      </c>
      <c r="D278" s="14" t="s">
        <v>242</v>
      </c>
      <c r="E278" s="14" t="s">
        <v>193</v>
      </c>
      <c r="F278" s="14" t="s">
        <v>32</v>
      </c>
      <c r="G278" s="14" t="s">
        <v>33</v>
      </c>
      <c r="H278" s="14" t="s">
        <v>984</v>
      </c>
      <c r="I278" s="14" t="s">
        <v>244</v>
      </c>
      <c r="J278" s="14" t="s">
        <v>244</v>
      </c>
      <c r="K278" s="14" t="s">
        <v>204</v>
      </c>
      <c r="L278" s="14" t="s">
        <v>973</v>
      </c>
      <c r="M278" s="14" t="s">
        <v>243</v>
      </c>
      <c r="N278" s="14" t="s">
        <v>996</v>
      </c>
      <c r="O278" s="14" t="s">
        <v>991</v>
      </c>
      <c r="P278" s="14"/>
      <c r="Q278" s="14" t="s">
        <v>196</v>
      </c>
      <c r="R278" s="14" t="s">
        <v>36</v>
      </c>
      <c r="S278" s="14" t="s">
        <v>37</v>
      </c>
      <c r="T278" s="14" t="s">
        <v>245</v>
      </c>
      <c r="U278" s="14" t="s">
        <v>246</v>
      </c>
      <c r="V278" s="22">
        <v>46198.78328703704</v>
      </c>
      <c r="W278" s="22">
        <v>46199.269444444442</v>
      </c>
      <c r="X278" s="15">
        <v>700.07</v>
      </c>
      <c r="Y278" s="22">
        <v>46198.78329861111</v>
      </c>
      <c r="Z278" s="15">
        <v>0.02</v>
      </c>
      <c r="AA278" s="15">
        <v>30</v>
      </c>
      <c r="AB278" s="15" t="s">
        <v>40</v>
      </c>
      <c r="AC278" s="22">
        <v>46198.786053240743</v>
      </c>
      <c r="AD278" s="22">
        <v>46199.268333333333</v>
      </c>
      <c r="AE278" s="15">
        <v>694.48</v>
      </c>
      <c r="AF278" s="15">
        <v>5.58</v>
      </c>
      <c r="AG278" s="15">
        <v>120</v>
      </c>
      <c r="AH278" s="15" t="s">
        <v>40</v>
      </c>
      <c r="AI278" s="14"/>
      <c r="AJ278" s="16">
        <v>129600</v>
      </c>
      <c r="AK278" s="1">
        <f t="shared" si="16"/>
        <v>129594.42</v>
      </c>
      <c r="AL278" s="2">
        <f t="shared" si="17"/>
        <v>99.995694444444439</v>
      </c>
      <c r="AM278" s="16">
        <f t="shared" si="18"/>
        <v>128905.52</v>
      </c>
      <c r="AN278" s="2">
        <f t="shared" si="19"/>
        <v>99.46413580246913</v>
      </c>
    </row>
    <row r="279" spans="1:40" x14ac:dyDescent="0.35">
      <c r="A279" s="14" t="s">
        <v>27</v>
      </c>
      <c r="B279" s="14" t="s">
        <v>28</v>
      </c>
      <c r="C279" s="14" t="s">
        <v>65</v>
      </c>
      <c r="D279" s="14" t="s">
        <v>637</v>
      </c>
      <c r="E279" s="14" t="s">
        <v>193</v>
      </c>
      <c r="F279" s="14" t="s">
        <v>32</v>
      </c>
      <c r="G279" s="14" t="s">
        <v>33</v>
      </c>
      <c r="H279" s="14" t="s">
        <v>984</v>
      </c>
      <c r="I279" s="14" t="s">
        <v>639</v>
      </c>
      <c r="J279" s="14" t="s">
        <v>639</v>
      </c>
      <c r="K279" s="14" t="s">
        <v>204</v>
      </c>
      <c r="L279" s="14" t="s">
        <v>973</v>
      </c>
      <c r="M279" s="14" t="s">
        <v>638</v>
      </c>
      <c r="N279" s="14" t="s">
        <v>974</v>
      </c>
      <c r="O279" s="14" t="s">
        <v>991</v>
      </c>
      <c r="P279" s="14"/>
      <c r="Q279" s="14" t="s">
        <v>196</v>
      </c>
      <c r="R279" s="14" t="s">
        <v>36</v>
      </c>
      <c r="S279" s="14" t="s">
        <v>37</v>
      </c>
      <c r="T279" s="14" t="s">
        <v>245</v>
      </c>
      <c r="U279" s="14" t="s">
        <v>246</v>
      </c>
      <c r="V279" s="22">
        <v>46198.783310185187</v>
      </c>
      <c r="W279" s="22">
        <v>46199.267361111109</v>
      </c>
      <c r="X279" s="15">
        <v>697.03</v>
      </c>
      <c r="Y279" s="22">
        <v>46198.783321759256</v>
      </c>
      <c r="Z279" s="15">
        <v>0.02</v>
      </c>
      <c r="AA279" s="15">
        <v>30</v>
      </c>
      <c r="AB279" s="15" t="s">
        <v>40</v>
      </c>
      <c r="AC279" s="22">
        <v>46198.786828703705</v>
      </c>
      <c r="AD279" s="22">
        <v>46199.266388888886</v>
      </c>
      <c r="AE279" s="15">
        <v>690.57</v>
      </c>
      <c r="AF279" s="15">
        <v>6.47</v>
      </c>
      <c r="AG279" s="15">
        <v>120</v>
      </c>
      <c r="AH279" s="15" t="s">
        <v>40</v>
      </c>
      <c r="AI279" s="14"/>
      <c r="AJ279" s="16">
        <v>129600</v>
      </c>
      <c r="AK279" s="1">
        <f t="shared" si="16"/>
        <v>129593.53</v>
      </c>
      <c r="AL279" s="2">
        <f t="shared" si="17"/>
        <v>99.995007716049372</v>
      </c>
      <c r="AM279" s="16">
        <f t="shared" si="18"/>
        <v>128909.43</v>
      </c>
      <c r="AN279" s="2">
        <f t="shared" si="19"/>
        <v>99.46715277777777</v>
      </c>
    </row>
    <row r="280" spans="1:40" x14ac:dyDescent="0.35">
      <c r="A280" s="14" t="s">
        <v>27</v>
      </c>
      <c r="B280" s="14" t="s">
        <v>28</v>
      </c>
      <c r="C280" s="14" t="s">
        <v>65</v>
      </c>
      <c r="D280" s="14" t="s">
        <v>624</v>
      </c>
      <c r="E280" s="14" t="s">
        <v>193</v>
      </c>
      <c r="F280" s="14" t="s">
        <v>32</v>
      </c>
      <c r="G280" s="14" t="s">
        <v>33</v>
      </c>
      <c r="H280" s="14" t="s">
        <v>984</v>
      </c>
      <c r="I280" s="14" t="s">
        <v>606</v>
      </c>
      <c r="J280" s="14" t="s">
        <v>606</v>
      </c>
      <c r="K280" s="14" t="s">
        <v>204</v>
      </c>
      <c r="L280" s="14" t="s">
        <v>973</v>
      </c>
      <c r="M280" s="14" t="s">
        <v>605</v>
      </c>
      <c r="N280" s="14" t="s">
        <v>974</v>
      </c>
      <c r="O280" s="14" t="s">
        <v>991</v>
      </c>
      <c r="P280" s="14"/>
      <c r="Q280" s="14" t="s">
        <v>196</v>
      </c>
      <c r="R280" s="14" t="s">
        <v>36</v>
      </c>
      <c r="S280" s="14" t="s">
        <v>37</v>
      </c>
      <c r="T280" s="14" t="s">
        <v>625</v>
      </c>
      <c r="U280" s="14" t="s">
        <v>246</v>
      </c>
      <c r="V280" s="22">
        <v>46198.783391203702</v>
      </c>
      <c r="W280" s="22">
        <v>46199.26458333333</v>
      </c>
      <c r="X280" s="15">
        <v>692.92</v>
      </c>
      <c r="Y280" s="22">
        <v>46198.783402777779</v>
      </c>
      <c r="Z280" s="15">
        <v>0.02</v>
      </c>
      <c r="AA280" s="15">
        <v>30</v>
      </c>
      <c r="AB280" s="15" t="s">
        <v>40</v>
      </c>
      <c r="AC280" s="22">
        <v>46198.787581018521</v>
      </c>
      <c r="AD280" s="22">
        <v>46199.264062499999</v>
      </c>
      <c r="AE280" s="15">
        <v>686.13</v>
      </c>
      <c r="AF280" s="15">
        <v>6.78</v>
      </c>
      <c r="AG280" s="15">
        <v>120</v>
      </c>
      <c r="AH280" s="15" t="s">
        <v>40</v>
      </c>
      <c r="AI280" s="14"/>
      <c r="AJ280" s="16">
        <v>129600</v>
      </c>
      <c r="AK280" s="1">
        <f t="shared" si="16"/>
        <v>129593.22</v>
      </c>
      <c r="AL280" s="2">
        <f t="shared" si="17"/>
        <v>99.994768518518512</v>
      </c>
      <c r="AM280" s="16">
        <f t="shared" si="18"/>
        <v>128913.87</v>
      </c>
      <c r="AN280" s="2">
        <f t="shared" si="19"/>
        <v>99.470578703703708</v>
      </c>
    </row>
    <row r="281" spans="1:40" x14ac:dyDescent="0.35">
      <c r="A281" s="14" t="s">
        <v>27</v>
      </c>
      <c r="B281" s="14" t="s">
        <v>28</v>
      </c>
      <c r="C281" s="14" t="s">
        <v>73</v>
      </c>
      <c r="D281" s="14" t="s">
        <v>665</v>
      </c>
      <c r="E281" s="14" t="s">
        <v>218</v>
      </c>
      <c r="F281" s="14" t="s">
        <v>32</v>
      </c>
      <c r="G281" s="14" t="s">
        <v>33</v>
      </c>
      <c r="H281" s="14" t="s">
        <v>963</v>
      </c>
      <c r="I281" s="14" t="s">
        <v>103</v>
      </c>
      <c r="J281" s="14" t="s">
        <v>103</v>
      </c>
      <c r="K281" s="14" t="s">
        <v>976</v>
      </c>
      <c r="L281" s="14" t="s">
        <v>967</v>
      </c>
      <c r="M281" s="14" t="s">
        <v>102</v>
      </c>
      <c r="N281" s="14" t="s">
        <v>977</v>
      </c>
      <c r="O281" s="14" t="s">
        <v>978</v>
      </c>
      <c r="P281" s="14"/>
      <c r="Q281" s="14" t="s">
        <v>196</v>
      </c>
      <c r="R281" s="14" t="s">
        <v>36</v>
      </c>
      <c r="S281" s="14" t="s">
        <v>221</v>
      </c>
      <c r="T281" s="14" t="s">
        <v>666</v>
      </c>
      <c r="U281" s="14" t="s">
        <v>667</v>
      </c>
      <c r="V281" s="22">
        <v>46199.73715277778</v>
      </c>
      <c r="W281" s="22">
        <v>46199.752083333333</v>
      </c>
      <c r="X281" s="15">
        <v>21.5</v>
      </c>
      <c r="Y281" s="22">
        <v>46199.737164351849</v>
      </c>
      <c r="Z281" s="15">
        <v>0.02</v>
      </c>
      <c r="AA281" s="15">
        <v>30</v>
      </c>
      <c r="AB281" s="15" t="s">
        <v>40</v>
      </c>
      <c r="AC281" s="22">
        <v>46199.742418981485</v>
      </c>
      <c r="AD281" s="22">
        <v>46199.750914351855</v>
      </c>
      <c r="AE281" s="15">
        <v>12.23</v>
      </c>
      <c r="AF281" s="15">
        <v>9.27</v>
      </c>
      <c r="AG281" s="15">
        <v>120</v>
      </c>
      <c r="AH281" s="15" t="s">
        <v>40</v>
      </c>
      <c r="AI281" s="14"/>
      <c r="AJ281" s="16">
        <v>129600</v>
      </c>
      <c r="AK281" s="1">
        <f t="shared" si="16"/>
        <v>129590.73</v>
      </c>
      <c r="AL281" s="2">
        <f t="shared" si="17"/>
        <v>99.99284722222221</v>
      </c>
      <c r="AM281" s="16">
        <f t="shared" si="18"/>
        <v>129587.77</v>
      </c>
      <c r="AN281" s="2">
        <f t="shared" si="19"/>
        <v>99.990563271604941</v>
      </c>
    </row>
    <row r="282" spans="1:40" x14ac:dyDescent="0.35">
      <c r="A282" s="14" t="s">
        <v>27</v>
      </c>
      <c r="B282" s="14" t="s">
        <v>28</v>
      </c>
      <c r="C282" s="14" t="s">
        <v>65</v>
      </c>
      <c r="D282" s="14" t="s">
        <v>365</v>
      </c>
      <c r="E282" s="14" t="s">
        <v>193</v>
      </c>
      <c r="F282" s="14" t="s">
        <v>32</v>
      </c>
      <c r="G282" s="14" t="s">
        <v>33</v>
      </c>
      <c r="H282" s="14" t="s">
        <v>964</v>
      </c>
      <c r="I282" s="14" t="s">
        <v>199</v>
      </c>
      <c r="J282" s="14" t="s">
        <v>199</v>
      </c>
      <c r="K282" s="14" t="s">
        <v>204</v>
      </c>
      <c r="L282" s="14" t="s">
        <v>973</v>
      </c>
      <c r="M282" s="14" t="s">
        <v>198</v>
      </c>
      <c r="N282" s="14" t="s">
        <v>990</v>
      </c>
      <c r="O282" s="14" t="s">
        <v>991</v>
      </c>
      <c r="P282" s="14"/>
      <c r="Q282" s="14" t="s">
        <v>196</v>
      </c>
      <c r="R282" s="14" t="s">
        <v>36</v>
      </c>
      <c r="S282" s="14" t="s">
        <v>37</v>
      </c>
      <c r="T282" s="14" t="s">
        <v>366</v>
      </c>
      <c r="U282" s="14" t="s">
        <v>246</v>
      </c>
      <c r="V282" s="22">
        <v>46199.80878472222</v>
      </c>
      <c r="W282" s="22">
        <v>46200.356944444444</v>
      </c>
      <c r="X282" s="15">
        <v>789.35</v>
      </c>
      <c r="Y282" s="22">
        <v>46199.808796296296</v>
      </c>
      <c r="Z282" s="15">
        <v>0.02</v>
      </c>
      <c r="AA282" s="15">
        <v>30</v>
      </c>
      <c r="AB282" s="15" t="s">
        <v>40</v>
      </c>
      <c r="AC282" s="22">
        <v>46199.825949074075</v>
      </c>
      <c r="AD282" s="22">
        <v>46200.356192129628</v>
      </c>
      <c r="AE282" s="15">
        <v>763.55</v>
      </c>
      <c r="AF282" s="15">
        <v>25.8</v>
      </c>
      <c r="AG282" s="15">
        <v>120</v>
      </c>
      <c r="AH282" s="15" t="s">
        <v>40</v>
      </c>
      <c r="AI282" s="14"/>
      <c r="AJ282" s="16">
        <v>129600</v>
      </c>
      <c r="AK282" s="1">
        <f t="shared" si="16"/>
        <v>129574.2</v>
      </c>
      <c r="AL282" s="2">
        <f t="shared" si="17"/>
        <v>99.980092592592598</v>
      </c>
      <c r="AM282" s="16">
        <f t="shared" si="18"/>
        <v>128836.45</v>
      </c>
      <c r="AN282" s="2">
        <f t="shared" si="19"/>
        <v>99.410841049382711</v>
      </c>
    </row>
    <row r="283" spans="1:40" x14ac:dyDescent="0.35">
      <c r="A283" s="14" t="s">
        <v>27</v>
      </c>
      <c r="B283" s="14" t="s">
        <v>28</v>
      </c>
      <c r="C283" s="14" t="s">
        <v>47</v>
      </c>
      <c r="D283" s="14" t="s">
        <v>173</v>
      </c>
      <c r="E283" s="14" t="s">
        <v>31</v>
      </c>
      <c r="F283" s="14" t="s">
        <v>32</v>
      </c>
      <c r="G283" s="14" t="s">
        <v>33</v>
      </c>
      <c r="H283" s="14" t="s">
        <v>966</v>
      </c>
      <c r="I283" s="14" t="s">
        <v>161</v>
      </c>
      <c r="J283" s="14" t="s">
        <v>161</v>
      </c>
      <c r="K283" s="14" t="s">
        <v>988</v>
      </c>
      <c r="L283" s="14" t="s">
        <v>967</v>
      </c>
      <c r="M283" s="14" t="s">
        <v>160</v>
      </c>
      <c r="N283" s="14" t="s">
        <v>971</v>
      </c>
      <c r="O283" s="14" t="s">
        <v>982</v>
      </c>
      <c r="P283" s="14"/>
      <c r="Q283" s="14" t="s">
        <v>35</v>
      </c>
      <c r="R283" s="14" t="s">
        <v>36</v>
      </c>
      <c r="S283" s="14" t="s">
        <v>37</v>
      </c>
      <c r="T283" s="14" t="s">
        <v>37</v>
      </c>
      <c r="U283" s="14" t="s">
        <v>37</v>
      </c>
      <c r="V283" s="22">
        <v>46200.597233796296</v>
      </c>
      <c r="W283" s="22">
        <v>46200.611111111109</v>
      </c>
      <c r="X283" s="15">
        <v>19.98</v>
      </c>
      <c r="Y283" s="22">
        <v>46200.597233796296</v>
      </c>
      <c r="Z283" s="15">
        <v>0</v>
      </c>
      <c r="AA283" s="15">
        <v>30</v>
      </c>
      <c r="AB283" s="15" t="s">
        <v>40</v>
      </c>
      <c r="AC283" s="22">
        <v>46200.602824074071</v>
      </c>
      <c r="AD283" s="22">
        <v>46200.61010416667</v>
      </c>
      <c r="AE283" s="15">
        <v>10.48</v>
      </c>
      <c r="AF283" s="15">
        <v>9.5</v>
      </c>
      <c r="AG283" s="15">
        <v>120</v>
      </c>
      <c r="AH283" s="15" t="s">
        <v>40</v>
      </c>
      <c r="AI283" s="14"/>
      <c r="AJ283" s="16">
        <v>129600</v>
      </c>
      <c r="AK283" s="1">
        <f t="shared" si="16"/>
        <v>129590.5</v>
      </c>
      <c r="AL283" s="2">
        <f t="shared" si="17"/>
        <v>99.992669753086417</v>
      </c>
      <c r="AM283" s="16">
        <f t="shared" si="18"/>
        <v>129589.52</v>
      </c>
      <c r="AN283" s="2">
        <f t="shared" si="19"/>
        <v>99.991913580246916</v>
      </c>
    </row>
    <row r="284" spans="1:40" x14ac:dyDescent="0.35">
      <c r="A284" s="14" t="s">
        <v>27</v>
      </c>
      <c r="B284" s="14" t="s">
        <v>28</v>
      </c>
      <c r="C284" s="14" t="s">
        <v>47</v>
      </c>
      <c r="D284" s="14" t="s">
        <v>158</v>
      </c>
      <c r="E284" s="14" t="s">
        <v>31</v>
      </c>
      <c r="F284" s="14" t="s">
        <v>32</v>
      </c>
      <c r="G284" s="14" t="s">
        <v>33</v>
      </c>
      <c r="H284" s="14" t="s">
        <v>966</v>
      </c>
      <c r="I284" s="14" t="s">
        <v>76</v>
      </c>
      <c r="J284" s="14" t="s">
        <v>76</v>
      </c>
      <c r="K284" s="14" t="s">
        <v>988</v>
      </c>
      <c r="L284" s="14" t="s">
        <v>967</v>
      </c>
      <c r="M284" s="14" t="s">
        <v>75</v>
      </c>
      <c r="N284" s="14" t="s">
        <v>971</v>
      </c>
      <c r="O284" s="14" t="s">
        <v>982</v>
      </c>
      <c r="P284" s="14"/>
      <c r="Q284" s="14" t="s">
        <v>35</v>
      </c>
      <c r="R284" s="14" t="s">
        <v>36</v>
      </c>
      <c r="S284" s="14" t="s">
        <v>37</v>
      </c>
      <c r="T284" s="14" t="s">
        <v>37</v>
      </c>
      <c r="U284" s="14" t="s">
        <v>37</v>
      </c>
      <c r="V284" s="22">
        <v>46200.597337962965</v>
      </c>
      <c r="W284" s="22">
        <v>46200.611111111109</v>
      </c>
      <c r="X284" s="15">
        <v>19.829999999999998</v>
      </c>
      <c r="Y284" s="22">
        <v>46200.597349537034</v>
      </c>
      <c r="Z284" s="15">
        <v>0.02</v>
      </c>
      <c r="AA284" s="15">
        <v>30</v>
      </c>
      <c r="AB284" s="15" t="s">
        <v>40</v>
      </c>
      <c r="AC284" s="22">
        <v>46200.602314814816</v>
      </c>
      <c r="AD284" s="22">
        <v>46200.609375</v>
      </c>
      <c r="AE284" s="15">
        <v>10.17</v>
      </c>
      <c r="AF284" s="15">
        <v>9.67</v>
      </c>
      <c r="AG284" s="15">
        <v>120</v>
      </c>
      <c r="AH284" s="15" t="s">
        <v>40</v>
      </c>
      <c r="AI284" s="14"/>
      <c r="AJ284" s="16">
        <v>129600</v>
      </c>
      <c r="AK284" s="1">
        <f t="shared" si="16"/>
        <v>129590.33</v>
      </c>
      <c r="AL284" s="2">
        <f t="shared" si="17"/>
        <v>99.992538580246915</v>
      </c>
      <c r="AM284" s="16">
        <f t="shared" si="18"/>
        <v>129589.83</v>
      </c>
      <c r="AN284" s="2">
        <f t="shared" si="19"/>
        <v>99.992152777777775</v>
      </c>
    </row>
    <row r="285" spans="1:40" x14ac:dyDescent="0.35">
      <c r="A285" s="14" t="s">
        <v>27</v>
      </c>
      <c r="B285" s="14" t="s">
        <v>28</v>
      </c>
      <c r="C285" s="14" t="s">
        <v>47</v>
      </c>
      <c r="D285" s="14" t="s">
        <v>656</v>
      </c>
      <c r="E285" s="14" t="s">
        <v>193</v>
      </c>
      <c r="F285" s="14" t="s">
        <v>32</v>
      </c>
      <c r="G285" s="14" t="s">
        <v>33</v>
      </c>
      <c r="H285" s="14" t="s">
        <v>966</v>
      </c>
      <c r="I285" s="14" t="s">
        <v>658</v>
      </c>
      <c r="J285" s="14" t="s">
        <v>658</v>
      </c>
      <c r="K285" s="14" t="s">
        <v>204</v>
      </c>
      <c r="L285" s="14" t="s">
        <v>973</v>
      </c>
      <c r="M285" s="14" t="s">
        <v>657</v>
      </c>
      <c r="N285" s="14" t="s">
        <v>979</v>
      </c>
      <c r="O285" s="14" t="s">
        <v>980</v>
      </c>
      <c r="P285" s="14"/>
      <c r="Q285" s="14" t="s">
        <v>196</v>
      </c>
      <c r="R285" s="14" t="s">
        <v>36</v>
      </c>
      <c r="S285" s="14" t="s">
        <v>37</v>
      </c>
      <c r="T285" s="14" t="s">
        <v>37</v>
      </c>
      <c r="U285" s="14" t="s">
        <v>37</v>
      </c>
      <c r="V285" s="22">
        <v>46200.598622685182</v>
      </c>
      <c r="W285" s="22">
        <v>46200.611111111109</v>
      </c>
      <c r="X285" s="15">
        <v>17.98</v>
      </c>
      <c r="Y285" s="22">
        <v>46200.598634259259</v>
      </c>
      <c r="Z285" s="15">
        <v>0.02</v>
      </c>
      <c r="AA285" s="15">
        <v>30</v>
      </c>
      <c r="AB285" s="15" t="s">
        <v>40</v>
      </c>
      <c r="AC285" s="22">
        <v>46200.601724537039</v>
      </c>
      <c r="AD285" s="22">
        <v>46200.608807870369</v>
      </c>
      <c r="AE285" s="15">
        <v>10.199999999999999</v>
      </c>
      <c r="AF285" s="15">
        <v>7.78</v>
      </c>
      <c r="AG285" s="15">
        <v>120</v>
      </c>
      <c r="AH285" s="15" t="s">
        <v>40</v>
      </c>
      <c r="AI285" s="14"/>
      <c r="AJ285" s="16">
        <v>129600</v>
      </c>
      <c r="AK285" s="1">
        <f t="shared" si="16"/>
        <v>129592.22</v>
      </c>
      <c r="AL285" s="2">
        <f t="shared" si="17"/>
        <v>99.993996913580247</v>
      </c>
      <c r="AM285" s="16">
        <f t="shared" si="18"/>
        <v>129589.8</v>
      </c>
      <c r="AN285" s="2">
        <f t="shared" si="19"/>
        <v>99.99212962962963</v>
      </c>
    </row>
    <row r="286" spans="1:40" x14ac:dyDescent="0.35">
      <c r="A286" s="14" t="s">
        <v>27</v>
      </c>
      <c r="B286" s="14" t="s">
        <v>28</v>
      </c>
      <c r="C286" s="14" t="s">
        <v>47</v>
      </c>
      <c r="D286" s="14" t="s">
        <v>571</v>
      </c>
      <c r="E286" s="14" t="s">
        <v>193</v>
      </c>
      <c r="F286" s="14" t="s">
        <v>32</v>
      </c>
      <c r="G286" s="14" t="s">
        <v>33</v>
      </c>
      <c r="H286" s="14" t="s">
        <v>966</v>
      </c>
      <c r="I286" s="14" t="s">
        <v>573</v>
      </c>
      <c r="J286" s="14" t="s">
        <v>573</v>
      </c>
      <c r="K286" s="14" t="s">
        <v>204</v>
      </c>
      <c r="L286" s="14" t="s">
        <v>973</v>
      </c>
      <c r="M286" s="14" t="s">
        <v>572</v>
      </c>
      <c r="N286" s="14" t="s">
        <v>979</v>
      </c>
      <c r="O286" s="14" t="s">
        <v>980</v>
      </c>
      <c r="P286" s="14"/>
      <c r="Q286" s="14" t="s">
        <v>196</v>
      </c>
      <c r="R286" s="14" t="s">
        <v>36</v>
      </c>
      <c r="S286" s="14" t="s">
        <v>37</v>
      </c>
      <c r="T286" s="14" t="s">
        <v>37</v>
      </c>
      <c r="U286" s="14" t="s">
        <v>37</v>
      </c>
      <c r="V286" s="22">
        <v>46200.598657407405</v>
      </c>
      <c r="W286" s="22">
        <v>46200.611111111109</v>
      </c>
      <c r="X286" s="15">
        <v>17.93</v>
      </c>
      <c r="Y286" s="22">
        <v>46200.598668981482</v>
      </c>
      <c r="Z286" s="15">
        <v>0.02</v>
      </c>
      <c r="AA286" s="15">
        <v>30</v>
      </c>
      <c r="AB286" s="15" t="s">
        <v>40</v>
      </c>
      <c r="AC286" s="22">
        <v>46200.601099537038</v>
      </c>
      <c r="AD286" s="22">
        <v>46200.608148148145</v>
      </c>
      <c r="AE286" s="15">
        <v>10.15</v>
      </c>
      <c r="AF286" s="15">
        <v>7.78</v>
      </c>
      <c r="AG286" s="15">
        <v>120</v>
      </c>
      <c r="AH286" s="15" t="s">
        <v>40</v>
      </c>
      <c r="AI286" s="14"/>
      <c r="AJ286" s="16">
        <v>129600</v>
      </c>
      <c r="AK286" s="1">
        <f t="shared" si="16"/>
        <v>129592.22</v>
      </c>
      <c r="AL286" s="2">
        <f t="shared" si="17"/>
        <v>99.993996913580247</v>
      </c>
      <c r="AM286" s="16">
        <f t="shared" si="18"/>
        <v>129589.85</v>
      </c>
      <c r="AN286" s="2">
        <f t="shared" si="19"/>
        <v>99.992168209876553</v>
      </c>
    </row>
    <row r="287" spans="1:40" x14ac:dyDescent="0.35">
      <c r="A287" s="14" t="s">
        <v>27</v>
      </c>
      <c r="B287" s="14" t="s">
        <v>28</v>
      </c>
      <c r="C287" s="14" t="s">
        <v>73</v>
      </c>
      <c r="D287" s="14" t="s">
        <v>809</v>
      </c>
      <c r="E287" s="14" t="s">
        <v>218</v>
      </c>
      <c r="F287" s="14" t="s">
        <v>32</v>
      </c>
      <c r="G287" s="14" t="s">
        <v>33</v>
      </c>
      <c r="H287" s="14" t="s">
        <v>963</v>
      </c>
      <c r="I287" s="14" t="s">
        <v>103</v>
      </c>
      <c r="J287" s="14" t="s">
        <v>103</v>
      </c>
      <c r="K287" s="14" t="s">
        <v>976</v>
      </c>
      <c r="L287" s="14" t="s">
        <v>967</v>
      </c>
      <c r="M287" s="14" t="s">
        <v>102</v>
      </c>
      <c r="N287" s="14" t="s">
        <v>977</v>
      </c>
      <c r="O287" s="14" t="s">
        <v>978</v>
      </c>
      <c r="P287" s="14"/>
      <c r="Q287" s="14" t="s">
        <v>196</v>
      </c>
      <c r="R287" s="14" t="s">
        <v>36</v>
      </c>
      <c r="S287" s="14" t="s">
        <v>221</v>
      </c>
      <c r="T287" s="14" t="s">
        <v>810</v>
      </c>
      <c r="U287" s="14" t="s">
        <v>811</v>
      </c>
      <c r="V287" s="22">
        <v>46200.853796296295</v>
      </c>
      <c r="W287" s="22">
        <v>46203.813888888886</v>
      </c>
      <c r="X287" s="15">
        <v>4262.53</v>
      </c>
      <c r="Y287" s="22">
        <v>46200.853796296295</v>
      </c>
      <c r="Z287" s="15">
        <v>0</v>
      </c>
      <c r="AA287" s="15">
        <v>30</v>
      </c>
      <c r="AB287" s="15" t="s">
        <v>40</v>
      </c>
      <c r="AC287" s="22">
        <v>46200.855393518519</v>
      </c>
      <c r="AD287" s="22">
        <v>46203.812650462962</v>
      </c>
      <c r="AE287" s="15">
        <v>4258.45</v>
      </c>
      <c r="AF287" s="15">
        <v>4.08</v>
      </c>
      <c r="AG287" s="15">
        <v>120</v>
      </c>
      <c r="AH287" s="15" t="s">
        <v>40</v>
      </c>
      <c r="AI287" s="14"/>
      <c r="AJ287" s="16">
        <v>129600</v>
      </c>
      <c r="AK287" s="1">
        <f t="shared" si="16"/>
        <v>129595.92</v>
      </c>
      <c r="AL287" s="2">
        <f t="shared" si="17"/>
        <v>99.996851851851858</v>
      </c>
      <c r="AM287" s="16">
        <f t="shared" si="18"/>
        <v>125341.55</v>
      </c>
      <c r="AN287" s="2">
        <f t="shared" si="19"/>
        <v>96.714158950617289</v>
      </c>
    </row>
    <row r="288" spans="1:40" x14ac:dyDescent="0.35">
      <c r="A288" s="14" t="s">
        <v>27</v>
      </c>
      <c r="B288" s="14" t="s">
        <v>94</v>
      </c>
      <c r="C288" s="14" t="s">
        <v>73</v>
      </c>
      <c r="D288" s="14" t="s">
        <v>321</v>
      </c>
      <c r="E288" s="14" t="s">
        <v>322</v>
      </c>
      <c r="F288" s="14" t="s">
        <v>32</v>
      </c>
      <c r="G288" s="14" t="s">
        <v>312</v>
      </c>
      <c r="H288" s="14" t="s">
        <v>964</v>
      </c>
      <c r="I288" s="14" t="s">
        <v>323</v>
      </c>
      <c r="J288" s="14" t="s">
        <v>323</v>
      </c>
      <c r="K288" s="14" t="s">
        <v>1029</v>
      </c>
      <c r="L288" s="14" t="s">
        <v>967</v>
      </c>
      <c r="M288" s="14" t="s">
        <v>1030</v>
      </c>
      <c r="N288" s="14" t="s">
        <v>1007</v>
      </c>
      <c r="O288" s="14" t="s">
        <v>1008</v>
      </c>
      <c r="P288" s="14"/>
      <c r="Q288" s="14" t="s">
        <v>196</v>
      </c>
      <c r="R288" s="14" t="s">
        <v>36</v>
      </c>
      <c r="S288" s="14" t="s">
        <v>279</v>
      </c>
      <c r="T288" s="14" t="s">
        <v>324</v>
      </c>
      <c r="U288" s="14" t="s">
        <v>325</v>
      </c>
      <c r="V288" s="22">
        <v>46202.505868055552</v>
      </c>
      <c r="W288" s="22">
        <v>46202.645833333336</v>
      </c>
      <c r="X288" s="15">
        <v>201.55</v>
      </c>
      <c r="Y288" s="22">
        <v>46202.505868055552</v>
      </c>
      <c r="Z288" s="15">
        <v>0</v>
      </c>
      <c r="AA288" s="15">
        <v>30</v>
      </c>
      <c r="AB288" s="15" t="s">
        <v>40</v>
      </c>
      <c r="AC288" s="22">
        <v>46202.532071759262</v>
      </c>
      <c r="AD288" s="22">
        <v>46202.642083333332</v>
      </c>
      <c r="AE288" s="15">
        <v>158.41999999999999</v>
      </c>
      <c r="AF288" s="15">
        <v>43.13</v>
      </c>
      <c r="AG288" s="15">
        <v>120</v>
      </c>
      <c r="AH288" s="15" t="s">
        <v>40</v>
      </c>
      <c r="AI288" s="14"/>
      <c r="AJ288" s="16">
        <v>129600</v>
      </c>
      <c r="AK288" s="1">
        <f t="shared" si="16"/>
        <v>129556.87</v>
      </c>
      <c r="AL288" s="2">
        <f t="shared" si="17"/>
        <v>99.96672067901234</v>
      </c>
      <c r="AM288" s="16">
        <f t="shared" si="18"/>
        <v>129441.58</v>
      </c>
      <c r="AN288" s="2">
        <f t="shared" si="19"/>
        <v>99.877762345679017</v>
      </c>
    </row>
    <row r="289" spans="1:40" x14ac:dyDescent="0.35">
      <c r="A289" s="14" t="s">
        <v>27</v>
      </c>
      <c r="B289" s="14" t="s">
        <v>28</v>
      </c>
      <c r="C289" s="14" t="s">
        <v>65</v>
      </c>
      <c r="D289" s="14" t="s">
        <v>750</v>
      </c>
      <c r="E289" s="14" t="s">
        <v>193</v>
      </c>
      <c r="F289" s="14" t="s">
        <v>32</v>
      </c>
      <c r="G289" s="14" t="s">
        <v>33</v>
      </c>
      <c r="H289" s="14" t="s">
        <v>964</v>
      </c>
      <c r="I289" s="14" t="s">
        <v>351</v>
      </c>
      <c r="J289" s="14" t="s">
        <v>351</v>
      </c>
      <c r="K289" s="14" t="s">
        <v>204</v>
      </c>
      <c r="L289" s="14" t="s">
        <v>973</v>
      </c>
      <c r="M289" s="14" t="s">
        <v>350</v>
      </c>
      <c r="N289" s="14" t="s">
        <v>974</v>
      </c>
      <c r="O289" s="14" t="s">
        <v>991</v>
      </c>
      <c r="P289" s="14"/>
      <c r="Q289" s="14" t="s">
        <v>196</v>
      </c>
      <c r="R289" s="14" t="s">
        <v>36</v>
      </c>
      <c r="S289" s="14" t="s">
        <v>37</v>
      </c>
      <c r="T289" s="14" t="s">
        <v>38</v>
      </c>
      <c r="U289" s="14" t="s">
        <v>246</v>
      </c>
      <c r="V289" s="22">
        <v>46203.180081018516</v>
      </c>
      <c r="W289" s="22">
        <v>46203.302083333336</v>
      </c>
      <c r="X289" s="15">
        <v>175.68</v>
      </c>
      <c r="Y289" s="22">
        <v>46203.180092592593</v>
      </c>
      <c r="Z289" s="15">
        <v>0.02</v>
      </c>
      <c r="AA289" s="15">
        <v>30</v>
      </c>
      <c r="AB289" s="15" t="s">
        <v>40</v>
      </c>
      <c r="AC289" s="22">
        <v>46203.182268518518</v>
      </c>
      <c r="AD289" s="22">
        <v>46203.301296296297</v>
      </c>
      <c r="AE289" s="15">
        <v>171.4</v>
      </c>
      <c r="AF289" s="15">
        <v>4.28</v>
      </c>
      <c r="AG289" s="15">
        <v>120</v>
      </c>
      <c r="AH289" s="15" t="s">
        <v>40</v>
      </c>
      <c r="AI289" s="14"/>
      <c r="AJ289" s="16">
        <v>129600</v>
      </c>
      <c r="AK289" s="1">
        <f t="shared" si="16"/>
        <v>129595.72</v>
      </c>
      <c r="AL289" s="2">
        <f t="shared" si="17"/>
        <v>99.996697530864196</v>
      </c>
      <c r="AM289" s="16">
        <f t="shared" si="18"/>
        <v>129428.6</v>
      </c>
      <c r="AN289" s="2">
        <f t="shared" si="19"/>
        <v>99.867746913580248</v>
      </c>
    </row>
    <row r="290" spans="1:40" x14ac:dyDescent="0.35">
      <c r="A290" s="14" t="s">
        <v>27</v>
      </c>
      <c r="B290" s="14" t="s">
        <v>28</v>
      </c>
      <c r="C290" s="14" t="s">
        <v>127</v>
      </c>
      <c r="D290" s="14" t="s">
        <v>241</v>
      </c>
      <c r="E290" s="14" t="s">
        <v>193</v>
      </c>
      <c r="F290" s="14" t="s">
        <v>32</v>
      </c>
      <c r="G290" s="14" t="s">
        <v>33</v>
      </c>
      <c r="H290" s="14" t="s">
        <v>964</v>
      </c>
      <c r="I290" s="14" t="s">
        <v>231</v>
      </c>
      <c r="J290" s="14" t="s">
        <v>231</v>
      </c>
      <c r="K290" s="14" t="s">
        <v>204</v>
      </c>
      <c r="L290" s="14" t="s">
        <v>973</v>
      </c>
      <c r="M290" s="14" t="s">
        <v>230</v>
      </c>
      <c r="N290" s="14" t="s">
        <v>974</v>
      </c>
      <c r="O290" s="14" t="s">
        <v>991</v>
      </c>
      <c r="P290" s="14"/>
      <c r="Q290" s="14" t="s">
        <v>196</v>
      </c>
      <c r="R290" s="14" t="s">
        <v>36</v>
      </c>
      <c r="S290" s="14" t="s">
        <v>37</v>
      </c>
      <c r="T290" s="14" t="s">
        <v>59</v>
      </c>
      <c r="U290" s="14" t="s">
        <v>129</v>
      </c>
      <c r="V290" s="22">
        <v>46203.249791666669</v>
      </c>
      <c r="W290" s="22">
        <v>46204.666666666664</v>
      </c>
      <c r="X290" s="15">
        <v>2040.3</v>
      </c>
      <c r="Y290" s="22">
        <v>46203.249803240738</v>
      </c>
      <c r="Z290" s="15">
        <v>0.02</v>
      </c>
      <c r="AA290" s="15">
        <v>30</v>
      </c>
      <c r="AB290" s="15" t="s">
        <v>40</v>
      </c>
      <c r="AC290" s="22">
        <v>46203.259594907409</v>
      </c>
      <c r="AD290" s="22">
        <v>46204.657384259262</v>
      </c>
      <c r="AE290" s="15">
        <v>2012.82</v>
      </c>
      <c r="AF290" s="15">
        <v>27.48</v>
      </c>
      <c r="AG290" s="15">
        <v>120</v>
      </c>
      <c r="AH290" s="15" t="s">
        <v>40</v>
      </c>
      <c r="AI290" s="14"/>
      <c r="AJ290" s="16">
        <v>129600</v>
      </c>
      <c r="AK290" s="1">
        <f t="shared" si="16"/>
        <v>129572.52</v>
      </c>
      <c r="AL290" s="2">
        <f t="shared" si="17"/>
        <v>99.978796296296295</v>
      </c>
      <c r="AM290" s="16">
        <f t="shared" si="18"/>
        <v>127587.18</v>
      </c>
      <c r="AN290" s="2">
        <f t="shared" si="19"/>
        <v>98.446898148148136</v>
      </c>
    </row>
    <row r="291" spans="1:40" x14ac:dyDescent="0.35">
      <c r="A291" s="14" t="s">
        <v>27</v>
      </c>
      <c r="B291" s="14" t="s">
        <v>28</v>
      </c>
      <c r="C291" s="14" t="s">
        <v>127</v>
      </c>
      <c r="D291" s="14" t="s">
        <v>431</v>
      </c>
      <c r="E291" s="14" t="s">
        <v>193</v>
      </c>
      <c r="F291" s="14" t="s">
        <v>32</v>
      </c>
      <c r="G291" s="14" t="s">
        <v>33</v>
      </c>
      <c r="H291" s="14" t="s">
        <v>964</v>
      </c>
      <c r="I291" s="14" t="s">
        <v>402</v>
      </c>
      <c r="J291" s="14" t="s">
        <v>402</v>
      </c>
      <c r="K291" s="14" t="s">
        <v>204</v>
      </c>
      <c r="L291" s="14" t="s">
        <v>973</v>
      </c>
      <c r="M291" s="14" t="s">
        <v>401</v>
      </c>
      <c r="N291" s="14" t="s">
        <v>974</v>
      </c>
      <c r="O291" s="14" t="s">
        <v>991</v>
      </c>
      <c r="P291" s="14"/>
      <c r="Q291" s="14" t="s">
        <v>196</v>
      </c>
      <c r="R291" s="14" t="s">
        <v>36</v>
      </c>
      <c r="S291" s="14" t="s">
        <v>37</v>
      </c>
      <c r="T291" s="14" t="s">
        <v>64</v>
      </c>
      <c r="U291" s="14" t="s">
        <v>246</v>
      </c>
      <c r="V291" s="22">
        <v>46203.621944444443</v>
      </c>
      <c r="W291" s="22">
        <v>46204.34097222222</v>
      </c>
      <c r="X291" s="15">
        <v>1035.4000000000001</v>
      </c>
      <c r="Y291" s="22">
        <v>46203.621944444443</v>
      </c>
      <c r="Z291" s="15">
        <v>0</v>
      </c>
      <c r="AA291" s="15">
        <v>30</v>
      </c>
      <c r="AB291" s="15" t="s">
        <v>40</v>
      </c>
      <c r="AC291" s="22">
        <v>46203.646493055552</v>
      </c>
      <c r="AD291" s="22">
        <v>46204.340150462966</v>
      </c>
      <c r="AE291" s="15">
        <v>998.87</v>
      </c>
      <c r="AF291" s="15">
        <v>36.53</v>
      </c>
      <c r="AG291" s="15">
        <v>120</v>
      </c>
      <c r="AH291" s="15" t="s">
        <v>40</v>
      </c>
      <c r="AI291" s="14"/>
      <c r="AJ291" s="16">
        <v>129600</v>
      </c>
      <c r="AK291" s="1">
        <f t="shared" si="16"/>
        <v>129563.47</v>
      </c>
      <c r="AL291" s="2">
        <f t="shared" si="17"/>
        <v>99.97181327160493</v>
      </c>
      <c r="AM291" s="16">
        <f t="shared" si="18"/>
        <v>128601.13</v>
      </c>
      <c r="AN291" s="2">
        <f t="shared" si="19"/>
        <v>99.229266975308647</v>
      </c>
    </row>
    <row r="292" spans="1:40" x14ac:dyDescent="0.35">
      <c r="A292" s="14" t="s">
        <v>27</v>
      </c>
      <c r="B292" s="14" t="s">
        <v>28</v>
      </c>
      <c r="C292" s="14" t="s">
        <v>65</v>
      </c>
      <c r="D292" s="14" t="s">
        <v>686</v>
      </c>
      <c r="E292" s="14" t="s">
        <v>193</v>
      </c>
      <c r="F292" s="14" t="s">
        <v>32</v>
      </c>
      <c r="G292" s="14" t="s">
        <v>33</v>
      </c>
      <c r="H292" s="14" t="s">
        <v>964</v>
      </c>
      <c r="I292" s="14" t="s">
        <v>303</v>
      </c>
      <c r="J292" s="14" t="s">
        <v>303</v>
      </c>
      <c r="K292" s="14" t="s">
        <v>204</v>
      </c>
      <c r="L292" s="14" t="s">
        <v>973</v>
      </c>
      <c r="M292" s="14" t="s">
        <v>302</v>
      </c>
      <c r="N292" s="14" t="s">
        <v>974</v>
      </c>
      <c r="O292" s="14" t="s">
        <v>991</v>
      </c>
      <c r="P292" s="14"/>
      <c r="Q292" s="14" t="s">
        <v>196</v>
      </c>
      <c r="R292" s="14" t="s">
        <v>36</v>
      </c>
      <c r="S292" s="14" t="s">
        <v>37</v>
      </c>
      <c r="T292" s="14" t="s">
        <v>37</v>
      </c>
      <c r="U292" s="14" t="s">
        <v>288</v>
      </c>
      <c r="V292" s="22">
        <v>46203.621944444443</v>
      </c>
      <c r="W292" s="22">
        <v>46204.336805555555</v>
      </c>
      <c r="X292" s="15">
        <v>1029.4000000000001</v>
      </c>
      <c r="Y292" s="22">
        <v>46203.62195601852</v>
      </c>
      <c r="Z292" s="15">
        <v>0.02</v>
      </c>
      <c r="AA292" s="15">
        <v>30</v>
      </c>
      <c r="AB292" s="15" t="s">
        <v>40</v>
      </c>
      <c r="AC292" s="22">
        <v>46203.624293981484</v>
      </c>
      <c r="AD292" s="22">
        <v>46204.3359375</v>
      </c>
      <c r="AE292" s="15">
        <v>1024.77</v>
      </c>
      <c r="AF292" s="15">
        <v>4.63</v>
      </c>
      <c r="AG292" s="15">
        <v>120</v>
      </c>
      <c r="AH292" s="15" t="s">
        <v>40</v>
      </c>
      <c r="AI292" s="14"/>
      <c r="AJ292" s="16">
        <v>129600</v>
      </c>
      <c r="AK292" s="1">
        <f t="shared" si="16"/>
        <v>129595.37</v>
      </c>
      <c r="AL292" s="2">
        <f t="shared" si="17"/>
        <v>99.996427469135796</v>
      </c>
      <c r="AM292" s="16">
        <f t="shared" si="18"/>
        <v>128575.23</v>
      </c>
      <c r="AN292" s="2">
        <f t="shared" si="19"/>
        <v>99.2092824074074</v>
      </c>
    </row>
    <row r="293" spans="1:40" x14ac:dyDescent="0.35">
      <c r="A293" s="14" t="s">
        <v>27</v>
      </c>
      <c r="B293" s="14" t="s">
        <v>28</v>
      </c>
      <c r="C293" s="14" t="s">
        <v>127</v>
      </c>
      <c r="D293" s="14" t="s">
        <v>130</v>
      </c>
      <c r="E293" s="14" t="s">
        <v>31</v>
      </c>
      <c r="F293" s="14" t="s">
        <v>32</v>
      </c>
      <c r="G293" s="14" t="s">
        <v>33</v>
      </c>
      <c r="H293" s="14" t="s">
        <v>972</v>
      </c>
      <c r="I293" s="14" t="s">
        <v>50</v>
      </c>
      <c r="J293" s="14" t="s">
        <v>50</v>
      </c>
      <c r="K293" s="14" t="s">
        <v>180</v>
      </c>
      <c r="L293" s="14" t="s">
        <v>967</v>
      </c>
      <c r="M293" s="14" t="s">
        <v>49</v>
      </c>
      <c r="N293" s="14" t="s">
        <v>992</v>
      </c>
      <c r="O293" s="14" t="s">
        <v>993</v>
      </c>
      <c r="P293" s="14"/>
      <c r="Q293" s="14" t="s">
        <v>35</v>
      </c>
      <c r="R293" s="14" t="s">
        <v>36</v>
      </c>
      <c r="S293" s="14" t="s">
        <v>37</v>
      </c>
      <c r="T293" s="14" t="s">
        <v>64</v>
      </c>
      <c r="U293" s="14" t="s">
        <v>129</v>
      </c>
      <c r="V293" s="22">
        <v>46203.678171296298</v>
      </c>
      <c r="W293" s="22">
        <v>46204.541666666664</v>
      </c>
      <c r="X293" s="15">
        <v>1243.43</v>
      </c>
      <c r="Y293" s="22">
        <v>46203.678182870368</v>
      </c>
      <c r="Z293" s="15">
        <v>0.02</v>
      </c>
      <c r="AA293" s="15">
        <v>30</v>
      </c>
      <c r="AB293" s="15" t="s">
        <v>40</v>
      </c>
      <c r="AC293" s="22">
        <v>46203.679155092592</v>
      </c>
      <c r="AD293" s="22">
        <v>46204.528912037036</v>
      </c>
      <c r="AE293" s="15">
        <v>1223.6500000000001</v>
      </c>
      <c r="AF293" s="15">
        <v>19.78</v>
      </c>
      <c r="AG293" s="15">
        <v>120</v>
      </c>
      <c r="AH293" s="15" t="s">
        <v>40</v>
      </c>
      <c r="AI293" s="14"/>
      <c r="AJ293" s="16">
        <v>129600</v>
      </c>
      <c r="AK293" s="1">
        <f t="shared" si="16"/>
        <v>129580.22</v>
      </c>
      <c r="AL293" s="2">
        <f t="shared" si="17"/>
        <v>99.98473765432098</v>
      </c>
      <c r="AM293" s="16">
        <f t="shared" si="18"/>
        <v>128376.35</v>
      </c>
      <c r="AN293" s="2">
        <f t="shared" si="19"/>
        <v>99.055825617283958</v>
      </c>
    </row>
    <row r="294" spans="1:40" x14ac:dyDescent="0.35">
      <c r="A294" s="14" t="s">
        <v>27</v>
      </c>
      <c r="B294" s="14" t="s">
        <v>28</v>
      </c>
      <c r="C294" s="14" t="s">
        <v>47</v>
      </c>
      <c r="D294" s="14" t="s">
        <v>751</v>
      </c>
      <c r="E294" s="14" t="s">
        <v>193</v>
      </c>
      <c r="F294" s="14" t="s">
        <v>32</v>
      </c>
      <c r="G294" s="14" t="s">
        <v>33</v>
      </c>
      <c r="H294" s="14" t="s">
        <v>972</v>
      </c>
      <c r="I294" s="14" t="s">
        <v>525</v>
      </c>
      <c r="J294" s="14" t="s">
        <v>525</v>
      </c>
      <c r="K294" s="14" t="s">
        <v>204</v>
      </c>
      <c r="L294" s="14" t="s">
        <v>973</v>
      </c>
      <c r="M294" s="14" t="s">
        <v>524</v>
      </c>
      <c r="N294" s="14" t="s">
        <v>990</v>
      </c>
      <c r="O294" s="14" t="s">
        <v>975</v>
      </c>
      <c r="P294" s="14"/>
      <c r="Q294" s="14" t="s">
        <v>196</v>
      </c>
      <c r="R294" s="14" t="s">
        <v>36</v>
      </c>
      <c r="S294" s="14" t="s">
        <v>37</v>
      </c>
      <c r="T294" s="14" t="s">
        <v>37</v>
      </c>
      <c r="U294" s="14" t="s">
        <v>37</v>
      </c>
      <c r="V294" s="22">
        <v>46203.678287037037</v>
      </c>
      <c r="W294" s="22">
        <v>46203.6875</v>
      </c>
      <c r="X294" s="15">
        <v>13.27</v>
      </c>
      <c r="Y294" s="22">
        <v>46203.678287037037</v>
      </c>
      <c r="Z294" s="15">
        <v>0</v>
      </c>
      <c r="AA294" s="15">
        <v>30</v>
      </c>
      <c r="AB294" s="15" t="s">
        <v>40</v>
      </c>
      <c r="AC294" s="22">
        <v>46203.680856481478</v>
      </c>
      <c r="AD294" s="22">
        <v>46203.682199074072</v>
      </c>
      <c r="AE294" s="15">
        <v>1.93</v>
      </c>
      <c r="AF294" s="15">
        <v>11.33</v>
      </c>
      <c r="AG294" s="15">
        <v>120</v>
      </c>
      <c r="AH294" s="15" t="s">
        <v>40</v>
      </c>
      <c r="AI294" s="14"/>
      <c r="AJ294" s="16">
        <v>129600</v>
      </c>
      <c r="AK294" s="1">
        <f t="shared" si="16"/>
        <v>129588.67</v>
      </c>
      <c r="AL294" s="2">
        <f t="shared" si="17"/>
        <v>99.99125771604939</v>
      </c>
      <c r="AM294" s="16">
        <f t="shared" si="18"/>
        <v>129598.07</v>
      </c>
      <c r="AN294" s="2">
        <f t="shared" si="19"/>
        <v>99.998510802469141</v>
      </c>
    </row>
    <row r="295" spans="1:40" x14ac:dyDescent="0.35">
      <c r="A295" s="14" t="s">
        <v>27</v>
      </c>
      <c r="B295" s="14" t="s">
        <v>28</v>
      </c>
      <c r="C295" s="14" t="s">
        <v>127</v>
      </c>
      <c r="D295" s="14" t="s">
        <v>510</v>
      </c>
      <c r="E295" s="14" t="s">
        <v>193</v>
      </c>
      <c r="F295" s="14" t="s">
        <v>32</v>
      </c>
      <c r="G295" s="14" t="s">
        <v>33</v>
      </c>
      <c r="H295" s="14" t="s">
        <v>964</v>
      </c>
      <c r="I295" s="14" t="s">
        <v>434</v>
      </c>
      <c r="J295" s="14" t="s">
        <v>434</v>
      </c>
      <c r="K295" s="14" t="s">
        <v>204</v>
      </c>
      <c r="L295" s="14" t="s">
        <v>973</v>
      </c>
      <c r="M295" s="14" t="s">
        <v>433</v>
      </c>
      <c r="N295" s="14" t="s">
        <v>974</v>
      </c>
      <c r="O295" s="14" t="s">
        <v>991</v>
      </c>
      <c r="P295" s="14"/>
      <c r="Q295" s="14" t="s">
        <v>196</v>
      </c>
      <c r="R295" s="14" t="s">
        <v>36</v>
      </c>
      <c r="S295" s="14" t="s">
        <v>37</v>
      </c>
      <c r="T295" s="14" t="s">
        <v>64</v>
      </c>
      <c r="U295" s="14" t="s">
        <v>129</v>
      </c>
      <c r="V295" s="22">
        <v>46204.48060185185</v>
      </c>
      <c r="W295" s="22">
        <v>46204.583333333336</v>
      </c>
      <c r="X295" s="15">
        <v>147.93</v>
      </c>
      <c r="Y295" s="22">
        <v>46204.480624999997</v>
      </c>
      <c r="Z295" s="15">
        <v>0.03</v>
      </c>
      <c r="AA295" s="15">
        <v>30</v>
      </c>
      <c r="AB295" s="15" t="s">
        <v>40</v>
      </c>
      <c r="AC295" s="22">
        <v>46204.482164351852</v>
      </c>
      <c r="AD295" s="22">
        <v>46204.664166666669</v>
      </c>
      <c r="AE295" s="15">
        <v>262.08</v>
      </c>
      <c r="AF295" s="15">
        <v>-114.15</v>
      </c>
      <c r="AG295" s="15">
        <v>120</v>
      </c>
      <c r="AH295" s="15" t="s">
        <v>40</v>
      </c>
      <c r="AI295" s="14"/>
      <c r="AJ295" s="16">
        <v>129600</v>
      </c>
      <c r="AK295" s="1">
        <f t="shared" si="16"/>
        <v>129714.15</v>
      </c>
      <c r="AL295" s="2">
        <f t="shared" si="17"/>
        <v>100.08807870370372</v>
      </c>
      <c r="AM295" s="16">
        <f t="shared" si="18"/>
        <v>129337.92</v>
      </c>
      <c r="AN295" s="2">
        <f t="shared" si="19"/>
        <v>99.797777777777767</v>
      </c>
    </row>
    <row r="296" spans="1:40" x14ac:dyDescent="0.35">
      <c r="A296" s="14" t="s">
        <v>27</v>
      </c>
      <c r="B296" s="14" t="s">
        <v>28</v>
      </c>
      <c r="C296" s="14" t="s">
        <v>47</v>
      </c>
      <c r="D296" s="14" t="s">
        <v>338</v>
      </c>
      <c r="E296" s="14" t="s">
        <v>193</v>
      </c>
      <c r="F296" s="14" t="s">
        <v>32</v>
      </c>
      <c r="G296" s="14" t="s">
        <v>33</v>
      </c>
      <c r="H296" s="14" t="s">
        <v>964</v>
      </c>
      <c r="I296" s="14" t="s">
        <v>303</v>
      </c>
      <c r="J296" s="14" t="s">
        <v>303</v>
      </c>
      <c r="K296" s="14" t="s">
        <v>204</v>
      </c>
      <c r="L296" s="14" t="s">
        <v>973</v>
      </c>
      <c r="M296" s="14" t="s">
        <v>302</v>
      </c>
      <c r="N296" s="14" t="s">
        <v>974</v>
      </c>
      <c r="O296" s="14" t="s">
        <v>991</v>
      </c>
      <c r="P296" s="14"/>
      <c r="Q296" s="14" t="s">
        <v>196</v>
      </c>
      <c r="R296" s="14" t="s">
        <v>36</v>
      </c>
      <c r="S296" s="14" t="s">
        <v>37</v>
      </c>
      <c r="T296" s="14" t="s">
        <v>37</v>
      </c>
      <c r="U296" s="14" t="s">
        <v>37</v>
      </c>
      <c r="V296" s="22">
        <v>46204.480706018519</v>
      </c>
      <c r="W296" s="22">
        <v>46204.54583333333</v>
      </c>
      <c r="X296" s="15">
        <v>93.78</v>
      </c>
      <c r="Y296" s="22">
        <v>46204.480717592596</v>
      </c>
      <c r="Z296" s="15">
        <v>0.02</v>
      </c>
      <c r="AA296" s="15">
        <v>30</v>
      </c>
      <c r="AB296" s="15" t="s">
        <v>40</v>
      </c>
      <c r="AC296" s="22">
        <v>46204.482835648145</v>
      </c>
      <c r="AD296" s="22">
        <v>46204.541701388887</v>
      </c>
      <c r="AE296" s="15">
        <v>84.77</v>
      </c>
      <c r="AF296" s="15">
        <v>9.02</v>
      </c>
      <c r="AG296" s="15">
        <v>120</v>
      </c>
      <c r="AH296" s="15" t="s">
        <v>40</v>
      </c>
      <c r="AI296" s="14"/>
      <c r="AJ296" s="16">
        <v>129600</v>
      </c>
      <c r="AK296" s="1">
        <f t="shared" si="16"/>
        <v>129590.98</v>
      </c>
      <c r="AL296" s="2">
        <f t="shared" si="17"/>
        <v>99.993040123456794</v>
      </c>
      <c r="AM296" s="16">
        <f t="shared" si="18"/>
        <v>129515.23</v>
      </c>
      <c r="AN296" s="2">
        <f t="shared" si="19"/>
        <v>99.934591049382718</v>
      </c>
    </row>
    <row r="297" spans="1:40" x14ac:dyDescent="0.35">
      <c r="A297" s="14" t="s">
        <v>27</v>
      </c>
      <c r="B297" s="14" t="s">
        <v>28</v>
      </c>
      <c r="C297" s="14" t="s">
        <v>127</v>
      </c>
      <c r="D297" s="14" t="s">
        <v>709</v>
      </c>
      <c r="E297" s="14" t="s">
        <v>193</v>
      </c>
      <c r="F297" s="14" t="s">
        <v>32</v>
      </c>
      <c r="G297" s="14" t="s">
        <v>33</v>
      </c>
      <c r="H297" s="14" t="s">
        <v>984</v>
      </c>
      <c r="I297" s="14" t="s">
        <v>611</v>
      </c>
      <c r="J297" s="14" t="s">
        <v>611</v>
      </c>
      <c r="K297" s="14" t="s">
        <v>204</v>
      </c>
      <c r="L297" s="14" t="s">
        <v>973</v>
      </c>
      <c r="M297" s="14" t="s">
        <v>610</v>
      </c>
      <c r="N297" s="14" t="s">
        <v>990</v>
      </c>
      <c r="O297" s="14" t="s">
        <v>991</v>
      </c>
      <c r="P297" s="14"/>
      <c r="Q297" s="14" t="s">
        <v>196</v>
      </c>
      <c r="R297" s="14" t="s">
        <v>36</v>
      </c>
      <c r="S297" s="14" t="s">
        <v>37</v>
      </c>
      <c r="T297" s="14" t="s">
        <v>64</v>
      </c>
      <c r="U297" s="14" t="s">
        <v>129</v>
      </c>
      <c r="V297" s="22">
        <v>46204.532407407409</v>
      </c>
      <c r="W297" s="22">
        <v>46204.666666666664</v>
      </c>
      <c r="X297" s="15">
        <v>193.33</v>
      </c>
      <c r="Y297" s="22">
        <v>46204.532418981478</v>
      </c>
      <c r="Z297" s="15">
        <v>0.02</v>
      </c>
      <c r="AA297" s="15">
        <v>30</v>
      </c>
      <c r="AB297" s="15" t="s">
        <v>40</v>
      </c>
      <c r="AC297" s="22">
        <v>46204.535115740742</v>
      </c>
      <c r="AD297" s="22">
        <v>46204.665590277778</v>
      </c>
      <c r="AE297" s="15">
        <v>187.88</v>
      </c>
      <c r="AF297" s="15">
        <v>5.45</v>
      </c>
      <c r="AG297" s="15">
        <v>120</v>
      </c>
      <c r="AH297" s="15" t="s">
        <v>40</v>
      </c>
      <c r="AI297" s="14"/>
      <c r="AJ297" s="16">
        <v>129600</v>
      </c>
      <c r="AK297" s="1">
        <f t="shared" si="16"/>
        <v>129594.55</v>
      </c>
      <c r="AL297" s="2">
        <f t="shared" si="17"/>
        <v>99.995794753086415</v>
      </c>
      <c r="AM297" s="16">
        <f t="shared" si="18"/>
        <v>129412.12</v>
      </c>
      <c r="AN297" s="2">
        <f t="shared" si="19"/>
        <v>99.855030864197531</v>
      </c>
    </row>
    <row r="298" spans="1:40" x14ac:dyDescent="0.35">
      <c r="A298" s="14" t="s">
        <v>27</v>
      </c>
      <c r="B298" s="14" t="s">
        <v>28</v>
      </c>
      <c r="C298" s="14" t="s">
        <v>127</v>
      </c>
      <c r="D298" s="14" t="s">
        <v>585</v>
      </c>
      <c r="E298" s="14" t="s">
        <v>193</v>
      </c>
      <c r="F298" s="14" t="s">
        <v>32</v>
      </c>
      <c r="G298" s="14" t="s">
        <v>33</v>
      </c>
      <c r="H298" s="14" t="s">
        <v>964</v>
      </c>
      <c r="I298" s="14" t="s">
        <v>402</v>
      </c>
      <c r="J298" s="14" t="s">
        <v>402</v>
      </c>
      <c r="K298" s="14" t="s">
        <v>204</v>
      </c>
      <c r="L298" s="14" t="s">
        <v>973</v>
      </c>
      <c r="M298" s="14" t="s">
        <v>401</v>
      </c>
      <c r="N298" s="14" t="s">
        <v>974</v>
      </c>
      <c r="O298" s="14" t="s">
        <v>991</v>
      </c>
      <c r="P298" s="14"/>
      <c r="Q298" s="14" t="s">
        <v>196</v>
      </c>
      <c r="R298" s="14" t="s">
        <v>36</v>
      </c>
      <c r="S298" s="14" t="s">
        <v>37</v>
      </c>
      <c r="T298" s="14" t="s">
        <v>64</v>
      </c>
      <c r="U298" s="14" t="s">
        <v>129</v>
      </c>
      <c r="V298" s="22">
        <v>46204.560648148145</v>
      </c>
      <c r="W298" s="22">
        <v>46204.666666666664</v>
      </c>
      <c r="X298" s="15">
        <v>152.66999999999999</v>
      </c>
      <c r="Y298" s="22">
        <v>46204.560659722221</v>
      </c>
      <c r="Z298" s="15">
        <v>0.02</v>
      </c>
      <c r="AA298" s="15">
        <v>30</v>
      </c>
      <c r="AB298" s="15" t="s">
        <v>40</v>
      </c>
      <c r="AC298" s="22">
        <v>46204.588483796295</v>
      </c>
      <c r="AD298" s="22">
        <v>46204.666655092595</v>
      </c>
      <c r="AE298" s="15">
        <v>112.57</v>
      </c>
      <c r="AF298" s="15">
        <v>40.1</v>
      </c>
      <c r="AG298" s="15">
        <v>120</v>
      </c>
      <c r="AH298" s="15" t="s">
        <v>40</v>
      </c>
      <c r="AI298" s="14"/>
      <c r="AJ298" s="16">
        <v>129600</v>
      </c>
      <c r="AK298" s="1">
        <f t="shared" si="16"/>
        <v>129559.9</v>
      </c>
      <c r="AL298" s="2">
        <f t="shared" si="17"/>
        <v>99.969058641975309</v>
      </c>
      <c r="AM298" s="16">
        <f t="shared" si="18"/>
        <v>129487.43</v>
      </c>
      <c r="AN298" s="2">
        <f t="shared" si="19"/>
        <v>99.913140432098757</v>
      </c>
    </row>
    <row r="299" spans="1:40" x14ac:dyDescent="0.35">
      <c r="A299" s="14" t="s">
        <v>27</v>
      </c>
      <c r="B299" s="14" t="s">
        <v>28</v>
      </c>
      <c r="C299" s="14" t="s">
        <v>127</v>
      </c>
      <c r="D299" s="14" t="s">
        <v>835</v>
      </c>
      <c r="E299" s="14" t="s">
        <v>193</v>
      </c>
      <c r="F299" s="14" t="s">
        <v>32</v>
      </c>
      <c r="G299" s="14" t="s">
        <v>33</v>
      </c>
      <c r="H299" s="14" t="s">
        <v>964</v>
      </c>
      <c r="I299" s="14" t="s">
        <v>303</v>
      </c>
      <c r="J299" s="14" t="s">
        <v>303</v>
      </c>
      <c r="K299" s="14" t="s">
        <v>204</v>
      </c>
      <c r="L299" s="14" t="s">
        <v>973</v>
      </c>
      <c r="M299" s="14" t="s">
        <v>302</v>
      </c>
      <c r="N299" s="14" t="s">
        <v>974</v>
      </c>
      <c r="O299" s="14" t="s">
        <v>991</v>
      </c>
      <c r="P299" s="14"/>
      <c r="Q299" s="14" t="s">
        <v>196</v>
      </c>
      <c r="R299" s="14" t="s">
        <v>36</v>
      </c>
      <c r="S299" s="14" t="s">
        <v>37</v>
      </c>
      <c r="T299" s="14" t="s">
        <v>64</v>
      </c>
      <c r="U299" s="14" t="s">
        <v>129</v>
      </c>
      <c r="V299" s="22">
        <v>46204.560659722221</v>
      </c>
      <c r="W299" s="22">
        <v>46204.666666666664</v>
      </c>
      <c r="X299" s="15">
        <v>152.65</v>
      </c>
      <c r="Y299" s="22">
        <v>46204.560659722221</v>
      </c>
      <c r="Z299" s="15">
        <v>0</v>
      </c>
      <c r="AA299" s="15">
        <v>30</v>
      </c>
      <c r="AB299" s="15" t="s">
        <v>40</v>
      </c>
      <c r="AC299" s="22">
        <v>46204.58761574074</v>
      </c>
      <c r="AD299" s="22">
        <v>46204.65929398148</v>
      </c>
      <c r="AE299" s="15">
        <v>103.22</v>
      </c>
      <c r="AF299" s="15">
        <v>49.43</v>
      </c>
      <c r="AG299" s="15">
        <v>120</v>
      </c>
      <c r="AH299" s="15" t="s">
        <v>40</v>
      </c>
      <c r="AI299" s="14"/>
      <c r="AJ299" s="16">
        <v>129600</v>
      </c>
      <c r="AK299" s="1">
        <f t="shared" si="16"/>
        <v>129550.57</v>
      </c>
      <c r="AL299" s="2">
        <f t="shared" si="17"/>
        <v>99.961859567901229</v>
      </c>
      <c r="AM299" s="16">
        <f t="shared" si="18"/>
        <v>129496.78</v>
      </c>
      <c r="AN299" s="2">
        <f t="shared" si="19"/>
        <v>99.920354938271601</v>
      </c>
    </row>
    <row r="300" spans="1:40" x14ac:dyDescent="0.35">
      <c r="A300" s="14" t="s">
        <v>27</v>
      </c>
      <c r="B300" s="14" t="s">
        <v>28</v>
      </c>
      <c r="C300" s="14" t="s">
        <v>127</v>
      </c>
      <c r="D300" s="14" t="s">
        <v>205</v>
      </c>
      <c r="E300" s="14" t="s">
        <v>193</v>
      </c>
      <c r="F300" s="14" t="s">
        <v>32</v>
      </c>
      <c r="G300" s="14" t="s">
        <v>33</v>
      </c>
      <c r="H300" s="14" t="s">
        <v>964</v>
      </c>
      <c r="I300" s="14" t="s">
        <v>207</v>
      </c>
      <c r="J300" s="14" t="s">
        <v>207</v>
      </c>
      <c r="K300" s="14" t="s">
        <v>204</v>
      </c>
      <c r="L300" s="14" t="s">
        <v>973</v>
      </c>
      <c r="M300" s="14" t="s">
        <v>206</v>
      </c>
      <c r="N300" s="14" t="s">
        <v>974</v>
      </c>
      <c r="O300" s="14" t="s">
        <v>991</v>
      </c>
      <c r="P300" s="14"/>
      <c r="Q300" s="14" t="s">
        <v>196</v>
      </c>
      <c r="R300" s="14" t="s">
        <v>36</v>
      </c>
      <c r="S300" s="14" t="s">
        <v>37</v>
      </c>
      <c r="T300" s="14" t="s">
        <v>64</v>
      </c>
      <c r="U300" s="14" t="s">
        <v>129</v>
      </c>
      <c r="V300" s="22">
        <v>46204.612291666665</v>
      </c>
      <c r="W300" s="22">
        <v>46204.666666666664</v>
      </c>
      <c r="X300" s="15">
        <v>78.3</v>
      </c>
      <c r="Y300" s="22">
        <v>46204.612303240741</v>
      </c>
      <c r="Z300" s="15">
        <v>0.02</v>
      </c>
      <c r="AA300" s="15">
        <v>30</v>
      </c>
      <c r="AB300" s="15" t="s">
        <v>40</v>
      </c>
      <c r="AC300" s="22">
        <v>46204.625555555554</v>
      </c>
      <c r="AD300" s="22">
        <v>46204.662986111114</v>
      </c>
      <c r="AE300" s="15">
        <v>53.9</v>
      </c>
      <c r="AF300" s="15">
        <v>24.4</v>
      </c>
      <c r="AG300" s="15">
        <v>120</v>
      </c>
      <c r="AH300" s="15" t="s">
        <v>40</v>
      </c>
      <c r="AI300" s="14"/>
      <c r="AJ300" s="16">
        <v>129600</v>
      </c>
      <c r="AK300" s="1">
        <f t="shared" si="16"/>
        <v>129575.6</v>
      </c>
      <c r="AL300" s="2">
        <f t="shared" si="17"/>
        <v>99.981172839506186</v>
      </c>
      <c r="AM300" s="16">
        <f t="shared" si="18"/>
        <v>129546.1</v>
      </c>
      <c r="AN300" s="2">
        <f t="shared" si="19"/>
        <v>99.958410493827159</v>
      </c>
    </row>
    <row r="301" spans="1:40" x14ac:dyDescent="0.35">
      <c r="A301" s="14" t="s">
        <v>27</v>
      </c>
      <c r="B301" s="14" t="s">
        <v>28</v>
      </c>
      <c r="C301" s="14" t="s">
        <v>127</v>
      </c>
      <c r="D301" s="14" t="s">
        <v>599</v>
      </c>
      <c r="E301" s="14" t="s">
        <v>193</v>
      </c>
      <c r="F301" s="14" t="s">
        <v>32</v>
      </c>
      <c r="G301" s="14" t="s">
        <v>33</v>
      </c>
      <c r="H301" s="14" t="s">
        <v>964</v>
      </c>
      <c r="I301" s="14" t="s">
        <v>601</v>
      </c>
      <c r="J301" s="14" t="s">
        <v>601</v>
      </c>
      <c r="K301" s="14" t="s">
        <v>204</v>
      </c>
      <c r="L301" s="14" t="s">
        <v>973</v>
      </c>
      <c r="M301" s="14" t="s">
        <v>600</v>
      </c>
      <c r="N301" s="14" t="s">
        <v>974</v>
      </c>
      <c r="O301" s="14" t="s">
        <v>991</v>
      </c>
      <c r="P301" s="14"/>
      <c r="Q301" s="14" t="s">
        <v>196</v>
      </c>
      <c r="R301" s="14" t="s">
        <v>36</v>
      </c>
      <c r="S301" s="14" t="s">
        <v>37</v>
      </c>
      <c r="T301" s="14" t="s">
        <v>64</v>
      </c>
      <c r="U301" s="14" t="s">
        <v>246</v>
      </c>
      <c r="V301" s="22">
        <v>46204.612291666665</v>
      </c>
      <c r="W301" s="22">
        <v>46205.334027777775</v>
      </c>
      <c r="X301" s="15">
        <v>1039.3</v>
      </c>
      <c r="Y301" s="22">
        <v>46204.612303240741</v>
      </c>
      <c r="Z301" s="15">
        <v>0.02</v>
      </c>
      <c r="AA301" s="15">
        <v>30</v>
      </c>
      <c r="AB301" s="15" t="s">
        <v>40</v>
      </c>
      <c r="AC301" s="22">
        <v>46204.624664351853</v>
      </c>
      <c r="AD301" s="22">
        <v>46205.333414351851</v>
      </c>
      <c r="AE301" s="15">
        <v>1020.6</v>
      </c>
      <c r="AF301" s="15">
        <v>18.7</v>
      </c>
      <c r="AG301" s="15">
        <v>120</v>
      </c>
      <c r="AH301" s="15" t="s">
        <v>40</v>
      </c>
      <c r="AI301" s="14"/>
      <c r="AJ301" s="16">
        <v>129600</v>
      </c>
      <c r="AK301" s="1">
        <f t="shared" si="16"/>
        <v>129581.3</v>
      </c>
      <c r="AL301" s="2">
        <f t="shared" si="17"/>
        <v>99.985570987654327</v>
      </c>
      <c r="AM301" s="16">
        <f t="shared" si="18"/>
        <v>128579.4</v>
      </c>
      <c r="AN301" s="2">
        <f t="shared" si="19"/>
        <v>99.212499999999991</v>
      </c>
    </row>
    <row r="302" spans="1:40" x14ac:dyDescent="0.35">
      <c r="A302" s="14" t="s">
        <v>27</v>
      </c>
      <c r="B302" s="14" t="s">
        <v>94</v>
      </c>
      <c r="C302" s="14" t="s">
        <v>73</v>
      </c>
      <c r="D302" s="14" t="s">
        <v>840</v>
      </c>
      <c r="E302" s="14" t="s">
        <v>841</v>
      </c>
      <c r="F302" s="14" t="s">
        <v>32</v>
      </c>
      <c r="G302" s="14" t="s">
        <v>842</v>
      </c>
      <c r="H302" s="14" t="s">
        <v>964</v>
      </c>
      <c r="I302" s="14" t="s">
        <v>843</v>
      </c>
      <c r="J302" s="14" t="s">
        <v>843</v>
      </c>
      <c r="K302" s="14" t="s">
        <v>1031</v>
      </c>
      <c r="L302" s="14" t="s">
        <v>967</v>
      </c>
      <c r="M302" s="14" t="s">
        <v>1032</v>
      </c>
      <c r="N302" s="14" t="s">
        <v>1015</v>
      </c>
      <c r="O302" s="14" t="s">
        <v>1008</v>
      </c>
      <c r="P302" s="14" t="s">
        <v>843</v>
      </c>
      <c r="Q302" s="14" t="s">
        <v>839</v>
      </c>
      <c r="R302" s="14" t="s">
        <v>844</v>
      </c>
      <c r="S302" s="14" t="s">
        <v>390</v>
      </c>
      <c r="T302" s="14" t="s">
        <v>845</v>
      </c>
      <c r="U302" s="14" t="s">
        <v>846</v>
      </c>
      <c r="V302" s="22">
        <v>46204.747604166667</v>
      </c>
      <c r="W302" s="22">
        <v>46211.522916666669</v>
      </c>
      <c r="X302" s="15">
        <v>9756.4500000000007</v>
      </c>
      <c r="Y302" s="22">
        <v>46204.747604166667</v>
      </c>
      <c r="Z302" s="15">
        <v>0</v>
      </c>
      <c r="AA302" s="15">
        <v>30</v>
      </c>
      <c r="AB302" s="15"/>
      <c r="AC302" s="22">
        <v>46204.767800925925</v>
      </c>
      <c r="AD302" s="22">
        <v>46211.518946759257</v>
      </c>
      <c r="AE302" s="15">
        <v>9721.65</v>
      </c>
      <c r="AF302" s="15">
        <v>34.799999999999997</v>
      </c>
      <c r="AG302" s="15">
        <v>1440</v>
      </c>
      <c r="AH302" s="15"/>
      <c r="AI302" s="14"/>
      <c r="AJ302" s="16">
        <v>129600</v>
      </c>
      <c r="AK302" s="1">
        <f t="shared" si="16"/>
        <v>129565.2</v>
      </c>
      <c r="AL302" s="2">
        <f t="shared" si="17"/>
        <v>99.973148148148155</v>
      </c>
      <c r="AM302" s="16">
        <f t="shared" si="18"/>
        <v>119878.35</v>
      </c>
      <c r="AN302" s="2">
        <f t="shared" si="19"/>
        <v>92.498726851851856</v>
      </c>
    </row>
    <row r="303" spans="1:40" x14ac:dyDescent="0.35">
      <c r="A303" s="14" t="s">
        <v>27</v>
      </c>
      <c r="B303" s="14" t="s">
        <v>28</v>
      </c>
      <c r="C303" s="14" t="s">
        <v>47</v>
      </c>
      <c r="D303" s="14" t="s">
        <v>912</v>
      </c>
      <c r="E303" s="14" t="s">
        <v>913</v>
      </c>
      <c r="F303" s="14" t="s">
        <v>32</v>
      </c>
      <c r="G303" s="14" t="s">
        <v>312</v>
      </c>
      <c r="H303" s="14" t="s">
        <v>966</v>
      </c>
      <c r="I303" s="14"/>
      <c r="J303" s="14" t="s">
        <v>76</v>
      </c>
      <c r="K303" s="14" t="s">
        <v>988</v>
      </c>
      <c r="L303" s="14" t="s">
        <v>967</v>
      </c>
      <c r="M303" s="14" t="s">
        <v>75</v>
      </c>
      <c r="N303" s="14" t="s">
        <v>971</v>
      </c>
      <c r="O303" s="14" t="s">
        <v>982</v>
      </c>
      <c r="P303" s="14"/>
      <c r="Q303" s="14" t="s">
        <v>872</v>
      </c>
      <c r="R303" s="14" t="s">
        <v>36</v>
      </c>
      <c r="S303" s="14" t="s">
        <v>279</v>
      </c>
      <c r="T303" s="14"/>
      <c r="U303" s="14" t="s">
        <v>914</v>
      </c>
      <c r="V303" s="22">
        <v>46206.529976851853</v>
      </c>
      <c r="W303" s="22">
        <v>46206.541666666664</v>
      </c>
      <c r="X303" s="15">
        <v>16.829999999999998</v>
      </c>
      <c r="Y303" s="22">
        <v>46206.529976851853</v>
      </c>
      <c r="Z303" s="15">
        <v>0</v>
      </c>
      <c r="AA303" s="15">
        <v>30</v>
      </c>
      <c r="AB303" s="15" t="s">
        <v>40</v>
      </c>
      <c r="AC303" s="15"/>
      <c r="AD303" s="15"/>
      <c r="AE303" s="15">
        <v>0</v>
      </c>
      <c r="AF303" s="15">
        <v>16.829999999999998</v>
      </c>
      <c r="AG303" s="15">
        <v>2880</v>
      </c>
      <c r="AH303" s="15" t="s">
        <v>40</v>
      </c>
      <c r="AI303" s="14"/>
      <c r="AJ303" s="16">
        <v>129600</v>
      </c>
      <c r="AK303" s="1">
        <f t="shared" si="16"/>
        <v>129583.17</v>
      </c>
      <c r="AL303" s="2">
        <f t="shared" si="17"/>
        <v>99.987013888888882</v>
      </c>
      <c r="AM303" s="16">
        <f t="shared" si="18"/>
        <v>129600</v>
      </c>
      <c r="AN303" s="2">
        <f t="shared" si="19"/>
        <v>100</v>
      </c>
    </row>
    <row r="304" spans="1:40" x14ac:dyDescent="0.35">
      <c r="A304" s="14" t="s">
        <v>27</v>
      </c>
      <c r="B304" s="14" t="s">
        <v>28</v>
      </c>
      <c r="C304" s="14" t="s">
        <v>41</v>
      </c>
      <c r="D304" s="14" t="s">
        <v>232</v>
      </c>
      <c r="E304" s="14" t="s">
        <v>193</v>
      </c>
      <c r="F304" s="14" t="s">
        <v>32</v>
      </c>
      <c r="G304" s="14" t="s">
        <v>33</v>
      </c>
      <c r="H304" s="14" t="s">
        <v>966</v>
      </c>
      <c r="I304" s="14" t="s">
        <v>233</v>
      </c>
      <c r="J304" s="14" t="s">
        <v>233</v>
      </c>
      <c r="K304" s="14" t="s">
        <v>204</v>
      </c>
      <c r="L304" s="14" t="s">
        <v>973</v>
      </c>
      <c r="M304" s="14">
        <v>0</v>
      </c>
      <c r="N304" s="14" t="s">
        <v>979</v>
      </c>
      <c r="O304" s="14" t="s">
        <v>1027</v>
      </c>
      <c r="P304" s="14"/>
      <c r="Q304" s="14" t="s">
        <v>196</v>
      </c>
      <c r="R304" s="14" t="s">
        <v>36</v>
      </c>
      <c r="S304" s="14" t="s">
        <v>104</v>
      </c>
      <c r="T304" s="14" t="s">
        <v>234</v>
      </c>
      <c r="U304" s="14" t="s">
        <v>235</v>
      </c>
      <c r="V304" s="22">
        <v>46206.775023148148</v>
      </c>
      <c r="W304" s="22">
        <v>46210.365277777775</v>
      </c>
      <c r="X304" s="15">
        <v>5169.97</v>
      </c>
      <c r="Y304" s="22">
        <v>46206.775034722225</v>
      </c>
      <c r="Z304" s="15">
        <v>0.02</v>
      </c>
      <c r="AA304" s="15">
        <v>30</v>
      </c>
      <c r="AB304" s="15" t="s">
        <v>40</v>
      </c>
      <c r="AC304" s="22">
        <v>46206.777337962965</v>
      </c>
      <c r="AD304" s="22">
        <v>46210.360856481479</v>
      </c>
      <c r="AE304" s="15">
        <v>5160.2700000000004</v>
      </c>
      <c r="AF304" s="15">
        <v>9.6999999999999993</v>
      </c>
      <c r="AG304" s="15">
        <v>120</v>
      </c>
      <c r="AH304" s="15" t="s">
        <v>40</v>
      </c>
      <c r="AI304" s="14"/>
      <c r="AJ304" s="16">
        <v>129600</v>
      </c>
      <c r="AK304" s="1">
        <f t="shared" si="16"/>
        <v>129590.3</v>
      </c>
      <c r="AL304" s="2">
        <f t="shared" si="17"/>
        <v>99.99251543209877</v>
      </c>
      <c r="AM304" s="16">
        <f t="shared" si="18"/>
        <v>124439.73</v>
      </c>
      <c r="AN304" s="2">
        <f t="shared" si="19"/>
        <v>96.018310185185186</v>
      </c>
    </row>
    <row r="305" spans="1:40" x14ac:dyDescent="0.35">
      <c r="A305" s="14" t="s">
        <v>27</v>
      </c>
      <c r="B305" s="14" t="s">
        <v>28</v>
      </c>
      <c r="C305" s="14" t="s">
        <v>65</v>
      </c>
      <c r="D305" s="14" t="s">
        <v>819</v>
      </c>
      <c r="E305" s="14" t="s">
        <v>193</v>
      </c>
      <c r="F305" s="14" t="s">
        <v>32</v>
      </c>
      <c r="G305" s="14" t="s">
        <v>33</v>
      </c>
      <c r="H305" s="14" t="s">
        <v>964</v>
      </c>
      <c r="I305" s="14" t="s">
        <v>434</v>
      </c>
      <c r="J305" s="14" t="s">
        <v>434</v>
      </c>
      <c r="K305" s="14" t="s">
        <v>204</v>
      </c>
      <c r="L305" s="14" t="s">
        <v>973</v>
      </c>
      <c r="M305" s="14" t="s">
        <v>433</v>
      </c>
      <c r="N305" s="14" t="s">
        <v>974</v>
      </c>
      <c r="O305" s="14" t="s">
        <v>991</v>
      </c>
      <c r="P305" s="14"/>
      <c r="Q305" s="14" t="s">
        <v>196</v>
      </c>
      <c r="R305" s="14" t="s">
        <v>36</v>
      </c>
      <c r="S305" s="14" t="s">
        <v>37</v>
      </c>
      <c r="T305" s="14" t="s">
        <v>59</v>
      </c>
      <c r="U305" s="14" t="s">
        <v>288</v>
      </c>
      <c r="V305" s="22">
        <v>46207.000162037039</v>
      </c>
      <c r="W305" s="22">
        <v>46207.011111111111</v>
      </c>
      <c r="X305" s="15">
        <v>15.77</v>
      </c>
      <c r="Y305" s="22">
        <v>46207.000162037039</v>
      </c>
      <c r="Z305" s="15">
        <v>0</v>
      </c>
      <c r="AA305" s="15">
        <v>30</v>
      </c>
      <c r="AB305" s="15" t="s">
        <v>40</v>
      </c>
      <c r="AC305" s="22">
        <v>46207.003032407411</v>
      </c>
      <c r="AD305" s="22">
        <v>46207.01053240741</v>
      </c>
      <c r="AE305" s="15">
        <v>10.8</v>
      </c>
      <c r="AF305" s="15">
        <v>4.97</v>
      </c>
      <c r="AG305" s="15">
        <v>120</v>
      </c>
      <c r="AH305" s="15" t="s">
        <v>40</v>
      </c>
      <c r="AI305" s="14"/>
      <c r="AJ305" s="16">
        <v>129600</v>
      </c>
      <c r="AK305" s="1">
        <f t="shared" si="16"/>
        <v>129595.03</v>
      </c>
      <c r="AL305" s="2">
        <f t="shared" si="17"/>
        <v>99.996165123456791</v>
      </c>
      <c r="AM305" s="16">
        <f t="shared" si="18"/>
        <v>129589.2</v>
      </c>
      <c r="AN305" s="2">
        <f t="shared" si="19"/>
        <v>99.991666666666674</v>
      </c>
    </row>
    <row r="306" spans="1:40" x14ac:dyDescent="0.35">
      <c r="A306" s="14" t="s">
        <v>27</v>
      </c>
      <c r="B306" s="14" t="s">
        <v>28</v>
      </c>
      <c r="C306" s="14" t="s">
        <v>65</v>
      </c>
      <c r="D306" s="14" t="s">
        <v>400</v>
      </c>
      <c r="E306" s="14" t="s">
        <v>193</v>
      </c>
      <c r="F306" s="14" t="s">
        <v>32</v>
      </c>
      <c r="G306" s="14" t="s">
        <v>33</v>
      </c>
      <c r="H306" s="14" t="s">
        <v>964</v>
      </c>
      <c r="I306" s="14" t="s">
        <v>402</v>
      </c>
      <c r="J306" s="14" t="s">
        <v>402</v>
      </c>
      <c r="K306" s="14" t="s">
        <v>204</v>
      </c>
      <c r="L306" s="14" t="s">
        <v>973</v>
      </c>
      <c r="M306" s="14" t="s">
        <v>401</v>
      </c>
      <c r="N306" s="14" t="s">
        <v>974</v>
      </c>
      <c r="O306" s="14" t="s">
        <v>991</v>
      </c>
      <c r="P306" s="14"/>
      <c r="Q306" s="14" t="s">
        <v>196</v>
      </c>
      <c r="R306" s="14" t="s">
        <v>36</v>
      </c>
      <c r="S306" s="14" t="s">
        <v>37</v>
      </c>
      <c r="T306" s="14" t="s">
        <v>59</v>
      </c>
      <c r="U306" s="14" t="s">
        <v>288</v>
      </c>
      <c r="V306" s="22">
        <v>46207.0002662037</v>
      </c>
      <c r="W306" s="22">
        <v>46207.008333333331</v>
      </c>
      <c r="X306" s="15">
        <v>11.62</v>
      </c>
      <c r="Y306" s="22">
        <v>46207.000277777777</v>
      </c>
      <c r="Z306" s="15">
        <v>0.02</v>
      </c>
      <c r="AA306" s="15">
        <v>30</v>
      </c>
      <c r="AB306" s="15" t="s">
        <v>40</v>
      </c>
      <c r="AC306" s="22">
        <v>46207.004166666666</v>
      </c>
      <c r="AD306" s="22">
        <v>46207.007268518515</v>
      </c>
      <c r="AE306" s="15">
        <v>4.47</v>
      </c>
      <c r="AF306" s="15">
        <v>7.15</v>
      </c>
      <c r="AG306" s="15">
        <v>120</v>
      </c>
      <c r="AH306" s="15" t="s">
        <v>40</v>
      </c>
      <c r="AI306" s="14"/>
      <c r="AJ306" s="16">
        <v>129600</v>
      </c>
      <c r="AK306" s="1">
        <f t="shared" si="16"/>
        <v>129592.85</v>
      </c>
      <c r="AL306" s="2">
        <f t="shared" si="17"/>
        <v>99.994483024691363</v>
      </c>
      <c r="AM306" s="16">
        <f t="shared" si="18"/>
        <v>129595.53</v>
      </c>
      <c r="AN306" s="2">
        <f t="shared" si="19"/>
        <v>99.996550925925916</v>
      </c>
    </row>
    <row r="307" spans="1:40" x14ac:dyDescent="0.35">
      <c r="A307" s="14" t="s">
        <v>27</v>
      </c>
      <c r="B307" s="14" t="s">
        <v>28</v>
      </c>
      <c r="C307" s="14" t="s">
        <v>65</v>
      </c>
      <c r="D307" s="14" t="s">
        <v>373</v>
      </c>
      <c r="E307" s="14" t="s">
        <v>218</v>
      </c>
      <c r="F307" s="14" t="s">
        <v>32</v>
      </c>
      <c r="G307" s="14" t="s">
        <v>33</v>
      </c>
      <c r="H307" s="14" t="s">
        <v>963</v>
      </c>
      <c r="I307" s="14" t="s">
        <v>103</v>
      </c>
      <c r="J307" s="14" t="s">
        <v>103</v>
      </c>
      <c r="K307" s="14" t="s">
        <v>976</v>
      </c>
      <c r="L307" s="14" t="s">
        <v>967</v>
      </c>
      <c r="M307" s="14" t="s">
        <v>102</v>
      </c>
      <c r="N307" s="14" t="s">
        <v>977</v>
      </c>
      <c r="O307" s="14" t="s">
        <v>978</v>
      </c>
      <c r="P307" s="14"/>
      <c r="Q307" s="14" t="s">
        <v>196</v>
      </c>
      <c r="R307" s="14" t="s">
        <v>36</v>
      </c>
      <c r="S307" s="14" t="s">
        <v>221</v>
      </c>
      <c r="T307" s="14" t="s">
        <v>374</v>
      </c>
      <c r="U307" s="14" t="s">
        <v>375</v>
      </c>
      <c r="V307" s="22">
        <v>46207.046747685185</v>
      </c>
      <c r="W307" s="22">
        <v>46211.435416666667</v>
      </c>
      <c r="X307" s="15">
        <v>6319.68</v>
      </c>
      <c r="Y307" s="22">
        <v>46207.046759259261</v>
      </c>
      <c r="Z307" s="15">
        <v>0.02</v>
      </c>
      <c r="AA307" s="15">
        <v>30</v>
      </c>
      <c r="AB307" s="15" t="s">
        <v>40</v>
      </c>
      <c r="AC307" s="22">
        <v>46207.048125000001</v>
      </c>
      <c r="AD307" s="22">
        <v>46211.433854166666</v>
      </c>
      <c r="AE307" s="15">
        <v>6315.45</v>
      </c>
      <c r="AF307" s="15">
        <v>4.2300000000000004</v>
      </c>
      <c r="AG307" s="15">
        <v>120</v>
      </c>
      <c r="AH307" s="15" t="s">
        <v>40</v>
      </c>
      <c r="AI307" s="14"/>
      <c r="AJ307" s="16">
        <v>129600</v>
      </c>
      <c r="AK307" s="1">
        <f t="shared" si="16"/>
        <v>129595.77</v>
      </c>
      <c r="AL307" s="2">
        <f t="shared" si="17"/>
        <v>99.996736111111119</v>
      </c>
      <c r="AM307" s="16">
        <f t="shared" si="18"/>
        <v>123284.55</v>
      </c>
      <c r="AN307" s="2">
        <f t="shared" si="19"/>
        <v>95.126967592592592</v>
      </c>
    </row>
    <row r="308" spans="1:40" x14ac:dyDescent="0.35">
      <c r="A308" s="14" t="s">
        <v>27</v>
      </c>
      <c r="B308" s="14" t="s">
        <v>28</v>
      </c>
      <c r="C308" s="14" t="s">
        <v>54</v>
      </c>
      <c r="D308" s="14" t="s">
        <v>515</v>
      </c>
      <c r="E308" s="14" t="s">
        <v>193</v>
      </c>
      <c r="F308" s="14" t="s">
        <v>32</v>
      </c>
      <c r="G308" s="14" t="s">
        <v>33</v>
      </c>
      <c r="H308" s="14" t="s">
        <v>984</v>
      </c>
      <c r="I308" s="14" t="s">
        <v>517</v>
      </c>
      <c r="J308" s="14" t="s">
        <v>517</v>
      </c>
      <c r="K308" s="14" t="s">
        <v>204</v>
      </c>
      <c r="L308" s="14" t="s">
        <v>973</v>
      </c>
      <c r="M308" s="14" t="s">
        <v>516</v>
      </c>
      <c r="N308" s="14" t="s">
        <v>974</v>
      </c>
      <c r="O308" s="14" t="s">
        <v>991</v>
      </c>
      <c r="P308" s="14"/>
      <c r="Q308" s="14" t="s">
        <v>196</v>
      </c>
      <c r="R308" s="14" t="s">
        <v>36</v>
      </c>
      <c r="S308" s="14" t="s">
        <v>37</v>
      </c>
      <c r="T308" s="14" t="s">
        <v>58</v>
      </c>
      <c r="U308" s="14" t="s">
        <v>246</v>
      </c>
      <c r="V308" s="22">
        <v>46207.477847222224</v>
      </c>
      <c r="W308" s="22">
        <v>46211.513888888891</v>
      </c>
      <c r="X308" s="15">
        <v>5811.9</v>
      </c>
      <c r="Y308" s="22">
        <v>46207.477858796294</v>
      </c>
      <c r="Z308" s="15">
        <v>0.02</v>
      </c>
      <c r="AA308" s="15">
        <v>30</v>
      </c>
      <c r="AB308" s="15" t="s">
        <v>40</v>
      </c>
      <c r="AC308" s="22">
        <v>46207.485821759263</v>
      </c>
      <c r="AD308" s="22">
        <v>46211.513078703705</v>
      </c>
      <c r="AE308" s="15">
        <v>5799.25</v>
      </c>
      <c r="AF308" s="15">
        <v>12.65</v>
      </c>
      <c r="AG308" s="15">
        <v>120</v>
      </c>
      <c r="AH308" s="15" t="s">
        <v>40</v>
      </c>
      <c r="AI308" s="14"/>
      <c r="AJ308" s="16">
        <v>129600</v>
      </c>
      <c r="AK308" s="1">
        <f t="shared" si="16"/>
        <v>129587.35</v>
      </c>
      <c r="AL308" s="2">
        <f t="shared" si="17"/>
        <v>99.990239197530869</v>
      </c>
      <c r="AM308" s="16">
        <f t="shared" si="18"/>
        <v>123800.75</v>
      </c>
      <c r="AN308" s="2">
        <f t="shared" si="19"/>
        <v>95.525270061728392</v>
      </c>
    </row>
    <row r="309" spans="1:40" x14ac:dyDescent="0.35">
      <c r="A309" s="14" t="s">
        <v>27</v>
      </c>
      <c r="B309" s="14" t="s">
        <v>28</v>
      </c>
      <c r="C309" s="14" t="s">
        <v>54</v>
      </c>
      <c r="D309" s="14" t="s">
        <v>766</v>
      </c>
      <c r="E309" s="14" t="s">
        <v>193</v>
      </c>
      <c r="F309" s="14" t="s">
        <v>32</v>
      </c>
      <c r="G309" s="14" t="s">
        <v>33</v>
      </c>
      <c r="H309" s="14" t="s">
        <v>964</v>
      </c>
      <c r="I309" s="14" t="s">
        <v>266</v>
      </c>
      <c r="J309" s="14" t="s">
        <v>266</v>
      </c>
      <c r="K309" s="14" t="s">
        <v>204</v>
      </c>
      <c r="L309" s="14" t="s">
        <v>973</v>
      </c>
      <c r="M309" s="14" t="s">
        <v>265</v>
      </c>
      <c r="N309" s="14" t="s">
        <v>974</v>
      </c>
      <c r="O309" s="14" t="s">
        <v>991</v>
      </c>
      <c r="P309" s="14"/>
      <c r="Q309" s="14" t="s">
        <v>196</v>
      </c>
      <c r="R309" s="14" t="s">
        <v>36</v>
      </c>
      <c r="S309" s="14" t="s">
        <v>37</v>
      </c>
      <c r="T309" s="14" t="s">
        <v>58</v>
      </c>
      <c r="U309" s="14" t="s">
        <v>767</v>
      </c>
      <c r="V309" s="22">
        <v>46207.490081018521</v>
      </c>
      <c r="W309" s="22">
        <v>46207.788888888892</v>
      </c>
      <c r="X309" s="15">
        <v>430.28</v>
      </c>
      <c r="Y309" s="22">
        <v>46207.49009259259</v>
      </c>
      <c r="Z309" s="15">
        <v>0.02</v>
      </c>
      <c r="AA309" s="15">
        <v>30</v>
      </c>
      <c r="AB309" s="15" t="s">
        <v>40</v>
      </c>
      <c r="AC309" s="22">
        <v>46207.501759259256</v>
      </c>
      <c r="AD309" s="22">
        <v>46207.783738425926</v>
      </c>
      <c r="AE309" s="15">
        <v>406.05</v>
      </c>
      <c r="AF309" s="15">
        <v>24.23</v>
      </c>
      <c r="AG309" s="15">
        <v>120</v>
      </c>
      <c r="AH309" s="15" t="s">
        <v>40</v>
      </c>
      <c r="AI309" s="14"/>
      <c r="AJ309" s="16">
        <v>129600</v>
      </c>
      <c r="AK309" s="1">
        <f t="shared" si="16"/>
        <v>129575.77</v>
      </c>
      <c r="AL309" s="2">
        <f t="shared" si="17"/>
        <v>99.981304012345689</v>
      </c>
      <c r="AM309" s="16">
        <f t="shared" si="18"/>
        <v>129193.95</v>
      </c>
      <c r="AN309" s="2">
        <f t="shared" si="19"/>
        <v>99.686689814814812</v>
      </c>
    </row>
    <row r="310" spans="1:40" x14ac:dyDescent="0.35">
      <c r="A310" s="14" t="s">
        <v>27</v>
      </c>
      <c r="B310" s="14" t="s">
        <v>28</v>
      </c>
      <c r="C310" s="14" t="s">
        <v>54</v>
      </c>
      <c r="D310" s="14" t="s">
        <v>546</v>
      </c>
      <c r="E310" s="14" t="s">
        <v>193</v>
      </c>
      <c r="F310" s="14" t="s">
        <v>32</v>
      </c>
      <c r="G310" s="14" t="s">
        <v>33</v>
      </c>
      <c r="H310" s="14" t="s">
        <v>964</v>
      </c>
      <c r="I310" s="14" t="s">
        <v>294</v>
      </c>
      <c r="J310" s="14" t="s">
        <v>294</v>
      </c>
      <c r="K310" s="14" t="s">
        <v>204</v>
      </c>
      <c r="L310" s="14" t="s">
        <v>973</v>
      </c>
      <c r="M310" s="14" t="s">
        <v>293</v>
      </c>
      <c r="N310" s="14" t="s">
        <v>974</v>
      </c>
      <c r="O310" s="14" t="s">
        <v>991</v>
      </c>
      <c r="P310" s="14"/>
      <c r="Q310" s="14" t="s">
        <v>196</v>
      </c>
      <c r="R310" s="14" t="s">
        <v>36</v>
      </c>
      <c r="S310" s="14" t="s">
        <v>37</v>
      </c>
      <c r="T310" s="14" t="s">
        <v>58</v>
      </c>
      <c r="U310" s="14" t="s">
        <v>272</v>
      </c>
      <c r="V310" s="22">
        <v>46207.49009259259</v>
      </c>
      <c r="W310" s="22">
        <v>46207.788888888892</v>
      </c>
      <c r="X310" s="15">
        <v>430.27</v>
      </c>
      <c r="Y310" s="22">
        <v>46207.490104166667</v>
      </c>
      <c r="Z310" s="15">
        <v>0.02</v>
      </c>
      <c r="AA310" s="15">
        <v>30</v>
      </c>
      <c r="AB310" s="15" t="s">
        <v>40</v>
      </c>
      <c r="AC310" s="22">
        <v>46207.500023148146</v>
      </c>
      <c r="AD310" s="22">
        <v>46207.785092592596</v>
      </c>
      <c r="AE310" s="15">
        <v>410.5</v>
      </c>
      <c r="AF310" s="15">
        <v>19.77</v>
      </c>
      <c r="AG310" s="15">
        <v>120</v>
      </c>
      <c r="AH310" s="15" t="s">
        <v>40</v>
      </c>
      <c r="AI310" s="14"/>
      <c r="AJ310" s="16">
        <v>129600</v>
      </c>
      <c r="AK310" s="1">
        <f t="shared" si="16"/>
        <v>129580.23</v>
      </c>
      <c r="AL310" s="2">
        <f t="shared" si="17"/>
        <v>99.984745370370362</v>
      </c>
      <c r="AM310" s="16">
        <f t="shared" si="18"/>
        <v>129189.5</v>
      </c>
      <c r="AN310" s="2">
        <f t="shared" si="19"/>
        <v>99.683256172839506</v>
      </c>
    </row>
    <row r="311" spans="1:40" x14ac:dyDescent="0.35">
      <c r="A311" s="14" t="s">
        <v>27</v>
      </c>
      <c r="B311" s="14" t="s">
        <v>28</v>
      </c>
      <c r="C311" s="14" t="s">
        <v>54</v>
      </c>
      <c r="D311" s="14" t="s">
        <v>448</v>
      </c>
      <c r="E311" s="14" t="s">
        <v>193</v>
      </c>
      <c r="F311" s="14" t="s">
        <v>32</v>
      </c>
      <c r="G311" s="14" t="s">
        <v>33</v>
      </c>
      <c r="H311" s="14" t="s">
        <v>964</v>
      </c>
      <c r="I311" s="14" t="s">
        <v>195</v>
      </c>
      <c r="J311" s="14" t="s">
        <v>195</v>
      </c>
      <c r="K311" s="14" t="s">
        <v>204</v>
      </c>
      <c r="L311" s="14" t="s">
        <v>973</v>
      </c>
      <c r="M311" s="14" t="s">
        <v>194</v>
      </c>
      <c r="N311" s="14" t="s">
        <v>974</v>
      </c>
      <c r="O311" s="14" t="s">
        <v>991</v>
      </c>
      <c r="P311" s="14"/>
      <c r="Q311" s="14" t="s">
        <v>196</v>
      </c>
      <c r="R311" s="14" t="s">
        <v>36</v>
      </c>
      <c r="S311" s="14" t="s">
        <v>37</v>
      </c>
      <c r="T311" s="14" t="s">
        <v>58</v>
      </c>
      <c r="U311" s="14" t="s">
        <v>449</v>
      </c>
      <c r="V311" s="22">
        <v>46207.490104166667</v>
      </c>
      <c r="W311" s="22">
        <v>46207.829861111109</v>
      </c>
      <c r="X311" s="15">
        <v>489.25</v>
      </c>
      <c r="Y311" s="22">
        <v>46207.490115740744</v>
      </c>
      <c r="Z311" s="15">
        <v>0.02</v>
      </c>
      <c r="AA311" s="15">
        <v>30</v>
      </c>
      <c r="AB311" s="15" t="s">
        <v>40</v>
      </c>
      <c r="AC311" s="22">
        <v>46207.503472222219</v>
      </c>
      <c r="AD311" s="22">
        <v>46207.821782407409</v>
      </c>
      <c r="AE311" s="15">
        <v>458.37</v>
      </c>
      <c r="AF311" s="15">
        <v>30.88</v>
      </c>
      <c r="AG311" s="15">
        <v>120</v>
      </c>
      <c r="AH311" s="15" t="s">
        <v>40</v>
      </c>
      <c r="AI311" s="14"/>
      <c r="AJ311" s="16">
        <v>129600</v>
      </c>
      <c r="AK311" s="1">
        <f t="shared" si="16"/>
        <v>129569.12</v>
      </c>
      <c r="AL311" s="2">
        <f t="shared" si="17"/>
        <v>99.976172839506177</v>
      </c>
      <c r="AM311" s="16">
        <f t="shared" si="18"/>
        <v>129141.63</v>
      </c>
      <c r="AN311" s="2">
        <f t="shared" si="19"/>
        <v>99.646319444444458</v>
      </c>
    </row>
    <row r="312" spans="1:40" x14ac:dyDescent="0.35">
      <c r="A312" s="14" t="s">
        <v>27</v>
      </c>
      <c r="B312" s="14" t="s">
        <v>28</v>
      </c>
      <c r="C312" s="14" t="s">
        <v>54</v>
      </c>
      <c r="D312" s="14" t="s">
        <v>472</v>
      </c>
      <c r="E312" s="14" t="s">
        <v>193</v>
      </c>
      <c r="F312" s="14" t="s">
        <v>32</v>
      </c>
      <c r="G312" s="14" t="s">
        <v>33</v>
      </c>
      <c r="H312" s="14" t="s">
        <v>964</v>
      </c>
      <c r="I312" s="14" t="s">
        <v>284</v>
      </c>
      <c r="J312" s="14" t="s">
        <v>284</v>
      </c>
      <c r="K312" s="14" t="s">
        <v>204</v>
      </c>
      <c r="L312" s="14" t="s">
        <v>973</v>
      </c>
      <c r="M312" s="14" t="s">
        <v>283</v>
      </c>
      <c r="N312" s="14" t="s">
        <v>974</v>
      </c>
      <c r="O312" s="14" t="s">
        <v>991</v>
      </c>
      <c r="P312" s="14"/>
      <c r="Q312" s="14" t="s">
        <v>196</v>
      </c>
      <c r="R312" s="14" t="s">
        <v>36</v>
      </c>
      <c r="S312" s="14" t="s">
        <v>37</v>
      </c>
      <c r="T312" s="14" t="s">
        <v>58</v>
      </c>
      <c r="U312" s="14" t="s">
        <v>272</v>
      </c>
      <c r="V312" s="22">
        <v>46207.490208333336</v>
      </c>
      <c r="W312" s="22">
        <v>46207.790277777778</v>
      </c>
      <c r="X312" s="15">
        <v>432.1</v>
      </c>
      <c r="Y312" s="22">
        <v>46207.490219907406</v>
      </c>
      <c r="Z312" s="15">
        <v>0.02</v>
      </c>
      <c r="AA312" s="15">
        <v>30</v>
      </c>
      <c r="AB312" s="15" t="s">
        <v>40</v>
      </c>
      <c r="AC312" s="22">
        <v>46207.504270833335</v>
      </c>
      <c r="AD312" s="22">
        <v>46207.78696759259</v>
      </c>
      <c r="AE312" s="15">
        <v>407.08</v>
      </c>
      <c r="AF312" s="15">
        <v>25.02</v>
      </c>
      <c r="AG312" s="15">
        <v>120</v>
      </c>
      <c r="AH312" s="15" t="s">
        <v>40</v>
      </c>
      <c r="AI312" s="14"/>
      <c r="AJ312" s="16">
        <v>129600</v>
      </c>
      <c r="AK312" s="1">
        <f t="shared" si="16"/>
        <v>129574.98</v>
      </c>
      <c r="AL312" s="2">
        <f t="shared" si="17"/>
        <v>99.980694444444438</v>
      </c>
      <c r="AM312" s="16">
        <f t="shared" si="18"/>
        <v>129192.92</v>
      </c>
      <c r="AN312" s="2">
        <f t="shared" si="19"/>
        <v>99.685895061728388</v>
      </c>
    </row>
    <row r="313" spans="1:40" x14ac:dyDescent="0.35">
      <c r="A313" s="14" t="s">
        <v>27</v>
      </c>
      <c r="B313" s="14" t="s">
        <v>28</v>
      </c>
      <c r="C313" s="14" t="s">
        <v>54</v>
      </c>
      <c r="D313" s="14" t="s">
        <v>682</v>
      </c>
      <c r="E313" s="14" t="s">
        <v>193</v>
      </c>
      <c r="F313" s="14" t="s">
        <v>32</v>
      </c>
      <c r="G313" s="14" t="s">
        <v>33</v>
      </c>
      <c r="H313" s="14" t="s">
        <v>964</v>
      </c>
      <c r="I313" s="14" t="s">
        <v>504</v>
      </c>
      <c r="J313" s="14" t="s">
        <v>504</v>
      </c>
      <c r="K313" s="14" t="s">
        <v>204</v>
      </c>
      <c r="L313" s="14" t="s">
        <v>973</v>
      </c>
      <c r="M313" s="14" t="s">
        <v>503</v>
      </c>
      <c r="N313" s="14" t="s">
        <v>990</v>
      </c>
      <c r="O313" s="14" t="s">
        <v>991</v>
      </c>
      <c r="P313" s="14"/>
      <c r="Q313" s="14" t="s">
        <v>196</v>
      </c>
      <c r="R313" s="14" t="s">
        <v>36</v>
      </c>
      <c r="S313" s="14" t="s">
        <v>37</v>
      </c>
      <c r="T313" s="14" t="s">
        <v>58</v>
      </c>
      <c r="U313" s="14" t="s">
        <v>272</v>
      </c>
      <c r="V313" s="22">
        <v>46207.492523148147</v>
      </c>
      <c r="W313" s="22">
        <v>46207.790277777778</v>
      </c>
      <c r="X313" s="15">
        <v>428.77</v>
      </c>
      <c r="Y313" s="22">
        <v>46207.492534722223</v>
      </c>
      <c r="Z313" s="15">
        <v>0.02</v>
      </c>
      <c r="AA313" s="15">
        <v>30</v>
      </c>
      <c r="AB313" s="15" t="s">
        <v>40</v>
      </c>
      <c r="AC313" s="22">
        <v>46207.505555555559</v>
      </c>
      <c r="AD313" s="22">
        <v>46207.788483796299</v>
      </c>
      <c r="AE313" s="15">
        <v>407.42</v>
      </c>
      <c r="AF313" s="15">
        <v>21.35</v>
      </c>
      <c r="AG313" s="15">
        <v>120</v>
      </c>
      <c r="AH313" s="15" t="s">
        <v>40</v>
      </c>
      <c r="AI313" s="14"/>
      <c r="AJ313" s="16">
        <v>129600</v>
      </c>
      <c r="AK313" s="1">
        <f t="shared" si="16"/>
        <v>129578.65</v>
      </c>
      <c r="AL313" s="2">
        <f t="shared" si="17"/>
        <v>99.983526234567904</v>
      </c>
      <c r="AM313" s="16">
        <f t="shared" si="18"/>
        <v>129192.58</v>
      </c>
      <c r="AN313" s="2">
        <f t="shared" si="19"/>
        <v>99.685632716049383</v>
      </c>
    </row>
    <row r="314" spans="1:40" x14ac:dyDescent="0.35">
      <c r="A314" s="14" t="s">
        <v>27</v>
      </c>
      <c r="B314" s="14" t="s">
        <v>28</v>
      </c>
      <c r="C314" s="14" t="s">
        <v>54</v>
      </c>
      <c r="D314" s="14" t="s">
        <v>836</v>
      </c>
      <c r="E314" s="14" t="s">
        <v>193</v>
      </c>
      <c r="F314" s="14" t="s">
        <v>32</v>
      </c>
      <c r="G314" s="14" t="s">
        <v>33</v>
      </c>
      <c r="H314" s="14" t="s">
        <v>964</v>
      </c>
      <c r="I314" s="14" t="s">
        <v>363</v>
      </c>
      <c r="J314" s="14" t="s">
        <v>363</v>
      </c>
      <c r="K314" s="14" t="s">
        <v>204</v>
      </c>
      <c r="L314" s="14" t="s">
        <v>973</v>
      </c>
      <c r="M314" s="14" t="s">
        <v>362</v>
      </c>
      <c r="N314" s="14" t="s">
        <v>990</v>
      </c>
      <c r="O314" s="14" t="s">
        <v>991</v>
      </c>
      <c r="P314" s="14"/>
      <c r="Q314" s="14" t="s">
        <v>196</v>
      </c>
      <c r="R314" s="14" t="s">
        <v>36</v>
      </c>
      <c r="S314" s="14" t="s">
        <v>37</v>
      </c>
      <c r="T314" s="14" t="s">
        <v>58</v>
      </c>
      <c r="U314" s="14" t="s">
        <v>272</v>
      </c>
      <c r="V314" s="22">
        <v>46207.492523148147</v>
      </c>
      <c r="W314" s="22">
        <v>46207.790972222225</v>
      </c>
      <c r="X314" s="15">
        <v>429.77</v>
      </c>
      <c r="Y314" s="22">
        <v>46207.492534722223</v>
      </c>
      <c r="Z314" s="15">
        <v>0.02</v>
      </c>
      <c r="AA314" s="15">
        <v>30</v>
      </c>
      <c r="AB314" s="15" t="s">
        <v>40</v>
      </c>
      <c r="AC314" s="22">
        <v>46207.506388888891</v>
      </c>
      <c r="AD314" s="22">
        <v>46207.789780092593</v>
      </c>
      <c r="AE314" s="15">
        <v>408.08</v>
      </c>
      <c r="AF314" s="15">
        <v>21.68</v>
      </c>
      <c r="AG314" s="15">
        <v>120</v>
      </c>
      <c r="AH314" s="15" t="s">
        <v>40</v>
      </c>
      <c r="AI314" s="14"/>
      <c r="AJ314" s="16">
        <v>129600</v>
      </c>
      <c r="AK314" s="1">
        <f t="shared" si="16"/>
        <v>129578.32</v>
      </c>
      <c r="AL314" s="2">
        <f t="shared" si="17"/>
        <v>99.983271604938267</v>
      </c>
      <c r="AM314" s="16">
        <f t="shared" si="18"/>
        <v>129191.92</v>
      </c>
      <c r="AN314" s="2">
        <f t="shared" si="19"/>
        <v>99.685123456790123</v>
      </c>
    </row>
    <row r="315" spans="1:40" x14ac:dyDescent="0.35">
      <c r="A315" s="14" t="s">
        <v>27</v>
      </c>
      <c r="B315" s="14" t="s">
        <v>28</v>
      </c>
      <c r="C315" s="14" t="s">
        <v>54</v>
      </c>
      <c r="D315" s="14" t="s">
        <v>753</v>
      </c>
      <c r="E315" s="14" t="s">
        <v>193</v>
      </c>
      <c r="F315" s="14" t="s">
        <v>32</v>
      </c>
      <c r="G315" s="14" t="s">
        <v>33</v>
      </c>
      <c r="H315" s="14" t="s">
        <v>964</v>
      </c>
      <c r="I315" s="14" t="s">
        <v>387</v>
      </c>
      <c r="J315" s="14" t="s">
        <v>387</v>
      </c>
      <c r="K315" s="14" t="s">
        <v>204</v>
      </c>
      <c r="L315" s="14" t="s">
        <v>973</v>
      </c>
      <c r="M315" s="14" t="s">
        <v>386</v>
      </c>
      <c r="N315" s="14" t="s">
        <v>974</v>
      </c>
      <c r="O315" s="14" t="s">
        <v>991</v>
      </c>
      <c r="P315" s="14"/>
      <c r="Q315" s="14" t="s">
        <v>196</v>
      </c>
      <c r="R315" s="14" t="s">
        <v>36</v>
      </c>
      <c r="S315" s="14" t="s">
        <v>104</v>
      </c>
      <c r="T315" s="14" t="s">
        <v>64</v>
      </c>
      <c r="U315" s="14" t="s">
        <v>754</v>
      </c>
      <c r="V315" s="22">
        <v>46207.753263888888</v>
      </c>
      <c r="W315" s="22">
        <v>46211.44027777778</v>
      </c>
      <c r="X315" s="15">
        <v>5309.3</v>
      </c>
      <c r="Y315" s="22">
        <v>46207.753275462965</v>
      </c>
      <c r="Z315" s="15">
        <v>0.02</v>
      </c>
      <c r="AA315" s="15">
        <v>30</v>
      </c>
      <c r="AB315" s="15" t="s">
        <v>40</v>
      </c>
      <c r="AC315" s="22">
        <v>46207.760127314818</v>
      </c>
      <c r="AD315" s="22">
        <v>46211.439247685186</v>
      </c>
      <c r="AE315" s="15">
        <v>5297.93</v>
      </c>
      <c r="AF315" s="15">
        <v>11.37</v>
      </c>
      <c r="AG315" s="15">
        <v>120</v>
      </c>
      <c r="AH315" s="15" t="s">
        <v>40</v>
      </c>
      <c r="AI315" s="14"/>
      <c r="AJ315" s="16">
        <v>129600</v>
      </c>
      <c r="AK315" s="1">
        <f t="shared" si="16"/>
        <v>129588.63</v>
      </c>
      <c r="AL315" s="2">
        <f t="shared" si="17"/>
        <v>99.991226851851849</v>
      </c>
      <c r="AM315" s="16">
        <f t="shared" si="18"/>
        <v>124302.07</v>
      </c>
      <c r="AN315" s="2">
        <f t="shared" si="19"/>
        <v>95.912091049382724</v>
      </c>
    </row>
    <row r="316" spans="1:40" x14ac:dyDescent="0.35">
      <c r="A316" s="14" t="s">
        <v>27</v>
      </c>
      <c r="B316" s="14" t="s">
        <v>28</v>
      </c>
      <c r="C316" s="14" t="s">
        <v>54</v>
      </c>
      <c r="D316" s="14" t="s">
        <v>271</v>
      </c>
      <c r="E316" s="14" t="s">
        <v>193</v>
      </c>
      <c r="F316" s="14" t="s">
        <v>32</v>
      </c>
      <c r="G316" s="14" t="s">
        <v>33</v>
      </c>
      <c r="H316" s="14" t="s">
        <v>964</v>
      </c>
      <c r="I316" s="14" t="s">
        <v>195</v>
      </c>
      <c r="J316" s="14" t="s">
        <v>195</v>
      </c>
      <c r="K316" s="14" t="s">
        <v>204</v>
      </c>
      <c r="L316" s="14" t="s">
        <v>973</v>
      </c>
      <c r="M316" s="14" t="s">
        <v>194</v>
      </c>
      <c r="N316" s="14" t="s">
        <v>974</v>
      </c>
      <c r="O316" s="14" t="s">
        <v>991</v>
      </c>
      <c r="P316" s="14"/>
      <c r="Q316" s="14" t="s">
        <v>196</v>
      </c>
      <c r="R316" s="14" t="s">
        <v>36</v>
      </c>
      <c r="S316" s="14" t="s">
        <v>37</v>
      </c>
      <c r="T316" s="14" t="s">
        <v>59</v>
      </c>
      <c r="U316" s="14" t="s">
        <v>272</v>
      </c>
      <c r="V316" s="22">
        <v>46207.784872685188</v>
      </c>
      <c r="W316" s="22">
        <v>46207.826388888891</v>
      </c>
      <c r="X316" s="15">
        <v>59.78</v>
      </c>
      <c r="Y316" s="22">
        <v>46207.784884259258</v>
      </c>
      <c r="Z316" s="15">
        <v>0.02</v>
      </c>
      <c r="AA316" s="15">
        <v>30</v>
      </c>
      <c r="AB316" s="15" t="s">
        <v>40</v>
      </c>
      <c r="AC316" s="22">
        <v>46207.788645833331</v>
      </c>
      <c r="AD316" s="22">
        <v>46207.819930555554</v>
      </c>
      <c r="AE316" s="15">
        <v>45.05</v>
      </c>
      <c r="AF316" s="15">
        <v>14.73</v>
      </c>
      <c r="AG316" s="15">
        <v>120</v>
      </c>
      <c r="AH316" s="15" t="s">
        <v>40</v>
      </c>
      <c r="AI316" s="14"/>
      <c r="AJ316" s="16">
        <v>129600</v>
      </c>
      <c r="AK316" s="1">
        <f t="shared" si="16"/>
        <v>129585.27</v>
      </c>
      <c r="AL316" s="2">
        <f t="shared" si="17"/>
        <v>99.988634259259257</v>
      </c>
      <c r="AM316" s="16">
        <f t="shared" si="18"/>
        <v>129554.95</v>
      </c>
      <c r="AN316" s="2">
        <f t="shared" si="19"/>
        <v>99.965239197530863</v>
      </c>
    </row>
    <row r="317" spans="1:40" x14ac:dyDescent="0.35">
      <c r="A317" s="14" t="s">
        <v>27</v>
      </c>
      <c r="B317" s="14" t="s">
        <v>28</v>
      </c>
      <c r="C317" s="14" t="s">
        <v>29</v>
      </c>
      <c r="D317" s="14" t="s">
        <v>725</v>
      </c>
      <c r="E317" s="14" t="s">
        <v>193</v>
      </c>
      <c r="F317" s="14" t="s">
        <v>32</v>
      </c>
      <c r="G317" s="14" t="s">
        <v>33</v>
      </c>
      <c r="H317" s="14" t="s">
        <v>964</v>
      </c>
      <c r="I317" s="14" t="s">
        <v>381</v>
      </c>
      <c r="J317" s="14" t="s">
        <v>381</v>
      </c>
      <c r="K317" s="14" t="s">
        <v>204</v>
      </c>
      <c r="L317" s="14" t="s">
        <v>973</v>
      </c>
      <c r="M317" s="14" t="s">
        <v>380</v>
      </c>
      <c r="N317" s="14" t="s">
        <v>996</v>
      </c>
      <c r="O317" s="14" t="s">
        <v>991</v>
      </c>
      <c r="P317" s="14"/>
      <c r="Q317" s="14" t="s">
        <v>196</v>
      </c>
      <c r="R317" s="14" t="s">
        <v>36</v>
      </c>
      <c r="S317" s="14" t="s">
        <v>104</v>
      </c>
      <c r="T317" s="14" t="s">
        <v>726</v>
      </c>
      <c r="U317" s="14" t="s">
        <v>727</v>
      </c>
      <c r="V317" s="22">
        <v>46207.886689814812</v>
      </c>
      <c r="W317" s="22">
        <v>46211.42083333333</v>
      </c>
      <c r="X317" s="15">
        <v>5089.17</v>
      </c>
      <c r="Y317" s="22">
        <v>46207.886701388888</v>
      </c>
      <c r="Z317" s="15">
        <v>0.02</v>
      </c>
      <c r="AA317" s="15">
        <v>30</v>
      </c>
      <c r="AB317" s="15" t="s">
        <v>40</v>
      </c>
      <c r="AC317" s="22">
        <v>46207.889826388891</v>
      </c>
      <c r="AD317" s="22">
        <v>46211.420486111114</v>
      </c>
      <c r="AE317" s="15">
        <v>5084.1499999999996</v>
      </c>
      <c r="AF317" s="15">
        <v>5.0199999999999996</v>
      </c>
      <c r="AG317" s="15">
        <v>120</v>
      </c>
      <c r="AH317" s="15" t="s">
        <v>40</v>
      </c>
      <c r="AI317" s="14"/>
      <c r="AJ317" s="16">
        <v>129600</v>
      </c>
      <c r="AK317" s="1">
        <f t="shared" si="16"/>
        <v>129594.98</v>
      </c>
      <c r="AL317" s="2">
        <f t="shared" si="17"/>
        <v>99.996126543209868</v>
      </c>
      <c r="AM317" s="16">
        <f t="shared" si="18"/>
        <v>124515.85</v>
      </c>
      <c r="AN317" s="2">
        <f t="shared" si="19"/>
        <v>96.077044753086426</v>
      </c>
    </row>
    <row r="318" spans="1:40" x14ac:dyDescent="0.35">
      <c r="A318" s="14" t="s">
        <v>27</v>
      </c>
      <c r="B318" s="14" t="s">
        <v>28</v>
      </c>
      <c r="C318" s="14" t="s">
        <v>29</v>
      </c>
      <c r="D318" s="14" t="s">
        <v>683</v>
      </c>
      <c r="E318" s="14" t="s">
        <v>193</v>
      </c>
      <c r="F318" s="14" t="s">
        <v>32</v>
      </c>
      <c r="G318" s="14" t="s">
        <v>33</v>
      </c>
      <c r="H318" s="14" t="s">
        <v>964</v>
      </c>
      <c r="I318" s="14" t="s">
        <v>381</v>
      </c>
      <c r="J318" s="14" t="s">
        <v>381</v>
      </c>
      <c r="K318" s="14" t="s">
        <v>204</v>
      </c>
      <c r="L318" s="14" t="s">
        <v>973</v>
      </c>
      <c r="M318" s="14" t="s">
        <v>380</v>
      </c>
      <c r="N318" s="14" t="s">
        <v>996</v>
      </c>
      <c r="O318" s="14" t="s">
        <v>991</v>
      </c>
      <c r="P318" s="14"/>
      <c r="Q318" s="14" t="s">
        <v>196</v>
      </c>
      <c r="R318" s="14" t="s">
        <v>36</v>
      </c>
      <c r="S318" s="14" t="s">
        <v>104</v>
      </c>
      <c r="T318" s="14" t="s">
        <v>684</v>
      </c>
      <c r="U318" s="14" t="s">
        <v>685</v>
      </c>
      <c r="V318" s="22">
        <v>46207.921793981484</v>
      </c>
      <c r="W318" s="22">
        <v>46211.420138888891</v>
      </c>
      <c r="X318" s="15">
        <v>5037.62</v>
      </c>
      <c r="Y318" s="22">
        <v>46207.921805555554</v>
      </c>
      <c r="Z318" s="15">
        <v>0.02</v>
      </c>
      <c r="AA318" s="15">
        <v>30</v>
      </c>
      <c r="AB318" s="15" t="s">
        <v>40</v>
      </c>
      <c r="AC318" s="22">
        <v>46207.923576388886</v>
      </c>
      <c r="AD318" s="22">
        <v>46211.419074074074</v>
      </c>
      <c r="AE318" s="15">
        <v>5033.5200000000004</v>
      </c>
      <c r="AF318" s="15">
        <v>4.0999999999999996</v>
      </c>
      <c r="AG318" s="15">
        <v>120</v>
      </c>
      <c r="AH318" s="15" t="s">
        <v>40</v>
      </c>
      <c r="AI318" s="14"/>
      <c r="AJ318" s="16">
        <v>129600</v>
      </c>
      <c r="AK318" s="1">
        <f t="shared" si="16"/>
        <v>129595.9</v>
      </c>
      <c r="AL318" s="2">
        <f t="shared" si="17"/>
        <v>99.99683641975308</v>
      </c>
      <c r="AM318" s="16">
        <f t="shared" si="18"/>
        <v>124566.48</v>
      </c>
      <c r="AN318" s="2">
        <f t="shared" si="19"/>
        <v>96.11611111111111</v>
      </c>
    </row>
    <row r="319" spans="1:40" x14ac:dyDescent="0.35">
      <c r="A319" s="14" t="s">
        <v>27</v>
      </c>
      <c r="B319" s="14" t="s">
        <v>28</v>
      </c>
      <c r="C319" s="14" t="s">
        <v>29</v>
      </c>
      <c r="D319" s="14" t="s">
        <v>545</v>
      </c>
      <c r="E319" s="14" t="s">
        <v>193</v>
      </c>
      <c r="F319" s="14" t="s">
        <v>32</v>
      </c>
      <c r="G319" s="14" t="s">
        <v>33</v>
      </c>
      <c r="H319" s="14" t="s">
        <v>964</v>
      </c>
      <c r="I319" s="14" t="s">
        <v>231</v>
      </c>
      <c r="J319" s="14" t="s">
        <v>231</v>
      </c>
      <c r="K319" s="14" t="s">
        <v>204</v>
      </c>
      <c r="L319" s="14" t="s">
        <v>973</v>
      </c>
      <c r="M319" s="14" t="s">
        <v>230</v>
      </c>
      <c r="N319" s="14" t="s">
        <v>974</v>
      </c>
      <c r="O319" s="14" t="s">
        <v>991</v>
      </c>
      <c r="P319" s="14"/>
      <c r="Q319" s="14" t="s">
        <v>196</v>
      </c>
      <c r="R319" s="14" t="s">
        <v>36</v>
      </c>
      <c r="S319" s="14" t="s">
        <v>37</v>
      </c>
      <c r="T319" s="14" t="s">
        <v>64</v>
      </c>
      <c r="U319" s="14" t="s">
        <v>59</v>
      </c>
      <c r="V319" s="22">
        <v>46208.146215277775</v>
      </c>
      <c r="W319" s="22">
        <v>46210.40625</v>
      </c>
      <c r="X319" s="15">
        <v>3254.45</v>
      </c>
      <c r="Y319" s="22">
        <v>46208.146226851852</v>
      </c>
      <c r="Z319" s="15">
        <v>0.02</v>
      </c>
      <c r="AA319" s="15">
        <v>30</v>
      </c>
      <c r="AB319" s="15" t="s">
        <v>40</v>
      </c>
      <c r="AC319" s="22">
        <v>46208.161863425928</v>
      </c>
      <c r="AD319" s="22">
        <v>46210.406018518515</v>
      </c>
      <c r="AE319" s="15">
        <v>3231.58</v>
      </c>
      <c r="AF319" s="15">
        <v>22.87</v>
      </c>
      <c r="AG319" s="15">
        <v>120</v>
      </c>
      <c r="AH319" s="15" t="s">
        <v>40</v>
      </c>
      <c r="AI319" s="14"/>
      <c r="AJ319" s="16">
        <v>129600</v>
      </c>
      <c r="AK319" s="1">
        <f t="shared" si="16"/>
        <v>129577.13</v>
      </c>
      <c r="AL319" s="2">
        <f t="shared" si="17"/>
        <v>99.982353395061736</v>
      </c>
      <c r="AM319" s="16">
        <f t="shared" si="18"/>
        <v>126368.42</v>
      </c>
      <c r="AN319" s="2">
        <f t="shared" si="19"/>
        <v>97.506496913580236</v>
      </c>
    </row>
    <row r="320" spans="1:40" x14ac:dyDescent="0.35">
      <c r="A320" s="14" t="s">
        <v>27</v>
      </c>
      <c r="B320" s="14" t="s">
        <v>28</v>
      </c>
      <c r="C320" s="14" t="s">
        <v>73</v>
      </c>
      <c r="D320" s="14" t="s">
        <v>522</v>
      </c>
      <c r="E320" s="14" t="s">
        <v>193</v>
      </c>
      <c r="F320" s="14" t="s">
        <v>32</v>
      </c>
      <c r="G320" s="14" t="s">
        <v>33</v>
      </c>
      <c r="H320" s="14" t="s">
        <v>964</v>
      </c>
      <c r="I320" s="14" t="s">
        <v>434</v>
      </c>
      <c r="J320" s="14" t="s">
        <v>434</v>
      </c>
      <c r="K320" s="14" t="s">
        <v>204</v>
      </c>
      <c r="L320" s="14" t="s">
        <v>973</v>
      </c>
      <c r="M320" s="14" t="s">
        <v>433</v>
      </c>
      <c r="N320" s="14" t="s">
        <v>974</v>
      </c>
      <c r="O320" s="14" t="s">
        <v>991</v>
      </c>
      <c r="P320" s="14"/>
      <c r="Q320" s="14" t="s">
        <v>196</v>
      </c>
      <c r="R320" s="14" t="s">
        <v>36</v>
      </c>
      <c r="S320" s="14" t="s">
        <v>104</v>
      </c>
      <c r="T320" s="14" t="s">
        <v>200</v>
      </c>
      <c r="U320" s="14" t="s">
        <v>441</v>
      </c>
      <c r="V320" s="22">
        <v>46208.471574074072</v>
      </c>
      <c r="W320" s="22">
        <v>46208.895138888889</v>
      </c>
      <c r="X320" s="15">
        <v>609.92999999999995</v>
      </c>
      <c r="Y320" s="22">
        <v>46208.471585648149</v>
      </c>
      <c r="Z320" s="15">
        <v>0.02</v>
      </c>
      <c r="AA320" s="15">
        <v>30</v>
      </c>
      <c r="AB320" s="15" t="s">
        <v>40</v>
      </c>
      <c r="AC320" s="22">
        <v>46208.477256944447</v>
      </c>
      <c r="AD320" s="22">
        <v>46208.894085648149</v>
      </c>
      <c r="AE320" s="15">
        <v>600.23</v>
      </c>
      <c r="AF320" s="15">
        <v>9.6999999999999993</v>
      </c>
      <c r="AG320" s="15">
        <v>120</v>
      </c>
      <c r="AH320" s="15" t="s">
        <v>40</v>
      </c>
      <c r="AI320" s="14"/>
      <c r="AJ320" s="16">
        <v>129600</v>
      </c>
      <c r="AK320" s="1">
        <f t="shared" si="16"/>
        <v>129590.3</v>
      </c>
      <c r="AL320" s="2">
        <f t="shared" si="17"/>
        <v>99.99251543209877</v>
      </c>
      <c r="AM320" s="16">
        <f t="shared" si="18"/>
        <v>128999.77</v>
      </c>
      <c r="AN320" s="2">
        <f t="shared" si="19"/>
        <v>99.536859567901232</v>
      </c>
    </row>
    <row r="321" spans="1:40" x14ac:dyDescent="0.35">
      <c r="A321" s="14" t="s">
        <v>27</v>
      </c>
      <c r="B321" s="14" t="s">
        <v>28</v>
      </c>
      <c r="C321" s="14" t="s">
        <v>73</v>
      </c>
      <c r="D321" s="14" t="s">
        <v>583</v>
      </c>
      <c r="E321" s="14" t="s">
        <v>193</v>
      </c>
      <c r="F321" s="14" t="s">
        <v>32</v>
      </c>
      <c r="G321" s="14" t="s">
        <v>33</v>
      </c>
      <c r="H321" s="14" t="s">
        <v>964</v>
      </c>
      <c r="I321" s="14" t="s">
        <v>303</v>
      </c>
      <c r="J321" s="14" t="s">
        <v>303</v>
      </c>
      <c r="K321" s="14" t="s">
        <v>204</v>
      </c>
      <c r="L321" s="14" t="s">
        <v>973</v>
      </c>
      <c r="M321" s="14" t="s">
        <v>302</v>
      </c>
      <c r="N321" s="14" t="s">
        <v>974</v>
      </c>
      <c r="O321" s="14" t="s">
        <v>991</v>
      </c>
      <c r="P321" s="14"/>
      <c r="Q321" s="14" t="s">
        <v>196</v>
      </c>
      <c r="R321" s="14" t="s">
        <v>36</v>
      </c>
      <c r="S321" s="14" t="s">
        <v>104</v>
      </c>
      <c r="T321" s="14" t="s">
        <v>200</v>
      </c>
      <c r="U321" s="14" t="s">
        <v>441</v>
      </c>
      <c r="V321" s="22">
        <v>46208.471574074072</v>
      </c>
      <c r="W321" s="22">
        <v>46208.897222222222</v>
      </c>
      <c r="X321" s="15">
        <v>612.92999999999995</v>
      </c>
      <c r="Y321" s="22">
        <v>46208.471585648149</v>
      </c>
      <c r="Z321" s="15">
        <v>0.02</v>
      </c>
      <c r="AA321" s="15">
        <v>30</v>
      </c>
      <c r="AB321" s="15" t="s">
        <v>40</v>
      </c>
      <c r="AC321" s="22">
        <v>46208.476273148146</v>
      </c>
      <c r="AD321" s="22">
        <v>46208.895810185182</v>
      </c>
      <c r="AE321" s="15">
        <v>604.13</v>
      </c>
      <c r="AF321" s="15">
        <v>8.8000000000000007</v>
      </c>
      <c r="AG321" s="15">
        <v>120</v>
      </c>
      <c r="AH321" s="15" t="s">
        <v>40</v>
      </c>
      <c r="AI321" s="14"/>
      <c r="AJ321" s="16">
        <v>129600</v>
      </c>
      <c r="AK321" s="1">
        <f t="shared" si="16"/>
        <v>129591.2</v>
      </c>
      <c r="AL321" s="2">
        <f t="shared" si="17"/>
        <v>99.993209876543204</v>
      </c>
      <c r="AM321" s="16">
        <f t="shared" si="18"/>
        <v>128995.87</v>
      </c>
      <c r="AN321" s="2">
        <f t="shared" si="19"/>
        <v>99.533850308641973</v>
      </c>
    </row>
    <row r="322" spans="1:40" x14ac:dyDescent="0.35">
      <c r="A322" s="14" t="s">
        <v>27</v>
      </c>
      <c r="B322" s="14" t="s">
        <v>28</v>
      </c>
      <c r="C322" s="14" t="s">
        <v>110</v>
      </c>
      <c r="D322" s="14" t="s">
        <v>424</v>
      </c>
      <c r="E322" s="14" t="s">
        <v>193</v>
      </c>
      <c r="F322" s="14" t="s">
        <v>32</v>
      </c>
      <c r="G322" s="14" t="s">
        <v>33</v>
      </c>
      <c r="H322" s="14" t="s">
        <v>984</v>
      </c>
      <c r="I322" s="14" t="s">
        <v>426</v>
      </c>
      <c r="J322" s="14" t="s">
        <v>426</v>
      </c>
      <c r="K322" s="14" t="s">
        <v>204</v>
      </c>
      <c r="L322" s="14" t="s">
        <v>973</v>
      </c>
      <c r="M322" s="14" t="s">
        <v>425</v>
      </c>
      <c r="N322" s="14" t="s">
        <v>974</v>
      </c>
      <c r="O322" s="14" t="s">
        <v>991</v>
      </c>
      <c r="P322" s="14"/>
      <c r="Q322" s="14" t="s">
        <v>196</v>
      </c>
      <c r="R322" s="14" t="s">
        <v>36</v>
      </c>
      <c r="S322" s="14" t="s">
        <v>104</v>
      </c>
      <c r="T322" s="14" t="s">
        <v>59</v>
      </c>
      <c r="U322" s="14" t="s">
        <v>307</v>
      </c>
      <c r="V322" s="22">
        <v>46208.501458333332</v>
      </c>
      <c r="W322" s="22">
        <v>46208.899305555555</v>
      </c>
      <c r="X322" s="15">
        <v>572.9</v>
      </c>
      <c r="Y322" s="22">
        <v>46208.501481481479</v>
      </c>
      <c r="Z322" s="15">
        <v>0.03</v>
      </c>
      <c r="AA322" s="15">
        <v>30</v>
      </c>
      <c r="AB322" s="15" t="s">
        <v>40</v>
      </c>
      <c r="AC322" s="22">
        <v>46208.502511574072</v>
      </c>
      <c r="AD322" s="22">
        <v>46208.89775462963</v>
      </c>
      <c r="AE322" s="15">
        <v>569.15</v>
      </c>
      <c r="AF322" s="15">
        <v>3.75</v>
      </c>
      <c r="AG322" s="15">
        <v>120</v>
      </c>
      <c r="AH322" s="15" t="s">
        <v>40</v>
      </c>
      <c r="AI322" s="14"/>
      <c r="AJ322" s="16">
        <v>129600</v>
      </c>
      <c r="AK322" s="1">
        <f t="shared" si="16"/>
        <v>129596.25</v>
      </c>
      <c r="AL322" s="2">
        <f t="shared" si="17"/>
        <v>99.997106481481481</v>
      </c>
      <c r="AM322" s="16">
        <f t="shared" si="18"/>
        <v>129030.85</v>
      </c>
      <c r="AN322" s="2">
        <f t="shared" si="19"/>
        <v>99.560841049382717</v>
      </c>
    </row>
    <row r="323" spans="1:40" x14ac:dyDescent="0.35">
      <c r="A323" s="14" t="s">
        <v>27</v>
      </c>
      <c r="B323" s="14" t="s">
        <v>28</v>
      </c>
      <c r="C323" s="14" t="s">
        <v>73</v>
      </c>
      <c r="D323" s="14" t="s">
        <v>304</v>
      </c>
      <c r="E323" s="14" t="s">
        <v>193</v>
      </c>
      <c r="F323" s="14" t="s">
        <v>32</v>
      </c>
      <c r="G323" s="14" t="s">
        <v>33</v>
      </c>
      <c r="H323" s="14" t="s">
        <v>984</v>
      </c>
      <c r="I323" s="14" t="s">
        <v>306</v>
      </c>
      <c r="J323" s="14" t="s">
        <v>306</v>
      </c>
      <c r="K323" s="14" t="s">
        <v>204</v>
      </c>
      <c r="L323" s="14" t="s">
        <v>973</v>
      </c>
      <c r="M323" s="14" t="s">
        <v>305</v>
      </c>
      <c r="N323" s="14" t="s">
        <v>974</v>
      </c>
      <c r="O323" s="14" t="s">
        <v>991</v>
      </c>
      <c r="P323" s="14"/>
      <c r="Q323" s="14" t="s">
        <v>196</v>
      </c>
      <c r="R323" s="14" t="s">
        <v>36</v>
      </c>
      <c r="S323" s="14" t="s">
        <v>104</v>
      </c>
      <c r="T323" s="14" t="s">
        <v>59</v>
      </c>
      <c r="U323" s="14" t="s">
        <v>307</v>
      </c>
      <c r="V323" s="22">
        <v>46208.501574074071</v>
      </c>
      <c r="W323" s="22">
        <v>46208.902083333334</v>
      </c>
      <c r="X323" s="15">
        <v>576.73</v>
      </c>
      <c r="Y323" s="22">
        <v>46208.501585648148</v>
      </c>
      <c r="Z323" s="15">
        <v>0.02</v>
      </c>
      <c r="AA323" s="15">
        <v>30</v>
      </c>
      <c r="AB323" s="15" t="s">
        <v>40</v>
      </c>
      <c r="AC323" s="22">
        <v>46208.50409722222</v>
      </c>
      <c r="AD323" s="22">
        <v>46208.900601851848</v>
      </c>
      <c r="AE323" s="15">
        <v>570.97</v>
      </c>
      <c r="AF323" s="15">
        <v>5.77</v>
      </c>
      <c r="AG323" s="15">
        <v>120</v>
      </c>
      <c r="AH323" s="15" t="s">
        <v>40</v>
      </c>
      <c r="AI323" s="14"/>
      <c r="AJ323" s="16">
        <v>129600</v>
      </c>
      <c r="AK323" s="1">
        <f t="shared" ref="AK323:AK364" si="20">AJ323-AF323</f>
        <v>129594.23</v>
      </c>
      <c r="AL323" s="2">
        <f t="shared" ref="AL323:AL364" si="21">AK323/AJ323*100</f>
        <v>99.995547839506173</v>
      </c>
      <c r="AM323" s="16">
        <f t="shared" ref="AM323:AM364" si="22">AJ323-AE323</f>
        <v>129029.03</v>
      </c>
      <c r="AN323" s="2">
        <f t="shared" ref="AN323:AN364" si="23">AM323/AJ323*100</f>
        <v>99.559436728395056</v>
      </c>
    </row>
    <row r="324" spans="1:40" x14ac:dyDescent="0.35">
      <c r="A324" s="14" t="s">
        <v>27</v>
      </c>
      <c r="B324" s="14" t="s">
        <v>28</v>
      </c>
      <c r="C324" s="14" t="s">
        <v>73</v>
      </c>
      <c r="D324" s="14" t="s">
        <v>735</v>
      </c>
      <c r="E324" s="14" t="s">
        <v>193</v>
      </c>
      <c r="F324" s="14" t="s">
        <v>32</v>
      </c>
      <c r="G324" s="14" t="s">
        <v>33</v>
      </c>
      <c r="H324" s="14" t="s">
        <v>984</v>
      </c>
      <c r="I324" s="14" t="s">
        <v>452</v>
      </c>
      <c r="J324" s="14" t="s">
        <v>452</v>
      </c>
      <c r="K324" s="14" t="s">
        <v>204</v>
      </c>
      <c r="L324" s="14" t="s">
        <v>973</v>
      </c>
      <c r="M324" s="14" t="s">
        <v>451</v>
      </c>
      <c r="N324" s="14" t="s">
        <v>974</v>
      </c>
      <c r="O324" s="14" t="s">
        <v>991</v>
      </c>
      <c r="P324" s="14"/>
      <c r="Q324" s="14" t="s">
        <v>196</v>
      </c>
      <c r="R324" s="14" t="s">
        <v>36</v>
      </c>
      <c r="S324" s="14" t="s">
        <v>104</v>
      </c>
      <c r="T324" s="14" t="s">
        <v>59</v>
      </c>
      <c r="U324" s="14" t="s">
        <v>307</v>
      </c>
      <c r="V324" s="22">
        <v>46208.501574074071</v>
      </c>
      <c r="W324" s="22">
        <v>46208.900694444441</v>
      </c>
      <c r="X324" s="15">
        <v>574.73</v>
      </c>
      <c r="Y324" s="22">
        <v>46208.501585648148</v>
      </c>
      <c r="Z324" s="15">
        <v>0.02</v>
      </c>
      <c r="AA324" s="15">
        <v>30</v>
      </c>
      <c r="AB324" s="15" t="s">
        <v>40</v>
      </c>
      <c r="AC324" s="22">
        <v>46208.503240740742</v>
      </c>
      <c r="AD324" s="22">
        <v>46208.899629629632</v>
      </c>
      <c r="AE324" s="15">
        <v>570.79999999999995</v>
      </c>
      <c r="AF324" s="15">
        <v>3.93</v>
      </c>
      <c r="AG324" s="15">
        <v>120</v>
      </c>
      <c r="AH324" s="15" t="s">
        <v>40</v>
      </c>
      <c r="AI324" s="14"/>
      <c r="AJ324" s="16">
        <v>129600</v>
      </c>
      <c r="AK324" s="1">
        <f t="shared" si="20"/>
        <v>129596.07</v>
      </c>
      <c r="AL324" s="2">
        <f t="shared" si="21"/>
        <v>99.996967592592597</v>
      </c>
      <c r="AM324" s="16">
        <f t="shared" si="22"/>
        <v>129029.2</v>
      </c>
      <c r="AN324" s="2">
        <f t="shared" si="23"/>
        <v>99.559567901234573</v>
      </c>
    </row>
    <row r="325" spans="1:40" x14ac:dyDescent="0.35">
      <c r="A325" s="14" t="s">
        <v>27</v>
      </c>
      <c r="B325" s="14" t="s">
        <v>28</v>
      </c>
      <c r="C325" s="14" t="s">
        <v>73</v>
      </c>
      <c r="D325" s="14" t="s">
        <v>801</v>
      </c>
      <c r="E325" s="14" t="s">
        <v>193</v>
      </c>
      <c r="F325" s="14" t="s">
        <v>32</v>
      </c>
      <c r="G325" s="14" t="s">
        <v>33</v>
      </c>
      <c r="H325" s="14" t="s">
        <v>984</v>
      </c>
      <c r="I325" s="14" t="s">
        <v>414</v>
      </c>
      <c r="J325" s="14" t="s">
        <v>414</v>
      </c>
      <c r="K325" s="14" t="s">
        <v>204</v>
      </c>
      <c r="L325" s="14" t="s">
        <v>973</v>
      </c>
      <c r="M325" s="14" t="s">
        <v>413</v>
      </c>
      <c r="N325" s="14" t="s">
        <v>996</v>
      </c>
      <c r="O325" s="14" t="s">
        <v>991</v>
      </c>
      <c r="P325" s="14"/>
      <c r="Q325" s="14" t="s">
        <v>196</v>
      </c>
      <c r="R325" s="14" t="s">
        <v>36</v>
      </c>
      <c r="S325" s="14" t="s">
        <v>104</v>
      </c>
      <c r="T325" s="14" t="s">
        <v>59</v>
      </c>
      <c r="U325" s="14" t="s">
        <v>307</v>
      </c>
      <c r="V325" s="22">
        <v>46208.501620370371</v>
      </c>
      <c r="W325" s="22">
        <v>46208.90625</v>
      </c>
      <c r="X325" s="15">
        <v>582.66999999999996</v>
      </c>
      <c r="Y325" s="22">
        <v>46208.501631944448</v>
      </c>
      <c r="Z325" s="15">
        <v>0.02</v>
      </c>
      <c r="AA325" s="15">
        <v>30</v>
      </c>
      <c r="AB325" s="15" t="s">
        <v>40</v>
      </c>
      <c r="AC325" s="22">
        <v>46208.504756944443</v>
      </c>
      <c r="AD325" s="22">
        <v>46208.903831018521</v>
      </c>
      <c r="AE325" s="15">
        <v>574.66999999999996</v>
      </c>
      <c r="AF325" s="15">
        <v>8</v>
      </c>
      <c r="AG325" s="15">
        <v>120</v>
      </c>
      <c r="AH325" s="15" t="s">
        <v>40</v>
      </c>
      <c r="AI325" s="14"/>
      <c r="AJ325" s="16">
        <v>129600</v>
      </c>
      <c r="AK325" s="1">
        <f t="shared" si="20"/>
        <v>129592</v>
      </c>
      <c r="AL325" s="2">
        <f t="shared" si="21"/>
        <v>99.993827160493836</v>
      </c>
      <c r="AM325" s="16">
        <f t="shared" si="22"/>
        <v>129025.33</v>
      </c>
      <c r="AN325" s="2">
        <f t="shared" si="23"/>
        <v>99.55658179012346</v>
      </c>
    </row>
    <row r="326" spans="1:40" x14ac:dyDescent="0.35">
      <c r="A326" s="14" t="s">
        <v>27</v>
      </c>
      <c r="B326" s="14" t="s">
        <v>28</v>
      </c>
      <c r="C326" s="14" t="s">
        <v>73</v>
      </c>
      <c r="D326" s="14" t="s">
        <v>440</v>
      </c>
      <c r="E326" s="14" t="s">
        <v>193</v>
      </c>
      <c r="F326" s="14" t="s">
        <v>32</v>
      </c>
      <c r="G326" s="14" t="s">
        <v>33</v>
      </c>
      <c r="H326" s="14" t="s">
        <v>964</v>
      </c>
      <c r="I326" s="14" t="s">
        <v>402</v>
      </c>
      <c r="J326" s="14" t="s">
        <v>402</v>
      </c>
      <c r="K326" s="14" t="s">
        <v>204</v>
      </c>
      <c r="L326" s="14" t="s">
        <v>973</v>
      </c>
      <c r="M326" s="14" t="s">
        <v>401</v>
      </c>
      <c r="N326" s="14" t="s">
        <v>974</v>
      </c>
      <c r="O326" s="14" t="s">
        <v>991</v>
      </c>
      <c r="P326" s="14"/>
      <c r="Q326" s="14" t="s">
        <v>196</v>
      </c>
      <c r="R326" s="14" t="s">
        <v>36</v>
      </c>
      <c r="S326" s="14" t="s">
        <v>104</v>
      </c>
      <c r="T326" s="14" t="s">
        <v>200</v>
      </c>
      <c r="U326" s="14" t="s">
        <v>441</v>
      </c>
      <c r="V326" s="22">
        <v>46208.505520833336</v>
      </c>
      <c r="W326" s="22">
        <v>46208.90625</v>
      </c>
      <c r="X326" s="15">
        <v>577.04999999999995</v>
      </c>
      <c r="Y326" s="22">
        <v>46208.505532407406</v>
      </c>
      <c r="Z326" s="15">
        <v>0.02</v>
      </c>
      <c r="AA326" s="15">
        <v>30</v>
      </c>
      <c r="AB326" s="15" t="s">
        <v>40</v>
      </c>
      <c r="AC326" s="22">
        <v>46208.509421296294</v>
      </c>
      <c r="AD326" s="22">
        <v>46208.903865740744</v>
      </c>
      <c r="AE326" s="15">
        <v>568</v>
      </c>
      <c r="AF326" s="15">
        <v>9.0500000000000007</v>
      </c>
      <c r="AG326" s="15">
        <v>120</v>
      </c>
      <c r="AH326" s="15" t="s">
        <v>40</v>
      </c>
      <c r="AI326" s="14"/>
      <c r="AJ326" s="16">
        <v>129600</v>
      </c>
      <c r="AK326" s="1">
        <f t="shared" si="20"/>
        <v>129590.95</v>
      </c>
      <c r="AL326" s="2">
        <f t="shared" si="21"/>
        <v>99.993016975308635</v>
      </c>
      <c r="AM326" s="16">
        <f t="shared" si="22"/>
        <v>129032</v>
      </c>
      <c r="AN326" s="2">
        <f t="shared" si="23"/>
        <v>99.561728395061735</v>
      </c>
    </row>
    <row r="327" spans="1:40" x14ac:dyDescent="0.35">
      <c r="A327" s="14" t="s">
        <v>27</v>
      </c>
      <c r="B327" s="14" t="s">
        <v>28</v>
      </c>
      <c r="C327" s="14" t="s">
        <v>110</v>
      </c>
      <c r="D327" s="14" t="s">
        <v>558</v>
      </c>
      <c r="E327" s="14" t="s">
        <v>193</v>
      </c>
      <c r="F327" s="14" t="s">
        <v>32</v>
      </c>
      <c r="G327" s="14" t="s">
        <v>33</v>
      </c>
      <c r="H327" s="14" t="s">
        <v>964</v>
      </c>
      <c r="I327" s="14" t="s">
        <v>549</v>
      </c>
      <c r="J327" s="14" t="s">
        <v>549</v>
      </c>
      <c r="K327" s="14" t="s">
        <v>204</v>
      </c>
      <c r="L327" s="14" t="s">
        <v>973</v>
      </c>
      <c r="M327" s="14" t="s">
        <v>548</v>
      </c>
      <c r="N327" s="14" t="s">
        <v>990</v>
      </c>
      <c r="O327" s="14" t="s">
        <v>991</v>
      </c>
      <c r="P327" s="14"/>
      <c r="Q327" s="14" t="s">
        <v>196</v>
      </c>
      <c r="R327" s="14" t="s">
        <v>36</v>
      </c>
      <c r="S327" s="14" t="s">
        <v>104</v>
      </c>
      <c r="T327" s="14" t="s">
        <v>200</v>
      </c>
      <c r="U327" s="14" t="s">
        <v>200</v>
      </c>
      <c r="V327" s="22">
        <v>46208.524675925924</v>
      </c>
      <c r="W327" s="22">
        <v>46211.450694444444</v>
      </c>
      <c r="X327" s="15">
        <v>4213.47</v>
      </c>
      <c r="Y327" s="22">
        <v>46208.524687500001</v>
      </c>
      <c r="Z327" s="15">
        <v>0.02</v>
      </c>
      <c r="AA327" s="15">
        <v>30</v>
      </c>
      <c r="AB327" s="15" t="s">
        <v>40</v>
      </c>
      <c r="AC327" s="22">
        <v>46208.532870370371</v>
      </c>
      <c r="AD327" s="22">
        <v>46211.449374999997</v>
      </c>
      <c r="AE327" s="15">
        <v>4199.7700000000004</v>
      </c>
      <c r="AF327" s="15">
        <v>13.7</v>
      </c>
      <c r="AG327" s="15">
        <v>120</v>
      </c>
      <c r="AH327" s="15" t="s">
        <v>40</v>
      </c>
      <c r="AI327" s="14"/>
      <c r="AJ327" s="16">
        <v>129600</v>
      </c>
      <c r="AK327" s="1">
        <f t="shared" si="20"/>
        <v>129586.3</v>
      </c>
      <c r="AL327" s="2">
        <f t="shared" si="21"/>
        <v>99.989429012345681</v>
      </c>
      <c r="AM327" s="16">
        <f t="shared" si="22"/>
        <v>125400.23</v>
      </c>
      <c r="AN327" s="2">
        <f t="shared" si="23"/>
        <v>96.759436728395059</v>
      </c>
    </row>
    <row r="328" spans="1:40" x14ac:dyDescent="0.35">
      <c r="A328" s="14" t="s">
        <v>27</v>
      </c>
      <c r="B328" s="14" t="s">
        <v>28</v>
      </c>
      <c r="C328" s="14" t="s">
        <v>110</v>
      </c>
      <c r="D328" s="14" t="s">
        <v>318</v>
      </c>
      <c r="E328" s="14" t="s">
        <v>193</v>
      </c>
      <c r="F328" s="14" t="s">
        <v>32</v>
      </c>
      <c r="G328" s="14" t="s">
        <v>33</v>
      </c>
      <c r="H328" s="14" t="s">
        <v>964</v>
      </c>
      <c r="I328" s="14" t="s">
        <v>320</v>
      </c>
      <c r="J328" s="14" t="s">
        <v>320</v>
      </c>
      <c r="K328" s="14" t="s">
        <v>204</v>
      </c>
      <c r="L328" s="14" t="s">
        <v>973</v>
      </c>
      <c r="M328" s="14" t="s">
        <v>319</v>
      </c>
      <c r="N328" s="14" t="s">
        <v>990</v>
      </c>
      <c r="O328" s="14" t="s">
        <v>991</v>
      </c>
      <c r="P328" s="14"/>
      <c r="Q328" s="14" t="s">
        <v>196</v>
      </c>
      <c r="R328" s="14" t="s">
        <v>36</v>
      </c>
      <c r="S328" s="14" t="s">
        <v>104</v>
      </c>
      <c r="T328" s="14" t="s">
        <v>200</v>
      </c>
      <c r="U328" s="14" t="s">
        <v>200</v>
      </c>
      <c r="V328" s="22">
        <v>46208.525243055556</v>
      </c>
      <c r="W328" s="22">
        <v>46211.449305555558</v>
      </c>
      <c r="X328" s="15">
        <v>4210.6499999999996</v>
      </c>
      <c r="Y328" s="22">
        <v>46208.525254629632</v>
      </c>
      <c r="Z328" s="15">
        <v>0.02</v>
      </c>
      <c r="AA328" s="15">
        <v>30</v>
      </c>
      <c r="AB328" s="15" t="s">
        <v>40</v>
      </c>
      <c r="AC328" s="22">
        <v>46208.533877314818</v>
      </c>
      <c r="AD328" s="22">
        <v>46211.448530092595</v>
      </c>
      <c r="AE328" s="15">
        <v>4197.1000000000004</v>
      </c>
      <c r="AF328" s="15">
        <v>13.55</v>
      </c>
      <c r="AG328" s="15">
        <v>120</v>
      </c>
      <c r="AH328" s="15" t="s">
        <v>40</v>
      </c>
      <c r="AI328" s="14"/>
      <c r="AJ328" s="16">
        <v>129600</v>
      </c>
      <c r="AK328" s="1">
        <f t="shared" si="20"/>
        <v>129586.45</v>
      </c>
      <c r="AL328" s="2">
        <f t="shared" si="21"/>
        <v>99.989544753086406</v>
      </c>
      <c r="AM328" s="16">
        <f t="shared" si="22"/>
        <v>125402.9</v>
      </c>
      <c r="AN328" s="2">
        <f t="shared" si="23"/>
        <v>96.761496913580245</v>
      </c>
    </row>
    <row r="329" spans="1:40" x14ac:dyDescent="0.35">
      <c r="A329" s="14" t="s">
        <v>27</v>
      </c>
      <c r="B329" s="14" t="s">
        <v>28</v>
      </c>
      <c r="C329" s="14" t="s">
        <v>110</v>
      </c>
      <c r="D329" s="14" t="s">
        <v>765</v>
      </c>
      <c r="E329" s="14" t="s">
        <v>193</v>
      </c>
      <c r="F329" s="14" t="s">
        <v>32</v>
      </c>
      <c r="G329" s="14" t="s">
        <v>33</v>
      </c>
      <c r="H329" s="14" t="s">
        <v>964</v>
      </c>
      <c r="I329" s="14" t="s">
        <v>672</v>
      </c>
      <c r="J329" s="14" t="s">
        <v>672</v>
      </c>
      <c r="K329" s="14" t="s">
        <v>204</v>
      </c>
      <c r="L329" s="14" t="s">
        <v>973</v>
      </c>
      <c r="M329" s="14" t="s">
        <v>671</v>
      </c>
      <c r="N329" s="14" t="s">
        <v>974</v>
      </c>
      <c r="O329" s="14" t="s">
        <v>991</v>
      </c>
      <c r="P329" s="14"/>
      <c r="Q329" s="14" t="s">
        <v>196</v>
      </c>
      <c r="R329" s="14" t="s">
        <v>36</v>
      </c>
      <c r="S329" s="14" t="s">
        <v>104</v>
      </c>
      <c r="T329" s="14" t="s">
        <v>200</v>
      </c>
      <c r="U329" s="14" t="s">
        <v>200</v>
      </c>
      <c r="V329" s="22">
        <v>46208.527800925927</v>
      </c>
      <c r="W329" s="22">
        <v>46211.448611111111</v>
      </c>
      <c r="X329" s="15">
        <v>4205.97</v>
      </c>
      <c r="Y329" s="22">
        <v>46208.527812499997</v>
      </c>
      <c r="Z329" s="15">
        <v>0.02</v>
      </c>
      <c r="AA329" s="15">
        <v>30</v>
      </c>
      <c r="AB329" s="15" t="s">
        <v>40</v>
      </c>
      <c r="AC329" s="22">
        <v>46208.535879629628</v>
      </c>
      <c r="AD329" s="22">
        <v>46211.447893518518</v>
      </c>
      <c r="AE329" s="15">
        <v>4193.3</v>
      </c>
      <c r="AF329" s="15">
        <v>12.67</v>
      </c>
      <c r="AG329" s="15">
        <v>120</v>
      </c>
      <c r="AH329" s="15" t="s">
        <v>40</v>
      </c>
      <c r="AI329" s="14"/>
      <c r="AJ329" s="16">
        <v>129600</v>
      </c>
      <c r="AK329" s="1">
        <f t="shared" si="20"/>
        <v>129587.33</v>
      </c>
      <c r="AL329" s="2">
        <f t="shared" si="21"/>
        <v>99.990223765432091</v>
      </c>
      <c r="AM329" s="16">
        <f t="shared" si="22"/>
        <v>125406.7</v>
      </c>
      <c r="AN329" s="2">
        <f t="shared" si="23"/>
        <v>96.764429012345673</v>
      </c>
    </row>
    <row r="330" spans="1:40" x14ac:dyDescent="0.35">
      <c r="A330" s="14" t="s">
        <v>27</v>
      </c>
      <c r="B330" s="14" t="s">
        <v>28</v>
      </c>
      <c r="C330" s="14" t="s">
        <v>110</v>
      </c>
      <c r="D330" s="14" t="s">
        <v>197</v>
      </c>
      <c r="E330" s="14" t="s">
        <v>193</v>
      </c>
      <c r="F330" s="14" t="s">
        <v>32</v>
      </c>
      <c r="G330" s="14" t="s">
        <v>33</v>
      </c>
      <c r="H330" s="14" t="s">
        <v>964</v>
      </c>
      <c r="I330" s="14" t="s">
        <v>199</v>
      </c>
      <c r="J330" s="14" t="s">
        <v>199</v>
      </c>
      <c r="K330" s="14" t="s">
        <v>204</v>
      </c>
      <c r="L330" s="14" t="s">
        <v>973</v>
      </c>
      <c r="M330" s="14" t="s">
        <v>198</v>
      </c>
      <c r="N330" s="14" t="s">
        <v>990</v>
      </c>
      <c r="O330" s="14" t="s">
        <v>991</v>
      </c>
      <c r="P330" s="14"/>
      <c r="Q330" s="14" t="s">
        <v>196</v>
      </c>
      <c r="R330" s="14" t="s">
        <v>36</v>
      </c>
      <c r="S330" s="14" t="s">
        <v>104</v>
      </c>
      <c r="T330" s="14" t="s">
        <v>200</v>
      </c>
      <c r="U330" s="14" t="s">
        <v>200</v>
      </c>
      <c r="V330" s="22">
        <v>46208.532222222224</v>
      </c>
      <c r="W330" s="22">
        <v>46211.447916666664</v>
      </c>
      <c r="X330" s="15">
        <v>4198.6000000000004</v>
      </c>
      <c r="Y330" s="22">
        <v>46208.532233796293</v>
      </c>
      <c r="Z330" s="15">
        <v>0.02</v>
      </c>
      <c r="AA330" s="15">
        <v>30</v>
      </c>
      <c r="AB330" s="15" t="s">
        <v>40</v>
      </c>
      <c r="AC330" s="22">
        <v>46208.536678240744</v>
      </c>
      <c r="AD330" s="22">
        <v>46211.447233796294</v>
      </c>
      <c r="AE330" s="15">
        <v>4191.2</v>
      </c>
      <c r="AF330" s="15">
        <v>7.4</v>
      </c>
      <c r="AG330" s="15">
        <v>120</v>
      </c>
      <c r="AH330" s="15" t="s">
        <v>40</v>
      </c>
      <c r="AI330" s="14"/>
      <c r="AJ330" s="16">
        <v>129600</v>
      </c>
      <c r="AK330" s="1">
        <f t="shared" si="20"/>
        <v>129592.6</v>
      </c>
      <c r="AL330" s="2">
        <f t="shared" si="21"/>
        <v>99.994290123456793</v>
      </c>
      <c r="AM330" s="16">
        <f t="shared" si="22"/>
        <v>125408.8</v>
      </c>
      <c r="AN330" s="2">
        <f t="shared" si="23"/>
        <v>96.766049382716048</v>
      </c>
    </row>
    <row r="331" spans="1:40" x14ac:dyDescent="0.35">
      <c r="A331" s="14" t="s">
        <v>27</v>
      </c>
      <c r="B331" s="14" t="s">
        <v>28</v>
      </c>
      <c r="C331" s="14" t="s">
        <v>110</v>
      </c>
      <c r="D331" s="14" t="s">
        <v>642</v>
      </c>
      <c r="E331" s="14" t="s">
        <v>193</v>
      </c>
      <c r="F331" s="14" t="s">
        <v>32</v>
      </c>
      <c r="G331" s="14" t="s">
        <v>33</v>
      </c>
      <c r="H331" s="14" t="s">
        <v>964</v>
      </c>
      <c r="I331" s="14" t="s">
        <v>644</v>
      </c>
      <c r="J331" s="14" t="s">
        <v>644</v>
      </c>
      <c r="K331" s="14" t="s">
        <v>204</v>
      </c>
      <c r="L331" s="14" t="s">
        <v>973</v>
      </c>
      <c r="M331" s="14" t="s">
        <v>643</v>
      </c>
      <c r="N331" s="14" t="s">
        <v>974</v>
      </c>
      <c r="O331" s="14" t="s">
        <v>991</v>
      </c>
      <c r="P331" s="14"/>
      <c r="Q331" s="14" t="s">
        <v>196</v>
      </c>
      <c r="R331" s="14" t="s">
        <v>36</v>
      </c>
      <c r="S331" s="14" t="s">
        <v>104</v>
      </c>
      <c r="T331" s="14" t="s">
        <v>200</v>
      </c>
      <c r="U331" s="14" t="s">
        <v>200</v>
      </c>
      <c r="V331" s="22">
        <v>46208.53324074074</v>
      </c>
      <c r="W331" s="22">
        <v>46211.447222222225</v>
      </c>
      <c r="X331" s="15">
        <v>4196.13</v>
      </c>
      <c r="Y331" s="22">
        <v>46208.533252314817</v>
      </c>
      <c r="Z331" s="15">
        <v>0.02</v>
      </c>
      <c r="AA331" s="15">
        <v>30</v>
      </c>
      <c r="AB331" s="15" t="s">
        <v>40</v>
      </c>
      <c r="AC331" s="22">
        <v>46208.537511574075</v>
      </c>
      <c r="AD331" s="22">
        <v>46211.446504629632</v>
      </c>
      <c r="AE331" s="15">
        <v>4188.95</v>
      </c>
      <c r="AF331" s="15">
        <v>7.18</v>
      </c>
      <c r="AG331" s="15">
        <v>120</v>
      </c>
      <c r="AH331" s="15" t="s">
        <v>40</v>
      </c>
      <c r="AI331" s="14"/>
      <c r="AJ331" s="16">
        <v>129600</v>
      </c>
      <c r="AK331" s="1">
        <f t="shared" si="20"/>
        <v>129592.82</v>
      </c>
      <c r="AL331" s="2">
        <f t="shared" si="21"/>
        <v>99.994459876543218</v>
      </c>
      <c r="AM331" s="16">
        <f t="shared" si="22"/>
        <v>125411.05</v>
      </c>
      <c r="AN331" s="2">
        <f t="shared" si="23"/>
        <v>96.767785493827162</v>
      </c>
    </row>
    <row r="332" spans="1:40" x14ac:dyDescent="0.35">
      <c r="A332" s="14" t="s">
        <v>27</v>
      </c>
      <c r="B332" s="14" t="s">
        <v>28</v>
      </c>
      <c r="C332" s="14" t="s">
        <v>110</v>
      </c>
      <c r="D332" s="14" t="s">
        <v>608</v>
      </c>
      <c r="E332" s="14" t="s">
        <v>193</v>
      </c>
      <c r="F332" s="14" t="s">
        <v>32</v>
      </c>
      <c r="G332" s="14" t="s">
        <v>33</v>
      </c>
      <c r="H332" s="14" t="s">
        <v>964</v>
      </c>
      <c r="I332" s="14" t="s">
        <v>381</v>
      </c>
      <c r="J332" s="14" t="s">
        <v>381</v>
      </c>
      <c r="K332" s="14" t="s">
        <v>204</v>
      </c>
      <c r="L332" s="14" t="s">
        <v>973</v>
      </c>
      <c r="M332" s="14" t="s">
        <v>380</v>
      </c>
      <c r="N332" s="14" t="s">
        <v>996</v>
      </c>
      <c r="O332" s="14" t="s">
        <v>991</v>
      </c>
      <c r="P332" s="14"/>
      <c r="Q332" s="14" t="s">
        <v>196</v>
      </c>
      <c r="R332" s="14" t="s">
        <v>36</v>
      </c>
      <c r="S332" s="14" t="s">
        <v>104</v>
      </c>
      <c r="T332" s="14" t="s">
        <v>200</v>
      </c>
      <c r="U332" s="14" t="s">
        <v>200</v>
      </c>
      <c r="V332" s="22">
        <v>46208.533483796295</v>
      </c>
      <c r="W332" s="22">
        <v>46211.446527777778</v>
      </c>
      <c r="X332" s="15">
        <v>4194.78</v>
      </c>
      <c r="Y332" s="22">
        <v>46208.533495370371</v>
      </c>
      <c r="Z332" s="15">
        <v>0.02</v>
      </c>
      <c r="AA332" s="15">
        <v>30</v>
      </c>
      <c r="AB332" s="15" t="s">
        <v>40</v>
      </c>
      <c r="AC332" s="22">
        <v>46208.538206018522</v>
      </c>
      <c r="AD332" s="22">
        <v>46211.445787037039</v>
      </c>
      <c r="AE332" s="15">
        <v>4186.92</v>
      </c>
      <c r="AF332" s="15">
        <v>7.87</v>
      </c>
      <c r="AG332" s="15">
        <v>120</v>
      </c>
      <c r="AH332" s="15" t="s">
        <v>40</v>
      </c>
      <c r="AI332" s="14"/>
      <c r="AJ332" s="16">
        <v>129600</v>
      </c>
      <c r="AK332" s="1">
        <f t="shared" si="20"/>
        <v>129592.13</v>
      </c>
      <c r="AL332" s="2">
        <f t="shared" si="21"/>
        <v>99.993927469135798</v>
      </c>
      <c r="AM332" s="16">
        <f t="shared" si="22"/>
        <v>125413.08</v>
      </c>
      <c r="AN332" s="2">
        <f t="shared" si="23"/>
        <v>96.769351851851852</v>
      </c>
    </row>
    <row r="333" spans="1:40" x14ac:dyDescent="0.35">
      <c r="A333" s="14" t="s">
        <v>27</v>
      </c>
      <c r="B333" s="14" t="s">
        <v>28</v>
      </c>
      <c r="C333" s="14" t="s">
        <v>110</v>
      </c>
      <c r="D333" s="14" t="s">
        <v>788</v>
      </c>
      <c r="E333" s="14" t="s">
        <v>193</v>
      </c>
      <c r="F333" s="14" t="s">
        <v>32</v>
      </c>
      <c r="G333" s="14" t="s">
        <v>33</v>
      </c>
      <c r="H333" s="14" t="s">
        <v>964</v>
      </c>
      <c r="I333" s="14" t="s">
        <v>759</v>
      </c>
      <c r="J333" s="14" t="s">
        <v>759</v>
      </c>
      <c r="K333" s="14" t="s">
        <v>204</v>
      </c>
      <c r="L333" s="14" t="s">
        <v>973</v>
      </c>
      <c r="M333" s="14" t="s">
        <v>758</v>
      </c>
      <c r="N333" s="14" t="s">
        <v>974</v>
      </c>
      <c r="O333" s="14" t="s">
        <v>991</v>
      </c>
      <c r="P333" s="14"/>
      <c r="Q333" s="14" t="s">
        <v>196</v>
      </c>
      <c r="R333" s="14" t="s">
        <v>36</v>
      </c>
      <c r="S333" s="14" t="s">
        <v>104</v>
      </c>
      <c r="T333" s="14" t="s">
        <v>200</v>
      </c>
      <c r="U333" s="14" t="s">
        <v>200</v>
      </c>
      <c r="V333" s="22">
        <v>46208.534178240741</v>
      </c>
      <c r="W333" s="22">
        <v>46211.445833333331</v>
      </c>
      <c r="X333" s="15">
        <v>4192.78</v>
      </c>
      <c r="Y333" s="22">
        <v>46208.534189814818</v>
      </c>
      <c r="Z333" s="15">
        <v>0.02</v>
      </c>
      <c r="AA333" s="15">
        <v>30</v>
      </c>
      <c r="AB333" s="15" t="s">
        <v>40</v>
      </c>
      <c r="AC333" s="22">
        <v>46208.535034722219</v>
      </c>
      <c r="AD333" s="22">
        <v>46211.445115740738</v>
      </c>
      <c r="AE333" s="15">
        <v>4190.5200000000004</v>
      </c>
      <c r="AF333" s="15">
        <v>2.27</v>
      </c>
      <c r="AG333" s="15">
        <v>120</v>
      </c>
      <c r="AH333" s="15" t="s">
        <v>40</v>
      </c>
      <c r="AI333" s="14"/>
      <c r="AJ333" s="16">
        <v>129600</v>
      </c>
      <c r="AK333" s="1">
        <f t="shared" si="20"/>
        <v>129597.73</v>
      </c>
      <c r="AL333" s="2">
        <f t="shared" si="21"/>
        <v>99.998248456790122</v>
      </c>
      <c r="AM333" s="16">
        <f t="shared" si="22"/>
        <v>125409.48</v>
      </c>
      <c r="AN333" s="2">
        <f t="shared" si="23"/>
        <v>96.766574074074072</v>
      </c>
    </row>
    <row r="334" spans="1:40" x14ac:dyDescent="0.35">
      <c r="A334" s="14" t="s">
        <v>27</v>
      </c>
      <c r="B334" s="14" t="s">
        <v>28</v>
      </c>
      <c r="C334" s="14" t="s">
        <v>110</v>
      </c>
      <c r="D334" s="14" t="s">
        <v>688</v>
      </c>
      <c r="E334" s="14" t="s">
        <v>193</v>
      </c>
      <c r="F334" s="14" t="s">
        <v>32</v>
      </c>
      <c r="G334" s="14" t="s">
        <v>33</v>
      </c>
      <c r="H334" s="14" t="s">
        <v>964</v>
      </c>
      <c r="I334" s="14" t="s">
        <v>690</v>
      </c>
      <c r="J334" s="14" t="s">
        <v>690</v>
      </c>
      <c r="K334" s="14" t="s">
        <v>204</v>
      </c>
      <c r="L334" s="14" t="s">
        <v>973</v>
      </c>
      <c r="M334" s="14" t="s">
        <v>689</v>
      </c>
      <c r="N334" s="14" t="s">
        <v>990</v>
      </c>
      <c r="O334" s="14" t="s">
        <v>991</v>
      </c>
      <c r="P334" s="14"/>
      <c r="Q334" s="14" t="s">
        <v>196</v>
      </c>
      <c r="R334" s="14" t="s">
        <v>36</v>
      </c>
      <c r="S334" s="14" t="s">
        <v>104</v>
      </c>
      <c r="T334" s="14" t="s">
        <v>200</v>
      </c>
      <c r="U334" s="14" t="s">
        <v>200</v>
      </c>
      <c r="V334" s="22">
        <v>46208.534641203703</v>
      </c>
      <c r="W334" s="22">
        <v>46211.445138888892</v>
      </c>
      <c r="X334" s="15">
        <v>4191.12</v>
      </c>
      <c r="Y334" s="22">
        <v>46208.53465277778</v>
      </c>
      <c r="Z334" s="15">
        <v>0.02</v>
      </c>
      <c r="AA334" s="15">
        <v>30</v>
      </c>
      <c r="AB334" s="15" t="s">
        <v>40</v>
      </c>
      <c r="AC334" s="22">
        <v>46208.540995370371</v>
      </c>
      <c r="AD334" s="22">
        <v>46211.444444444445</v>
      </c>
      <c r="AE334" s="15">
        <v>4180.97</v>
      </c>
      <c r="AF334" s="15">
        <v>10.15</v>
      </c>
      <c r="AG334" s="15">
        <v>120</v>
      </c>
      <c r="AH334" s="15" t="s">
        <v>40</v>
      </c>
      <c r="AI334" s="14"/>
      <c r="AJ334" s="16">
        <v>129600</v>
      </c>
      <c r="AK334" s="1">
        <f t="shared" si="20"/>
        <v>129589.85</v>
      </c>
      <c r="AL334" s="2">
        <f t="shared" si="21"/>
        <v>99.992168209876553</v>
      </c>
      <c r="AM334" s="16">
        <f t="shared" si="22"/>
        <v>125419.03</v>
      </c>
      <c r="AN334" s="2">
        <f t="shared" si="23"/>
        <v>96.773942901234562</v>
      </c>
    </row>
    <row r="335" spans="1:40" x14ac:dyDescent="0.35">
      <c r="A335" s="14" t="s">
        <v>27</v>
      </c>
      <c r="B335" s="14" t="s">
        <v>28</v>
      </c>
      <c r="C335" s="14" t="s">
        <v>110</v>
      </c>
      <c r="D335" s="14" t="s">
        <v>250</v>
      </c>
      <c r="E335" s="14" t="s">
        <v>193</v>
      </c>
      <c r="F335" s="14" t="s">
        <v>32</v>
      </c>
      <c r="G335" s="14" t="s">
        <v>33</v>
      </c>
      <c r="H335" s="14" t="s">
        <v>964</v>
      </c>
      <c r="I335" s="14" t="s">
        <v>252</v>
      </c>
      <c r="J335" s="14" t="s">
        <v>252</v>
      </c>
      <c r="K335" s="14" t="s">
        <v>204</v>
      </c>
      <c r="L335" s="14" t="s">
        <v>973</v>
      </c>
      <c r="M335" s="14" t="s">
        <v>251</v>
      </c>
      <c r="N335" s="14" t="s">
        <v>974</v>
      </c>
      <c r="O335" s="14" t="s">
        <v>991</v>
      </c>
      <c r="P335" s="14"/>
      <c r="Q335" s="14" t="s">
        <v>196</v>
      </c>
      <c r="R335" s="14" t="s">
        <v>36</v>
      </c>
      <c r="S335" s="14" t="s">
        <v>104</v>
      </c>
      <c r="T335" s="14" t="s">
        <v>200</v>
      </c>
      <c r="U335" s="14" t="s">
        <v>200</v>
      </c>
      <c r="V335" s="22">
        <v>46208.534988425927</v>
      </c>
      <c r="W335" s="22">
        <v>46211.444444444445</v>
      </c>
      <c r="X335" s="15">
        <v>4189.62</v>
      </c>
      <c r="Y335" s="22">
        <v>46208.535000000003</v>
      </c>
      <c r="Z335" s="15">
        <v>0.02</v>
      </c>
      <c r="AA335" s="15">
        <v>30</v>
      </c>
      <c r="AB335" s="15" t="s">
        <v>40</v>
      </c>
      <c r="AC335" s="22">
        <v>46208.541689814818</v>
      </c>
      <c r="AD335" s="22">
        <v>46211.443310185183</v>
      </c>
      <c r="AE335" s="15">
        <v>4178.33</v>
      </c>
      <c r="AF335" s="15">
        <v>11.28</v>
      </c>
      <c r="AG335" s="15">
        <v>120</v>
      </c>
      <c r="AH335" s="15" t="s">
        <v>40</v>
      </c>
      <c r="AI335" s="14"/>
      <c r="AJ335" s="16">
        <v>129600</v>
      </c>
      <c r="AK335" s="1">
        <f t="shared" si="20"/>
        <v>129588.72</v>
      </c>
      <c r="AL335" s="2">
        <f t="shared" si="21"/>
        <v>99.991296296296298</v>
      </c>
      <c r="AM335" s="16">
        <f t="shared" si="22"/>
        <v>125421.67</v>
      </c>
      <c r="AN335" s="2">
        <f t="shared" si="23"/>
        <v>96.775979938271604</v>
      </c>
    </row>
    <row r="336" spans="1:40" x14ac:dyDescent="0.35">
      <c r="A336" s="14" t="s">
        <v>27</v>
      </c>
      <c r="B336" s="14" t="s">
        <v>28</v>
      </c>
      <c r="C336" s="14" t="s">
        <v>110</v>
      </c>
      <c r="D336" s="14" t="s">
        <v>828</v>
      </c>
      <c r="E336" s="14" t="s">
        <v>193</v>
      </c>
      <c r="F336" s="14" t="s">
        <v>32</v>
      </c>
      <c r="G336" s="14" t="s">
        <v>33</v>
      </c>
      <c r="H336" s="14" t="s">
        <v>964</v>
      </c>
      <c r="I336" s="14" t="s">
        <v>775</v>
      </c>
      <c r="J336" s="14" t="s">
        <v>775</v>
      </c>
      <c r="K336" s="14" t="s">
        <v>204</v>
      </c>
      <c r="L336" s="14" t="s">
        <v>973</v>
      </c>
      <c r="M336" s="14" t="s">
        <v>774</v>
      </c>
      <c r="N336" s="14" t="s">
        <v>990</v>
      </c>
      <c r="O336" s="14" t="s">
        <v>991</v>
      </c>
      <c r="P336" s="14"/>
      <c r="Q336" s="14" t="s">
        <v>196</v>
      </c>
      <c r="R336" s="14" t="s">
        <v>36</v>
      </c>
      <c r="S336" s="14" t="s">
        <v>104</v>
      </c>
      <c r="T336" s="14" t="s">
        <v>200</v>
      </c>
      <c r="U336" s="14" t="s">
        <v>200</v>
      </c>
      <c r="V336" s="22">
        <v>46208.535104166665</v>
      </c>
      <c r="W336" s="22">
        <v>46211.443055555559</v>
      </c>
      <c r="X336" s="15">
        <v>4187.45</v>
      </c>
      <c r="Y336" s="22">
        <v>46208.535115740742</v>
      </c>
      <c r="Z336" s="15">
        <v>0.02</v>
      </c>
      <c r="AA336" s="15">
        <v>30</v>
      </c>
      <c r="AB336" s="15" t="s">
        <v>40</v>
      </c>
      <c r="AC336" s="22">
        <v>46208.542743055557</v>
      </c>
      <c r="AD336" s="22">
        <v>46211.442175925928</v>
      </c>
      <c r="AE336" s="15">
        <v>4175.18</v>
      </c>
      <c r="AF336" s="15">
        <v>12.27</v>
      </c>
      <c r="AG336" s="15">
        <v>120</v>
      </c>
      <c r="AH336" s="15" t="s">
        <v>40</v>
      </c>
      <c r="AI336" s="14"/>
      <c r="AJ336" s="16">
        <v>129600</v>
      </c>
      <c r="AK336" s="1">
        <f t="shared" si="20"/>
        <v>129587.73</v>
      </c>
      <c r="AL336" s="2">
        <f t="shared" si="21"/>
        <v>99.9905324074074</v>
      </c>
      <c r="AM336" s="16">
        <f t="shared" si="22"/>
        <v>125424.82</v>
      </c>
      <c r="AN336" s="2">
        <f t="shared" si="23"/>
        <v>96.778410493827167</v>
      </c>
    </row>
    <row r="337" spans="1:40" x14ac:dyDescent="0.35">
      <c r="A337" s="14" t="s">
        <v>27</v>
      </c>
      <c r="B337" s="14" t="s">
        <v>28</v>
      </c>
      <c r="C337" s="14" t="s">
        <v>110</v>
      </c>
      <c r="D337" s="14" t="s">
        <v>376</v>
      </c>
      <c r="E337" s="14" t="s">
        <v>193</v>
      </c>
      <c r="F337" s="14" t="s">
        <v>32</v>
      </c>
      <c r="G337" s="14" t="s">
        <v>33</v>
      </c>
      <c r="H337" s="14" t="s">
        <v>964</v>
      </c>
      <c r="I337" s="14" t="s">
        <v>378</v>
      </c>
      <c r="J337" s="14" t="s">
        <v>378</v>
      </c>
      <c r="K337" s="14" t="s">
        <v>204</v>
      </c>
      <c r="L337" s="14" t="s">
        <v>973</v>
      </c>
      <c r="M337" s="14" t="s">
        <v>377</v>
      </c>
      <c r="N337" s="14" t="s">
        <v>990</v>
      </c>
      <c r="O337" s="14" t="s">
        <v>991</v>
      </c>
      <c r="P337" s="14"/>
      <c r="Q337" s="14" t="s">
        <v>196</v>
      </c>
      <c r="R337" s="14" t="s">
        <v>36</v>
      </c>
      <c r="S337" s="14" t="s">
        <v>104</v>
      </c>
      <c r="T337" s="14" t="s">
        <v>200</v>
      </c>
      <c r="U337" s="14" t="s">
        <v>200</v>
      </c>
      <c r="V337" s="22">
        <v>46208.535462962966</v>
      </c>
      <c r="W337" s="22">
        <v>46211.442361111112</v>
      </c>
      <c r="X337" s="15">
        <v>4185.93</v>
      </c>
      <c r="Y337" s="22">
        <v>46208.535474537035</v>
      </c>
      <c r="Z337" s="15">
        <v>0.02</v>
      </c>
      <c r="AA337" s="15">
        <v>30</v>
      </c>
      <c r="AB337" s="15" t="s">
        <v>40</v>
      </c>
      <c r="AC337" s="22">
        <v>46208.539560185185</v>
      </c>
      <c r="AD337" s="22">
        <v>46211.441550925927</v>
      </c>
      <c r="AE337" s="15">
        <v>4178.87</v>
      </c>
      <c r="AF337" s="15">
        <v>7.07</v>
      </c>
      <c r="AG337" s="15">
        <v>120</v>
      </c>
      <c r="AH337" s="15" t="s">
        <v>40</v>
      </c>
      <c r="AI337" s="14"/>
      <c r="AJ337" s="16">
        <v>129600</v>
      </c>
      <c r="AK337" s="1">
        <f t="shared" si="20"/>
        <v>129592.93</v>
      </c>
      <c r="AL337" s="2">
        <f t="shared" si="21"/>
        <v>99.994544753086416</v>
      </c>
      <c r="AM337" s="16">
        <f t="shared" si="22"/>
        <v>125421.13</v>
      </c>
      <c r="AN337" s="2">
        <f t="shared" si="23"/>
        <v>96.775563271604938</v>
      </c>
    </row>
    <row r="338" spans="1:40" x14ac:dyDescent="0.35">
      <c r="A338" s="14" t="s">
        <v>27</v>
      </c>
      <c r="B338" s="14" t="s">
        <v>28</v>
      </c>
      <c r="C338" s="14" t="s">
        <v>110</v>
      </c>
      <c r="D338" s="14" t="s">
        <v>502</v>
      </c>
      <c r="E338" s="14" t="s">
        <v>193</v>
      </c>
      <c r="F338" s="14" t="s">
        <v>32</v>
      </c>
      <c r="G338" s="14" t="s">
        <v>33</v>
      </c>
      <c r="H338" s="14" t="s">
        <v>964</v>
      </c>
      <c r="I338" s="14" t="s">
        <v>504</v>
      </c>
      <c r="J338" s="14" t="s">
        <v>504</v>
      </c>
      <c r="K338" s="14" t="s">
        <v>204</v>
      </c>
      <c r="L338" s="14" t="s">
        <v>973</v>
      </c>
      <c r="M338" s="14" t="s">
        <v>503</v>
      </c>
      <c r="N338" s="14" t="s">
        <v>990</v>
      </c>
      <c r="O338" s="14" t="s">
        <v>991</v>
      </c>
      <c r="P338" s="14"/>
      <c r="Q338" s="14" t="s">
        <v>196</v>
      </c>
      <c r="R338" s="14" t="s">
        <v>36</v>
      </c>
      <c r="S338" s="14" t="s">
        <v>104</v>
      </c>
      <c r="T338" s="14" t="s">
        <v>200</v>
      </c>
      <c r="U338" s="14" t="s">
        <v>200</v>
      </c>
      <c r="V338" s="22">
        <v>46208.538819444446</v>
      </c>
      <c r="W338" s="22">
        <v>46211.441666666666</v>
      </c>
      <c r="X338" s="15">
        <v>4180.1000000000004</v>
      </c>
      <c r="Y338" s="22">
        <v>46208.538831018515</v>
      </c>
      <c r="Z338" s="15">
        <v>0.02</v>
      </c>
      <c r="AA338" s="15">
        <v>30</v>
      </c>
      <c r="AB338" s="15" t="s">
        <v>40</v>
      </c>
      <c r="AC338" s="22">
        <v>46208.543634259258</v>
      </c>
      <c r="AD338" s="22">
        <v>46211.440868055557</v>
      </c>
      <c r="AE338" s="15">
        <v>4172.0200000000004</v>
      </c>
      <c r="AF338" s="15">
        <v>8.08</v>
      </c>
      <c r="AG338" s="15">
        <v>120</v>
      </c>
      <c r="AH338" s="15" t="s">
        <v>40</v>
      </c>
      <c r="AI338" s="14"/>
      <c r="AJ338" s="16">
        <v>129600</v>
      </c>
      <c r="AK338" s="1">
        <f t="shared" si="20"/>
        <v>129591.92</v>
      </c>
      <c r="AL338" s="2">
        <f t="shared" si="21"/>
        <v>99.993765432098769</v>
      </c>
      <c r="AM338" s="16">
        <f t="shared" si="22"/>
        <v>125427.98</v>
      </c>
      <c r="AN338" s="2">
        <f t="shared" si="23"/>
        <v>96.780848765432097</v>
      </c>
    </row>
    <row r="339" spans="1:40" x14ac:dyDescent="0.35">
      <c r="A339" s="14" t="s">
        <v>27</v>
      </c>
      <c r="B339" s="14" t="s">
        <v>28</v>
      </c>
      <c r="C339" s="14" t="s">
        <v>73</v>
      </c>
      <c r="D339" s="14" t="s">
        <v>518</v>
      </c>
      <c r="E339" s="14" t="s">
        <v>193</v>
      </c>
      <c r="F339" s="14" t="s">
        <v>32</v>
      </c>
      <c r="G339" s="14" t="s">
        <v>33</v>
      </c>
      <c r="H339" s="14" t="s">
        <v>964</v>
      </c>
      <c r="I339" s="14" t="s">
        <v>266</v>
      </c>
      <c r="J339" s="14" t="s">
        <v>266</v>
      </c>
      <c r="K339" s="14" t="s">
        <v>204</v>
      </c>
      <c r="L339" s="14" t="s">
        <v>973</v>
      </c>
      <c r="M339" s="14" t="s">
        <v>265</v>
      </c>
      <c r="N339" s="14" t="s">
        <v>974</v>
      </c>
      <c r="O339" s="14" t="s">
        <v>991</v>
      </c>
      <c r="P339" s="14"/>
      <c r="Q339" s="14" t="s">
        <v>196</v>
      </c>
      <c r="R339" s="14" t="s">
        <v>36</v>
      </c>
      <c r="S339" s="14" t="s">
        <v>104</v>
      </c>
      <c r="T339" s="14" t="s">
        <v>200</v>
      </c>
      <c r="U339" s="14" t="s">
        <v>441</v>
      </c>
      <c r="V339" s="22">
        <v>46208.538819444446</v>
      </c>
      <c r="W339" s="22">
        <v>46208.916666666664</v>
      </c>
      <c r="X339" s="15">
        <v>544.1</v>
      </c>
      <c r="Y339" s="22">
        <v>46208.538831018515</v>
      </c>
      <c r="Z339" s="15">
        <v>0.02</v>
      </c>
      <c r="AA339" s="15">
        <v>30</v>
      </c>
      <c r="AB339" s="15" t="s">
        <v>40</v>
      </c>
      <c r="AC339" s="22">
        <v>46208.544722222221</v>
      </c>
      <c r="AD339" s="22">
        <v>46208.915358796294</v>
      </c>
      <c r="AE339" s="15">
        <v>533.72</v>
      </c>
      <c r="AF339" s="15">
        <v>10.38</v>
      </c>
      <c r="AG339" s="15">
        <v>120</v>
      </c>
      <c r="AH339" s="15" t="s">
        <v>40</v>
      </c>
      <c r="AI339" s="14"/>
      <c r="AJ339" s="16">
        <v>129600</v>
      </c>
      <c r="AK339" s="1">
        <f t="shared" si="20"/>
        <v>129589.62</v>
      </c>
      <c r="AL339" s="2">
        <f t="shared" si="21"/>
        <v>99.991990740740732</v>
      </c>
      <c r="AM339" s="16">
        <f t="shared" si="22"/>
        <v>129066.28</v>
      </c>
      <c r="AN339" s="2">
        <f t="shared" si="23"/>
        <v>99.588179012345677</v>
      </c>
    </row>
    <row r="340" spans="1:40" x14ac:dyDescent="0.35">
      <c r="A340" s="14" t="s">
        <v>27</v>
      </c>
      <c r="B340" s="14" t="s">
        <v>28</v>
      </c>
      <c r="C340" s="14" t="s">
        <v>73</v>
      </c>
      <c r="D340" s="14" t="s">
        <v>631</v>
      </c>
      <c r="E340" s="14" t="s">
        <v>193</v>
      </c>
      <c r="F340" s="14" t="s">
        <v>32</v>
      </c>
      <c r="G340" s="14" t="s">
        <v>33</v>
      </c>
      <c r="H340" s="14" t="s">
        <v>964</v>
      </c>
      <c r="I340" s="14" t="s">
        <v>195</v>
      </c>
      <c r="J340" s="14" t="s">
        <v>195</v>
      </c>
      <c r="K340" s="14" t="s">
        <v>204</v>
      </c>
      <c r="L340" s="14" t="s">
        <v>973</v>
      </c>
      <c r="M340" s="14" t="s">
        <v>194</v>
      </c>
      <c r="N340" s="14" t="s">
        <v>974</v>
      </c>
      <c r="O340" s="14" t="s">
        <v>991</v>
      </c>
      <c r="P340" s="14"/>
      <c r="Q340" s="14" t="s">
        <v>196</v>
      </c>
      <c r="R340" s="14" t="s">
        <v>36</v>
      </c>
      <c r="S340" s="14" t="s">
        <v>104</v>
      </c>
      <c r="T340" s="14" t="s">
        <v>200</v>
      </c>
      <c r="U340" s="14" t="s">
        <v>441</v>
      </c>
      <c r="V340" s="22">
        <v>46208.538935185185</v>
      </c>
      <c r="W340" s="22">
        <v>46208.918055555558</v>
      </c>
      <c r="X340" s="15">
        <v>545.92999999999995</v>
      </c>
      <c r="Y340" s="22">
        <v>46208.538946759261</v>
      </c>
      <c r="Z340" s="15">
        <v>0.02</v>
      </c>
      <c r="AA340" s="15">
        <v>30</v>
      </c>
      <c r="AB340" s="15" t="s">
        <v>40</v>
      </c>
      <c r="AC340" s="22">
        <v>46208.545486111114</v>
      </c>
      <c r="AD340" s="22">
        <v>46208.916724537034</v>
      </c>
      <c r="AE340" s="15">
        <v>534.58000000000004</v>
      </c>
      <c r="AF340" s="15">
        <v>11.35</v>
      </c>
      <c r="AG340" s="15">
        <v>120</v>
      </c>
      <c r="AH340" s="15" t="s">
        <v>40</v>
      </c>
      <c r="AI340" s="14"/>
      <c r="AJ340" s="16">
        <v>129600</v>
      </c>
      <c r="AK340" s="1">
        <f t="shared" si="20"/>
        <v>129588.65</v>
      </c>
      <c r="AL340" s="2">
        <f t="shared" si="21"/>
        <v>99.991242283950612</v>
      </c>
      <c r="AM340" s="16">
        <f t="shared" si="22"/>
        <v>129065.42</v>
      </c>
      <c r="AN340" s="2">
        <f t="shared" si="23"/>
        <v>99.587515432098755</v>
      </c>
    </row>
    <row r="341" spans="1:40" x14ac:dyDescent="0.35">
      <c r="A341" s="14" t="s">
        <v>27</v>
      </c>
      <c r="B341" s="14" t="s">
        <v>28</v>
      </c>
      <c r="C341" s="14" t="s">
        <v>110</v>
      </c>
      <c r="D341" s="14" t="s">
        <v>466</v>
      </c>
      <c r="E341" s="14" t="s">
        <v>193</v>
      </c>
      <c r="F341" s="14" t="s">
        <v>32</v>
      </c>
      <c r="G341" s="14" t="s">
        <v>33</v>
      </c>
      <c r="H341" s="14" t="s">
        <v>964</v>
      </c>
      <c r="I341" s="14" t="s">
        <v>468</v>
      </c>
      <c r="J341" s="14" t="s">
        <v>468</v>
      </c>
      <c r="K341" s="14" t="s">
        <v>204</v>
      </c>
      <c r="L341" s="14" t="s">
        <v>973</v>
      </c>
      <c r="M341" s="14" t="s">
        <v>467</v>
      </c>
      <c r="N341" s="14" t="s">
        <v>974</v>
      </c>
      <c r="O341" s="14" t="s">
        <v>991</v>
      </c>
      <c r="P341" s="14"/>
      <c r="Q341" s="14" t="s">
        <v>196</v>
      </c>
      <c r="R341" s="14" t="s">
        <v>36</v>
      </c>
      <c r="S341" s="14" t="s">
        <v>104</v>
      </c>
      <c r="T341" s="14" t="s">
        <v>200</v>
      </c>
      <c r="U341" s="14" t="s">
        <v>200</v>
      </c>
      <c r="V341" s="22">
        <v>46208.539641203701</v>
      </c>
      <c r="W341" s="22">
        <v>46211.440972222219</v>
      </c>
      <c r="X341" s="15">
        <v>4177.92</v>
      </c>
      <c r="Y341" s="22">
        <v>46208.539652777778</v>
      </c>
      <c r="Z341" s="15">
        <v>0.02</v>
      </c>
      <c r="AA341" s="15">
        <v>30</v>
      </c>
      <c r="AB341" s="15" t="s">
        <v>40</v>
      </c>
      <c r="AC341" s="22">
        <v>46208.546180555553</v>
      </c>
      <c r="AD341" s="22">
        <v>46211.440185185187</v>
      </c>
      <c r="AE341" s="15">
        <v>4167.37</v>
      </c>
      <c r="AF341" s="15">
        <v>10.55</v>
      </c>
      <c r="AG341" s="15">
        <v>120</v>
      </c>
      <c r="AH341" s="15" t="s">
        <v>40</v>
      </c>
      <c r="AI341" s="14"/>
      <c r="AJ341" s="16">
        <v>129600</v>
      </c>
      <c r="AK341" s="1">
        <f t="shared" si="20"/>
        <v>129589.45</v>
      </c>
      <c r="AL341" s="2">
        <f t="shared" si="21"/>
        <v>99.99185956790123</v>
      </c>
      <c r="AM341" s="16">
        <f t="shared" si="22"/>
        <v>125432.63</v>
      </c>
      <c r="AN341" s="2">
        <f t="shared" si="23"/>
        <v>96.784436728395065</v>
      </c>
    </row>
    <row r="342" spans="1:40" x14ac:dyDescent="0.35">
      <c r="A342" s="14" t="s">
        <v>27</v>
      </c>
      <c r="B342" s="14" t="s">
        <v>28</v>
      </c>
      <c r="C342" s="14" t="s">
        <v>110</v>
      </c>
      <c r="D342" s="14" t="s">
        <v>152</v>
      </c>
      <c r="E342" s="14" t="s">
        <v>31</v>
      </c>
      <c r="F342" s="14" t="s">
        <v>32</v>
      </c>
      <c r="G342" s="14" t="s">
        <v>33</v>
      </c>
      <c r="H342" s="14" t="s">
        <v>972</v>
      </c>
      <c r="I342" s="14" t="s">
        <v>50</v>
      </c>
      <c r="J342" s="14" t="s">
        <v>50</v>
      </c>
      <c r="K342" s="14" t="s">
        <v>180</v>
      </c>
      <c r="L342" s="14" t="s">
        <v>967</v>
      </c>
      <c r="M342" s="14" t="s">
        <v>49</v>
      </c>
      <c r="N342" s="14" t="s">
        <v>992</v>
      </c>
      <c r="O342" s="14" t="s">
        <v>993</v>
      </c>
      <c r="P342" s="14"/>
      <c r="Q342" s="14" t="s">
        <v>35</v>
      </c>
      <c r="R342" s="14" t="s">
        <v>36</v>
      </c>
      <c r="S342" s="14" t="s">
        <v>37</v>
      </c>
      <c r="T342" s="14" t="s">
        <v>59</v>
      </c>
      <c r="U342" s="14" t="s">
        <v>64</v>
      </c>
      <c r="V342" s="22">
        <v>46208.748900462961</v>
      </c>
      <c r="W342" s="22">
        <v>46209.672222222223</v>
      </c>
      <c r="X342" s="15">
        <v>1329.58</v>
      </c>
      <c r="Y342" s="22">
        <v>46208.748912037037</v>
      </c>
      <c r="Z342" s="15">
        <v>0.02</v>
      </c>
      <c r="AA342" s="15">
        <v>30</v>
      </c>
      <c r="AB342" s="15" t="s">
        <v>40</v>
      </c>
      <c r="AC342" s="22">
        <v>46208.750243055554</v>
      </c>
      <c r="AD342" s="22">
        <v>46209.671516203707</v>
      </c>
      <c r="AE342" s="15">
        <v>1326.63</v>
      </c>
      <c r="AF342" s="15">
        <v>2.95</v>
      </c>
      <c r="AG342" s="15">
        <v>120</v>
      </c>
      <c r="AH342" s="15" t="s">
        <v>40</v>
      </c>
      <c r="AI342" s="14"/>
      <c r="AJ342" s="16">
        <v>129600</v>
      </c>
      <c r="AK342" s="1">
        <f t="shared" si="20"/>
        <v>129597.05</v>
      </c>
      <c r="AL342" s="2">
        <f t="shared" si="21"/>
        <v>99.997723765432099</v>
      </c>
      <c r="AM342" s="16">
        <f t="shared" si="22"/>
        <v>128273.37</v>
      </c>
      <c r="AN342" s="2">
        <f t="shared" si="23"/>
        <v>98.976365740740732</v>
      </c>
    </row>
    <row r="343" spans="1:40" x14ac:dyDescent="0.35">
      <c r="A343" s="14" t="s">
        <v>27</v>
      </c>
      <c r="B343" s="14" t="s">
        <v>28</v>
      </c>
      <c r="C343" s="14" t="s">
        <v>110</v>
      </c>
      <c r="D343" s="14" t="s">
        <v>564</v>
      </c>
      <c r="E343" s="14" t="s">
        <v>193</v>
      </c>
      <c r="F343" s="14" t="s">
        <v>32</v>
      </c>
      <c r="G343" s="14" t="s">
        <v>33</v>
      </c>
      <c r="H343" s="14" t="s">
        <v>972</v>
      </c>
      <c r="I343" s="14" t="s">
        <v>417</v>
      </c>
      <c r="J343" s="14" t="s">
        <v>417</v>
      </c>
      <c r="K343" s="14" t="s">
        <v>204</v>
      </c>
      <c r="L343" s="14" t="s">
        <v>973</v>
      </c>
      <c r="M343" s="14" t="s">
        <v>416</v>
      </c>
      <c r="N343" s="14" t="s">
        <v>974</v>
      </c>
      <c r="O343" s="14" t="s">
        <v>975</v>
      </c>
      <c r="P343" s="14"/>
      <c r="Q343" s="14" t="s">
        <v>196</v>
      </c>
      <c r="R343" s="14" t="s">
        <v>36</v>
      </c>
      <c r="S343" s="14" t="s">
        <v>37</v>
      </c>
      <c r="T343" s="14" t="s">
        <v>64</v>
      </c>
      <c r="U343" s="14" t="s">
        <v>64</v>
      </c>
      <c r="V343" s="22">
        <v>46208.748935185184</v>
      </c>
      <c r="W343" s="22">
        <v>46209.671527777777</v>
      </c>
      <c r="X343" s="15">
        <v>1328.53</v>
      </c>
      <c r="Y343" s="22">
        <v>46208.74894675926</v>
      </c>
      <c r="Z343" s="15">
        <v>0.02</v>
      </c>
      <c r="AA343" s="15">
        <v>30</v>
      </c>
      <c r="AB343" s="15" t="s">
        <v>40</v>
      </c>
      <c r="AC343" s="22">
        <v>46208.750949074078</v>
      </c>
      <c r="AD343" s="22">
        <v>46209.670555555553</v>
      </c>
      <c r="AE343" s="15">
        <v>1324.23</v>
      </c>
      <c r="AF343" s="15">
        <v>4.3</v>
      </c>
      <c r="AG343" s="15">
        <v>120</v>
      </c>
      <c r="AH343" s="15" t="s">
        <v>40</v>
      </c>
      <c r="AI343" s="14"/>
      <c r="AJ343" s="16">
        <v>129600</v>
      </c>
      <c r="AK343" s="1">
        <f t="shared" si="20"/>
        <v>129595.7</v>
      </c>
      <c r="AL343" s="2">
        <f t="shared" si="21"/>
        <v>99.996682098765433</v>
      </c>
      <c r="AM343" s="16">
        <f t="shared" si="22"/>
        <v>128275.77</v>
      </c>
      <c r="AN343" s="2">
        <f t="shared" si="23"/>
        <v>98.9782175925926</v>
      </c>
    </row>
    <row r="344" spans="1:40" x14ac:dyDescent="0.35">
      <c r="A344" s="14" t="s">
        <v>27</v>
      </c>
      <c r="B344" s="14" t="s">
        <v>28</v>
      </c>
      <c r="C344" s="14" t="s">
        <v>110</v>
      </c>
      <c r="D344" s="14" t="s">
        <v>607</v>
      </c>
      <c r="E344" s="14" t="s">
        <v>193</v>
      </c>
      <c r="F344" s="14" t="s">
        <v>32</v>
      </c>
      <c r="G344" s="14" t="s">
        <v>33</v>
      </c>
      <c r="H344" s="14" t="s">
        <v>964</v>
      </c>
      <c r="I344" s="14" t="s">
        <v>504</v>
      </c>
      <c r="J344" s="14" t="s">
        <v>504</v>
      </c>
      <c r="K344" s="14" t="s">
        <v>204</v>
      </c>
      <c r="L344" s="14" t="s">
        <v>973</v>
      </c>
      <c r="M344" s="14" t="s">
        <v>503</v>
      </c>
      <c r="N344" s="14" t="s">
        <v>990</v>
      </c>
      <c r="O344" s="14" t="s">
        <v>991</v>
      </c>
      <c r="P344" s="14"/>
      <c r="Q344" s="14" t="s">
        <v>196</v>
      </c>
      <c r="R344" s="14" t="s">
        <v>36</v>
      </c>
      <c r="S344" s="14" t="s">
        <v>104</v>
      </c>
      <c r="T344" s="14" t="s">
        <v>200</v>
      </c>
      <c r="U344" s="14" t="s">
        <v>222</v>
      </c>
      <c r="V344" s="22">
        <v>46208.773842592593</v>
      </c>
      <c r="W344" s="22">
        <v>46211.44027777778</v>
      </c>
      <c r="X344" s="15">
        <v>3839.67</v>
      </c>
      <c r="Y344" s="22">
        <v>46208.773854166669</v>
      </c>
      <c r="Z344" s="15">
        <v>0.02</v>
      </c>
      <c r="AA344" s="15">
        <v>30</v>
      </c>
      <c r="AB344" s="15" t="s">
        <v>40</v>
      </c>
      <c r="AC344" s="22">
        <v>46208.777002314811</v>
      </c>
      <c r="AD344" s="22">
        <v>46211.43922453704</v>
      </c>
      <c r="AE344" s="15">
        <v>3833.6</v>
      </c>
      <c r="AF344" s="15">
        <v>6.07</v>
      </c>
      <c r="AG344" s="15">
        <v>120</v>
      </c>
      <c r="AH344" s="15" t="s">
        <v>40</v>
      </c>
      <c r="AI344" s="14"/>
      <c r="AJ344" s="16">
        <v>129600</v>
      </c>
      <c r="AK344" s="1">
        <f t="shared" si="20"/>
        <v>129593.93</v>
      </c>
      <c r="AL344" s="2">
        <f t="shared" si="21"/>
        <v>99.995316358024695</v>
      </c>
      <c r="AM344" s="16">
        <f t="shared" si="22"/>
        <v>125766.39999999999</v>
      </c>
      <c r="AN344" s="2">
        <f t="shared" si="23"/>
        <v>97.041975308641966</v>
      </c>
    </row>
    <row r="345" spans="1:40" x14ac:dyDescent="0.35">
      <c r="A345" s="14" t="s">
        <v>27</v>
      </c>
      <c r="B345" s="14" t="s">
        <v>28</v>
      </c>
      <c r="C345" s="14" t="s">
        <v>110</v>
      </c>
      <c r="D345" s="14" t="s">
        <v>786</v>
      </c>
      <c r="E345" s="14" t="s">
        <v>193</v>
      </c>
      <c r="F345" s="14" t="s">
        <v>32</v>
      </c>
      <c r="G345" s="14" t="s">
        <v>33</v>
      </c>
      <c r="H345" s="14" t="s">
        <v>964</v>
      </c>
      <c r="I345" s="14" t="s">
        <v>363</v>
      </c>
      <c r="J345" s="14" t="s">
        <v>363</v>
      </c>
      <c r="K345" s="14" t="s">
        <v>204</v>
      </c>
      <c r="L345" s="14" t="s">
        <v>973</v>
      </c>
      <c r="M345" s="14" t="s">
        <v>362</v>
      </c>
      <c r="N345" s="14" t="s">
        <v>990</v>
      </c>
      <c r="O345" s="14" t="s">
        <v>991</v>
      </c>
      <c r="P345" s="14"/>
      <c r="Q345" s="14" t="s">
        <v>196</v>
      </c>
      <c r="R345" s="14" t="s">
        <v>36</v>
      </c>
      <c r="S345" s="14" t="s">
        <v>104</v>
      </c>
      <c r="T345" s="14" t="s">
        <v>200</v>
      </c>
      <c r="U345" s="14" t="s">
        <v>787</v>
      </c>
      <c r="V345" s="22">
        <v>46208.773842592593</v>
      </c>
      <c r="W345" s="22">
        <v>46220.549305555556</v>
      </c>
      <c r="X345" s="15">
        <v>16956.669999999998</v>
      </c>
      <c r="Y345" s="22">
        <v>46208.773854166669</v>
      </c>
      <c r="Z345" s="15">
        <v>0.02</v>
      </c>
      <c r="AA345" s="15">
        <v>30</v>
      </c>
      <c r="AB345" s="15" t="s">
        <v>40</v>
      </c>
      <c r="AC345" s="22">
        <v>46208.777858796297</v>
      </c>
      <c r="AD345" s="22">
        <v>46220.548472222225</v>
      </c>
      <c r="AE345" s="15">
        <v>16949.68</v>
      </c>
      <c r="AF345" s="15">
        <v>6.98</v>
      </c>
      <c r="AG345" s="15">
        <v>120</v>
      </c>
      <c r="AH345" s="15" t="s">
        <v>40</v>
      </c>
      <c r="AI345" s="14"/>
      <c r="AJ345" s="16">
        <v>129600</v>
      </c>
      <c r="AK345" s="1">
        <f t="shared" si="20"/>
        <v>129593.02</v>
      </c>
      <c r="AL345" s="2">
        <f t="shared" si="21"/>
        <v>99.994614197530865</v>
      </c>
      <c r="AM345" s="16">
        <f t="shared" si="22"/>
        <v>112650.32</v>
      </c>
      <c r="AN345" s="2">
        <f t="shared" si="23"/>
        <v>86.921543209876546</v>
      </c>
    </row>
    <row r="346" spans="1:40" x14ac:dyDescent="0.35">
      <c r="A346" s="14" t="s">
        <v>27</v>
      </c>
      <c r="B346" s="14" t="s">
        <v>28</v>
      </c>
      <c r="C346" s="14" t="s">
        <v>73</v>
      </c>
      <c r="D346" s="14" t="s">
        <v>444</v>
      </c>
      <c r="E346" s="14" t="s">
        <v>193</v>
      </c>
      <c r="F346" s="14" t="s">
        <v>32</v>
      </c>
      <c r="G346" s="14" t="s">
        <v>33</v>
      </c>
      <c r="H346" s="14" t="s">
        <v>964</v>
      </c>
      <c r="I346" s="14" t="s">
        <v>195</v>
      </c>
      <c r="J346" s="14" t="s">
        <v>195</v>
      </c>
      <c r="K346" s="14" t="s">
        <v>204</v>
      </c>
      <c r="L346" s="14" t="s">
        <v>973</v>
      </c>
      <c r="M346" s="14" t="s">
        <v>194</v>
      </c>
      <c r="N346" s="14" t="s">
        <v>974</v>
      </c>
      <c r="O346" s="14" t="s">
        <v>991</v>
      </c>
      <c r="P346" s="14"/>
      <c r="Q346" s="14" t="s">
        <v>196</v>
      </c>
      <c r="R346" s="14" t="s">
        <v>36</v>
      </c>
      <c r="S346" s="14" t="s">
        <v>104</v>
      </c>
      <c r="T346" s="14" t="s">
        <v>445</v>
      </c>
      <c r="U346" s="14" t="s">
        <v>446</v>
      </c>
      <c r="V346" s="22">
        <v>46209.192557870374</v>
      </c>
      <c r="W346" s="22">
        <v>46216.972916666666</v>
      </c>
      <c r="X346" s="15">
        <v>11203.72</v>
      </c>
      <c r="Y346" s="22">
        <v>46209.192557870374</v>
      </c>
      <c r="Z346" s="15">
        <v>0</v>
      </c>
      <c r="AA346" s="15">
        <v>30</v>
      </c>
      <c r="AB346" s="15" t="s">
        <v>40</v>
      </c>
      <c r="AC346" s="22">
        <v>46209.195138888892</v>
      </c>
      <c r="AD346" s="22">
        <v>46216.971307870372</v>
      </c>
      <c r="AE346" s="15">
        <v>11197.68</v>
      </c>
      <c r="AF346" s="15">
        <v>6.03</v>
      </c>
      <c r="AG346" s="15">
        <v>120</v>
      </c>
      <c r="AH346" s="15" t="s">
        <v>40</v>
      </c>
      <c r="AI346" s="14"/>
      <c r="AJ346" s="16">
        <v>129600</v>
      </c>
      <c r="AK346" s="1">
        <f t="shared" si="20"/>
        <v>129593.97</v>
      </c>
      <c r="AL346" s="2">
        <f t="shared" si="21"/>
        <v>99.995347222222222</v>
      </c>
      <c r="AM346" s="16">
        <f t="shared" si="22"/>
        <v>118402.32</v>
      </c>
      <c r="AN346" s="2">
        <f t="shared" si="23"/>
        <v>91.359814814814825</v>
      </c>
    </row>
    <row r="347" spans="1:40" x14ac:dyDescent="0.35">
      <c r="A347" s="14" t="s">
        <v>27</v>
      </c>
      <c r="B347" s="14" t="s">
        <v>28</v>
      </c>
      <c r="C347" s="14" t="s">
        <v>47</v>
      </c>
      <c r="D347" s="14" t="s">
        <v>443</v>
      </c>
      <c r="E347" s="14" t="s">
        <v>193</v>
      </c>
      <c r="F347" s="14" t="s">
        <v>32</v>
      </c>
      <c r="G347" s="14" t="s">
        <v>33</v>
      </c>
      <c r="H347" s="14" t="s">
        <v>964</v>
      </c>
      <c r="I347" s="14" t="s">
        <v>294</v>
      </c>
      <c r="J347" s="14" t="s">
        <v>294</v>
      </c>
      <c r="K347" s="14" t="s">
        <v>204</v>
      </c>
      <c r="L347" s="14" t="s">
        <v>973</v>
      </c>
      <c r="M347" s="14" t="s">
        <v>293</v>
      </c>
      <c r="N347" s="14" t="s">
        <v>974</v>
      </c>
      <c r="O347" s="14" t="s">
        <v>991</v>
      </c>
      <c r="P347" s="14"/>
      <c r="Q347" s="14" t="s">
        <v>196</v>
      </c>
      <c r="R347" s="14" t="s">
        <v>36</v>
      </c>
      <c r="S347" s="14" t="s">
        <v>104</v>
      </c>
      <c r="T347" s="14" t="s">
        <v>37</v>
      </c>
      <c r="U347" s="14" t="s">
        <v>222</v>
      </c>
      <c r="V347" s="22">
        <v>46209.479629629626</v>
      </c>
      <c r="W347" s="22">
        <v>46209.698611111111</v>
      </c>
      <c r="X347" s="15">
        <v>315.33</v>
      </c>
      <c r="Y347" s="22">
        <v>46209.479641203703</v>
      </c>
      <c r="Z347" s="15">
        <v>0.02</v>
      </c>
      <c r="AA347" s="15">
        <v>30</v>
      </c>
      <c r="AB347" s="15" t="s">
        <v>40</v>
      </c>
      <c r="AC347" s="22">
        <v>46209.481365740743</v>
      </c>
      <c r="AD347" s="22">
        <v>46209.692673611113</v>
      </c>
      <c r="AE347" s="15">
        <v>304.27999999999997</v>
      </c>
      <c r="AF347" s="15">
        <v>11.05</v>
      </c>
      <c r="AG347" s="15">
        <v>120</v>
      </c>
      <c r="AH347" s="15" t="s">
        <v>40</v>
      </c>
      <c r="AI347" s="14"/>
      <c r="AJ347" s="16">
        <v>129600</v>
      </c>
      <c r="AK347" s="1">
        <f t="shared" si="20"/>
        <v>129588.95</v>
      </c>
      <c r="AL347" s="2">
        <f t="shared" si="21"/>
        <v>99.99147376543209</v>
      </c>
      <c r="AM347" s="16">
        <f t="shared" si="22"/>
        <v>129295.72</v>
      </c>
      <c r="AN347" s="2">
        <f t="shared" si="23"/>
        <v>99.765216049382715</v>
      </c>
    </row>
    <row r="348" spans="1:40" x14ac:dyDescent="0.35">
      <c r="A348" s="14" t="s">
        <v>27</v>
      </c>
      <c r="B348" s="14" t="s">
        <v>28</v>
      </c>
      <c r="C348" s="14" t="s">
        <v>47</v>
      </c>
      <c r="D348" s="14" t="s">
        <v>514</v>
      </c>
      <c r="E348" s="14" t="s">
        <v>193</v>
      </c>
      <c r="F348" s="14" t="s">
        <v>32</v>
      </c>
      <c r="G348" s="14" t="s">
        <v>33</v>
      </c>
      <c r="H348" s="14" t="s">
        <v>964</v>
      </c>
      <c r="I348" s="14" t="s">
        <v>284</v>
      </c>
      <c r="J348" s="14" t="s">
        <v>284</v>
      </c>
      <c r="K348" s="14" t="s">
        <v>204</v>
      </c>
      <c r="L348" s="14" t="s">
        <v>973</v>
      </c>
      <c r="M348" s="14" t="s">
        <v>283</v>
      </c>
      <c r="N348" s="14" t="s">
        <v>974</v>
      </c>
      <c r="O348" s="14" t="s">
        <v>991</v>
      </c>
      <c r="P348" s="14"/>
      <c r="Q348" s="14" t="s">
        <v>196</v>
      </c>
      <c r="R348" s="14" t="s">
        <v>36</v>
      </c>
      <c r="S348" s="14" t="s">
        <v>104</v>
      </c>
      <c r="T348" s="14" t="s">
        <v>132</v>
      </c>
      <c r="U348" s="14" t="s">
        <v>222</v>
      </c>
      <c r="V348" s="22">
        <v>46209.479664351849</v>
      </c>
      <c r="W348" s="22">
        <v>46209.695833333331</v>
      </c>
      <c r="X348" s="15">
        <v>311.27999999999997</v>
      </c>
      <c r="Y348" s="22">
        <v>46209.479687500003</v>
      </c>
      <c r="Z348" s="15">
        <v>0.03</v>
      </c>
      <c r="AA348" s="15">
        <v>30</v>
      </c>
      <c r="AB348" s="15" t="s">
        <v>40</v>
      </c>
      <c r="AC348" s="22">
        <v>46209.483020833337</v>
      </c>
      <c r="AD348" s="22">
        <v>46209.69326388889</v>
      </c>
      <c r="AE348" s="15">
        <v>302.75</v>
      </c>
      <c r="AF348" s="15">
        <v>8.5299999999999994</v>
      </c>
      <c r="AG348" s="15">
        <v>120</v>
      </c>
      <c r="AH348" s="15" t="s">
        <v>40</v>
      </c>
      <c r="AI348" s="14"/>
      <c r="AJ348" s="16">
        <v>129600</v>
      </c>
      <c r="AK348" s="1">
        <f t="shared" si="20"/>
        <v>129591.47</v>
      </c>
      <c r="AL348" s="2">
        <f t="shared" si="21"/>
        <v>99.993418209876538</v>
      </c>
      <c r="AM348" s="16">
        <f t="shared" si="22"/>
        <v>129297.25</v>
      </c>
      <c r="AN348" s="2">
        <f t="shared" si="23"/>
        <v>99.766396604938265</v>
      </c>
    </row>
    <row r="349" spans="1:40" x14ac:dyDescent="0.35">
      <c r="A349" s="14" t="s">
        <v>27</v>
      </c>
      <c r="B349" s="14" t="s">
        <v>28</v>
      </c>
      <c r="C349" s="14" t="s">
        <v>65</v>
      </c>
      <c r="D349" s="14" t="s">
        <v>393</v>
      </c>
      <c r="E349" s="14" t="s">
        <v>193</v>
      </c>
      <c r="F349" s="14" t="s">
        <v>32</v>
      </c>
      <c r="G349" s="14" t="s">
        <v>33</v>
      </c>
      <c r="H349" s="14" t="s">
        <v>964</v>
      </c>
      <c r="I349" s="14" t="s">
        <v>363</v>
      </c>
      <c r="J349" s="14" t="s">
        <v>363</v>
      </c>
      <c r="K349" s="14" t="s">
        <v>204</v>
      </c>
      <c r="L349" s="14" t="s">
        <v>973</v>
      </c>
      <c r="M349" s="14" t="s">
        <v>362</v>
      </c>
      <c r="N349" s="14" t="s">
        <v>990</v>
      </c>
      <c r="O349" s="14" t="s">
        <v>991</v>
      </c>
      <c r="P349" s="14"/>
      <c r="Q349" s="14" t="s">
        <v>196</v>
      </c>
      <c r="R349" s="14" t="s">
        <v>36</v>
      </c>
      <c r="S349" s="14" t="s">
        <v>104</v>
      </c>
      <c r="T349" s="14" t="s">
        <v>394</v>
      </c>
      <c r="U349" s="14" t="s">
        <v>395</v>
      </c>
      <c r="V349" s="22">
        <v>46209.510034722225</v>
      </c>
      <c r="W349" s="22">
        <v>46213.534722222219</v>
      </c>
      <c r="X349" s="15">
        <v>5795.55</v>
      </c>
      <c r="Y349" s="22">
        <v>46209.510034722225</v>
      </c>
      <c r="Z349" s="15">
        <v>0</v>
      </c>
      <c r="AA349" s="15">
        <v>30</v>
      </c>
      <c r="AB349" s="15" t="s">
        <v>40</v>
      </c>
      <c r="AC349" s="22">
        <v>46209.520787037036</v>
      </c>
      <c r="AD349" s="22">
        <v>46213.533912037034</v>
      </c>
      <c r="AE349" s="15">
        <v>5778.9</v>
      </c>
      <c r="AF349" s="15">
        <v>16.649999999999999</v>
      </c>
      <c r="AG349" s="15">
        <v>120</v>
      </c>
      <c r="AH349" s="15" t="s">
        <v>40</v>
      </c>
      <c r="AI349" s="14"/>
      <c r="AJ349" s="16">
        <v>129600</v>
      </c>
      <c r="AK349" s="1">
        <f t="shared" si="20"/>
        <v>129583.35</v>
      </c>
      <c r="AL349" s="2">
        <f t="shared" si="21"/>
        <v>99.98715277777778</v>
      </c>
      <c r="AM349" s="16">
        <f t="shared" si="22"/>
        <v>123821.1</v>
      </c>
      <c r="AN349" s="2">
        <f t="shared" si="23"/>
        <v>95.540972222222237</v>
      </c>
    </row>
    <row r="350" spans="1:40" x14ac:dyDescent="0.35">
      <c r="A350" s="14" t="s">
        <v>27</v>
      </c>
      <c r="B350" s="14" t="s">
        <v>28</v>
      </c>
      <c r="C350" s="14" t="s">
        <v>65</v>
      </c>
      <c r="D350" s="14" t="s">
        <v>761</v>
      </c>
      <c r="E350" s="14" t="s">
        <v>193</v>
      </c>
      <c r="F350" s="14" t="s">
        <v>32</v>
      </c>
      <c r="G350" s="14" t="s">
        <v>33</v>
      </c>
      <c r="H350" s="14" t="s">
        <v>964</v>
      </c>
      <c r="I350" s="14" t="s">
        <v>465</v>
      </c>
      <c r="J350" s="14" t="s">
        <v>465</v>
      </c>
      <c r="K350" s="14" t="s">
        <v>204</v>
      </c>
      <c r="L350" s="14" t="s">
        <v>973</v>
      </c>
      <c r="M350" s="14" t="s">
        <v>464</v>
      </c>
      <c r="N350" s="14" t="s">
        <v>990</v>
      </c>
      <c r="O350" s="14" t="s">
        <v>991</v>
      </c>
      <c r="P350" s="14"/>
      <c r="Q350" s="14" t="s">
        <v>196</v>
      </c>
      <c r="R350" s="14" t="s">
        <v>36</v>
      </c>
      <c r="S350" s="14" t="s">
        <v>104</v>
      </c>
      <c r="T350" s="14" t="s">
        <v>598</v>
      </c>
      <c r="U350" s="14" t="s">
        <v>456</v>
      </c>
      <c r="V350" s="22">
        <v>46209.510034722225</v>
      </c>
      <c r="W350" s="22">
        <v>46211.430555555555</v>
      </c>
      <c r="X350" s="15">
        <v>2765.55</v>
      </c>
      <c r="Y350" s="22">
        <v>46209.510046296295</v>
      </c>
      <c r="Z350" s="15">
        <v>0.02</v>
      </c>
      <c r="AA350" s="15">
        <v>30</v>
      </c>
      <c r="AB350" s="15" t="s">
        <v>40</v>
      </c>
      <c r="AC350" s="22">
        <v>46209.519166666665</v>
      </c>
      <c r="AD350" s="22">
        <v>46211.429513888892</v>
      </c>
      <c r="AE350" s="15">
        <v>2750.9</v>
      </c>
      <c r="AF350" s="15">
        <v>14.65</v>
      </c>
      <c r="AG350" s="15">
        <v>120</v>
      </c>
      <c r="AH350" s="15" t="s">
        <v>40</v>
      </c>
      <c r="AI350" s="14"/>
      <c r="AJ350" s="16">
        <v>129600</v>
      </c>
      <c r="AK350" s="1">
        <f t="shared" si="20"/>
        <v>129585.35</v>
      </c>
      <c r="AL350" s="2">
        <f t="shared" si="21"/>
        <v>99.988695987654324</v>
      </c>
      <c r="AM350" s="16">
        <f t="shared" si="22"/>
        <v>126849.1</v>
      </c>
      <c r="AN350" s="2">
        <f t="shared" si="23"/>
        <v>97.877391975308655</v>
      </c>
    </row>
    <row r="351" spans="1:40" x14ac:dyDescent="0.35">
      <c r="A351" s="14" t="s">
        <v>27</v>
      </c>
      <c r="B351" s="14" t="s">
        <v>28</v>
      </c>
      <c r="C351" s="14" t="s">
        <v>65</v>
      </c>
      <c r="D351" s="14" t="s">
        <v>559</v>
      </c>
      <c r="E351" s="14" t="s">
        <v>193</v>
      </c>
      <c r="F351" s="14" t="s">
        <v>32</v>
      </c>
      <c r="G351" s="14" t="s">
        <v>33</v>
      </c>
      <c r="H351" s="14" t="s">
        <v>964</v>
      </c>
      <c r="I351" s="14" t="s">
        <v>504</v>
      </c>
      <c r="J351" s="14" t="s">
        <v>504</v>
      </c>
      <c r="K351" s="14" t="s">
        <v>204</v>
      </c>
      <c r="L351" s="14" t="s">
        <v>973</v>
      </c>
      <c r="M351" s="14" t="s">
        <v>503</v>
      </c>
      <c r="N351" s="14" t="s">
        <v>990</v>
      </c>
      <c r="O351" s="14" t="s">
        <v>991</v>
      </c>
      <c r="P351" s="14"/>
      <c r="Q351" s="14" t="s">
        <v>196</v>
      </c>
      <c r="R351" s="14" t="s">
        <v>36</v>
      </c>
      <c r="S351" s="14" t="s">
        <v>104</v>
      </c>
      <c r="T351" s="14" t="s">
        <v>455</v>
      </c>
      <c r="U351" s="14" t="s">
        <v>560</v>
      </c>
      <c r="V351" s="22">
        <v>46209.520243055558</v>
      </c>
      <c r="W351" s="22">
        <v>46211.429166666669</v>
      </c>
      <c r="X351" s="15">
        <v>2748.85</v>
      </c>
      <c r="Y351" s="22">
        <v>46209.520254629628</v>
      </c>
      <c r="Z351" s="15">
        <v>0.02</v>
      </c>
      <c r="AA351" s="15">
        <v>30</v>
      </c>
      <c r="AB351" s="15" t="s">
        <v>40</v>
      </c>
      <c r="AC351" s="22">
        <v>46209.523958333331</v>
      </c>
      <c r="AD351" s="22">
        <v>46211.42827546296</v>
      </c>
      <c r="AE351" s="15">
        <v>2742.22</v>
      </c>
      <c r="AF351" s="15">
        <v>6.63</v>
      </c>
      <c r="AG351" s="15">
        <v>120</v>
      </c>
      <c r="AH351" s="15" t="s">
        <v>40</v>
      </c>
      <c r="AI351" s="14"/>
      <c r="AJ351" s="16">
        <v>129600</v>
      </c>
      <c r="AK351" s="1">
        <f t="shared" si="20"/>
        <v>129593.37</v>
      </c>
      <c r="AL351" s="2">
        <f t="shared" si="21"/>
        <v>99.994884259259251</v>
      </c>
      <c r="AM351" s="16">
        <f t="shared" si="22"/>
        <v>126857.78</v>
      </c>
      <c r="AN351" s="2">
        <f t="shared" si="23"/>
        <v>97.884089506172828</v>
      </c>
    </row>
    <row r="352" spans="1:40" x14ac:dyDescent="0.35">
      <c r="A352" s="14" t="s">
        <v>27</v>
      </c>
      <c r="B352" s="14" t="s">
        <v>28</v>
      </c>
      <c r="C352" s="14" t="s">
        <v>65</v>
      </c>
      <c r="D352" s="14" t="s">
        <v>454</v>
      </c>
      <c r="E352" s="14" t="s">
        <v>193</v>
      </c>
      <c r="F352" s="14" t="s">
        <v>32</v>
      </c>
      <c r="G352" s="14" t="s">
        <v>33</v>
      </c>
      <c r="H352" s="14" t="s">
        <v>964</v>
      </c>
      <c r="I352" s="14" t="s">
        <v>363</v>
      </c>
      <c r="J352" s="14" t="s">
        <v>363</v>
      </c>
      <c r="K352" s="14" t="s">
        <v>204</v>
      </c>
      <c r="L352" s="14" t="s">
        <v>973</v>
      </c>
      <c r="M352" s="14" t="s">
        <v>362</v>
      </c>
      <c r="N352" s="14" t="s">
        <v>990</v>
      </c>
      <c r="O352" s="14" t="s">
        <v>991</v>
      </c>
      <c r="P352" s="14"/>
      <c r="Q352" s="14" t="s">
        <v>196</v>
      </c>
      <c r="R352" s="14" t="s">
        <v>36</v>
      </c>
      <c r="S352" s="14" t="s">
        <v>104</v>
      </c>
      <c r="T352" s="14" t="s">
        <v>455</v>
      </c>
      <c r="U352" s="14" t="s">
        <v>456</v>
      </c>
      <c r="V352" s="22">
        <v>46209.520590277774</v>
      </c>
      <c r="W352" s="22">
        <v>46211.427777777775</v>
      </c>
      <c r="X352" s="15">
        <v>2746.35</v>
      </c>
      <c r="Y352" s="22">
        <v>46209.520601851851</v>
      </c>
      <c r="Z352" s="15">
        <v>0.02</v>
      </c>
      <c r="AA352" s="15">
        <v>30</v>
      </c>
      <c r="AB352" s="15" t="s">
        <v>40</v>
      </c>
      <c r="AC352" s="22">
        <v>46209.525520833333</v>
      </c>
      <c r="AD352" s="22">
        <v>46211.427071759259</v>
      </c>
      <c r="AE352" s="15">
        <v>2738.23</v>
      </c>
      <c r="AF352" s="15">
        <v>8.1199999999999992</v>
      </c>
      <c r="AG352" s="15">
        <v>120</v>
      </c>
      <c r="AH352" s="15" t="s">
        <v>40</v>
      </c>
      <c r="AI352" s="14"/>
      <c r="AJ352" s="16">
        <v>129600</v>
      </c>
      <c r="AK352" s="1">
        <f t="shared" si="20"/>
        <v>129591.88</v>
      </c>
      <c r="AL352" s="2">
        <f t="shared" si="21"/>
        <v>99.993734567901242</v>
      </c>
      <c r="AM352" s="16">
        <f t="shared" si="22"/>
        <v>126861.77</v>
      </c>
      <c r="AN352" s="2">
        <f t="shared" si="23"/>
        <v>97.887168209876549</v>
      </c>
    </row>
    <row r="353" spans="1:40" x14ac:dyDescent="0.35">
      <c r="A353" s="14" t="s">
        <v>27</v>
      </c>
      <c r="B353" s="14" t="s">
        <v>28</v>
      </c>
      <c r="C353" s="14" t="s">
        <v>65</v>
      </c>
      <c r="D353" s="14" t="s">
        <v>776</v>
      </c>
      <c r="E353" s="14" t="s">
        <v>193</v>
      </c>
      <c r="F353" s="14" t="s">
        <v>32</v>
      </c>
      <c r="G353" s="14" t="s">
        <v>33</v>
      </c>
      <c r="H353" s="14" t="s">
        <v>964</v>
      </c>
      <c r="I353" s="14" t="s">
        <v>465</v>
      </c>
      <c r="J353" s="14" t="s">
        <v>465</v>
      </c>
      <c r="K353" s="14" t="s">
        <v>204</v>
      </c>
      <c r="L353" s="14" t="s">
        <v>973</v>
      </c>
      <c r="M353" s="14" t="s">
        <v>464</v>
      </c>
      <c r="N353" s="14" t="s">
        <v>990</v>
      </c>
      <c r="O353" s="14" t="s">
        <v>991</v>
      </c>
      <c r="P353" s="14"/>
      <c r="Q353" s="14" t="s">
        <v>196</v>
      </c>
      <c r="R353" s="14" t="s">
        <v>36</v>
      </c>
      <c r="S353" s="14" t="s">
        <v>104</v>
      </c>
      <c r="T353" s="14" t="s">
        <v>104</v>
      </c>
      <c r="U353" s="14" t="s">
        <v>777</v>
      </c>
      <c r="V353" s="22">
        <v>46209.520590277774</v>
      </c>
      <c r="W353" s="22">
        <v>46209.705555555556</v>
      </c>
      <c r="X353" s="15">
        <v>266.35000000000002</v>
      </c>
      <c r="Y353" s="22">
        <v>46209.520601851851</v>
      </c>
      <c r="Z353" s="15">
        <v>0.02</v>
      </c>
      <c r="AA353" s="15">
        <v>30</v>
      </c>
      <c r="AB353" s="15" t="s">
        <v>40</v>
      </c>
      <c r="AC353" s="22">
        <v>46209.527060185188</v>
      </c>
      <c r="AD353" s="22">
        <v>46209.7033912037</v>
      </c>
      <c r="AE353" s="15">
        <v>253.92</v>
      </c>
      <c r="AF353" s="15">
        <v>12.43</v>
      </c>
      <c r="AG353" s="15">
        <v>120</v>
      </c>
      <c r="AH353" s="15" t="s">
        <v>40</v>
      </c>
      <c r="AI353" s="14"/>
      <c r="AJ353" s="16">
        <v>129600</v>
      </c>
      <c r="AK353" s="1">
        <f t="shared" si="20"/>
        <v>129587.57</v>
      </c>
      <c r="AL353" s="2">
        <f t="shared" si="21"/>
        <v>99.990408950617294</v>
      </c>
      <c r="AM353" s="16">
        <f t="shared" si="22"/>
        <v>129346.08</v>
      </c>
      <c r="AN353" s="2">
        <f t="shared" si="23"/>
        <v>99.80407407407408</v>
      </c>
    </row>
    <row r="354" spans="1:40" x14ac:dyDescent="0.35">
      <c r="A354" s="14" t="s">
        <v>27</v>
      </c>
      <c r="B354" s="14" t="s">
        <v>94</v>
      </c>
      <c r="C354" s="14" t="s">
        <v>65</v>
      </c>
      <c r="D354" s="14" t="s">
        <v>858</v>
      </c>
      <c r="E354" s="14" t="s">
        <v>859</v>
      </c>
      <c r="F354" s="14" t="s">
        <v>32</v>
      </c>
      <c r="G354" s="14" t="s">
        <v>33</v>
      </c>
      <c r="H354" s="14" t="s">
        <v>964</v>
      </c>
      <c r="I354" s="14" t="s">
        <v>860</v>
      </c>
      <c r="J354" s="14" t="s">
        <v>860</v>
      </c>
      <c r="K354" s="14" t="s">
        <v>1033</v>
      </c>
      <c r="L354" s="14" t="s">
        <v>967</v>
      </c>
      <c r="M354" s="14">
        <v>1</v>
      </c>
      <c r="N354" s="14" t="e">
        <v>#N/A</v>
      </c>
      <c r="O354" s="14" t="e">
        <v>#N/A</v>
      </c>
      <c r="P354" s="14"/>
      <c r="Q354" s="14" t="s">
        <v>839</v>
      </c>
      <c r="R354" s="14" t="s">
        <v>861</v>
      </c>
      <c r="S354" s="14"/>
      <c r="T354" s="14" t="s">
        <v>862</v>
      </c>
      <c r="U354" s="14"/>
      <c r="V354" s="22">
        <v>46209.56622685185</v>
      </c>
      <c r="W354" s="15"/>
      <c r="X354" s="15"/>
      <c r="Y354" s="22">
        <v>46209.56622685185</v>
      </c>
      <c r="Z354" s="15">
        <v>0</v>
      </c>
      <c r="AA354" s="15">
        <v>30</v>
      </c>
      <c r="AB354" s="15"/>
      <c r="AC354" s="22">
        <v>46209.676192129627</v>
      </c>
      <c r="AD354" s="15"/>
      <c r="AE354" s="15">
        <v>0</v>
      </c>
      <c r="AF354" s="15"/>
      <c r="AG354" s="15">
        <v>1440</v>
      </c>
      <c r="AH354" s="15"/>
      <c r="AI354" s="14"/>
      <c r="AJ354" s="16">
        <v>129600</v>
      </c>
      <c r="AK354" s="1">
        <f t="shared" si="20"/>
        <v>129600</v>
      </c>
      <c r="AL354" s="2">
        <f t="shared" si="21"/>
        <v>100</v>
      </c>
      <c r="AM354" s="16">
        <f t="shared" si="22"/>
        <v>129600</v>
      </c>
      <c r="AN354" s="2">
        <f t="shared" si="23"/>
        <v>100</v>
      </c>
    </row>
    <row r="355" spans="1:40" x14ac:dyDescent="0.35">
      <c r="A355" s="14" t="s">
        <v>27</v>
      </c>
      <c r="B355" s="14" t="s">
        <v>28</v>
      </c>
      <c r="C355" s="14" t="s">
        <v>47</v>
      </c>
      <c r="D355" s="14" t="s">
        <v>301</v>
      </c>
      <c r="E355" s="14" t="s">
        <v>193</v>
      </c>
      <c r="F355" s="14" t="s">
        <v>32</v>
      </c>
      <c r="G355" s="14" t="s">
        <v>33</v>
      </c>
      <c r="H355" s="14" t="s">
        <v>964</v>
      </c>
      <c r="I355" s="14" t="s">
        <v>303</v>
      </c>
      <c r="J355" s="14" t="s">
        <v>303</v>
      </c>
      <c r="K355" s="14" t="s">
        <v>204</v>
      </c>
      <c r="L355" s="14" t="s">
        <v>973</v>
      </c>
      <c r="M355" s="14" t="s">
        <v>302</v>
      </c>
      <c r="N355" s="14" t="s">
        <v>974</v>
      </c>
      <c r="O355" s="14" t="s">
        <v>991</v>
      </c>
      <c r="P355" s="14"/>
      <c r="Q355" s="14" t="s">
        <v>196</v>
      </c>
      <c r="R355" s="14" t="s">
        <v>36</v>
      </c>
      <c r="S355" s="14" t="s">
        <v>104</v>
      </c>
      <c r="T355" s="14" t="s">
        <v>222</v>
      </c>
      <c r="U355" s="14" t="s">
        <v>234</v>
      </c>
      <c r="V355" s="22">
        <v>46209.690752314818</v>
      </c>
      <c r="W355" s="22">
        <v>46210.416666666664</v>
      </c>
      <c r="X355" s="15">
        <v>1045.32</v>
      </c>
      <c r="Y355" s="22">
        <v>46209.690763888888</v>
      </c>
      <c r="Z355" s="15">
        <v>0.02</v>
      </c>
      <c r="AA355" s="15">
        <v>30</v>
      </c>
      <c r="AB355" s="15" t="s">
        <v>40</v>
      </c>
      <c r="AC355" s="22">
        <v>46209.692326388889</v>
      </c>
      <c r="AD355" s="22">
        <v>46210.400335648148</v>
      </c>
      <c r="AE355" s="15">
        <v>1019.53</v>
      </c>
      <c r="AF355" s="15">
        <v>25.78</v>
      </c>
      <c r="AG355" s="15">
        <v>120</v>
      </c>
      <c r="AH355" s="15" t="s">
        <v>40</v>
      </c>
      <c r="AI355" s="14"/>
      <c r="AJ355" s="16">
        <v>129600</v>
      </c>
      <c r="AK355" s="1">
        <f t="shared" si="20"/>
        <v>129574.22</v>
      </c>
      <c r="AL355" s="2">
        <f t="shared" si="21"/>
        <v>99.980108024691361</v>
      </c>
      <c r="AM355" s="16">
        <f t="shared" si="22"/>
        <v>128580.47</v>
      </c>
      <c r="AN355" s="2">
        <f t="shared" si="23"/>
        <v>99.213325617283957</v>
      </c>
    </row>
    <row r="356" spans="1:40" x14ac:dyDescent="0.35">
      <c r="A356" s="14" t="s">
        <v>27</v>
      </c>
      <c r="B356" s="14" t="s">
        <v>28</v>
      </c>
      <c r="C356" s="14" t="s">
        <v>47</v>
      </c>
      <c r="D356" s="14" t="s">
        <v>714</v>
      </c>
      <c r="E356" s="14" t="s">
        <v>193</v>
      </c>
      <c r="F356" s="14" t="s">
        <v>32</v>
      </c>
      <c r="G356" s="14" t="s">
        <v>33</v>
      </c>
      <c r="H356" s="14" t="s">
        <v>964</v>
      </c>
      <c r="I356" s="14" t="s">
        <v>434</v>
      </c>
      <c r="J356" s="14" t="s">
        <v>434</v>
      </c>
      <c r="K356" s="14" t="s">
        <v>204</v>
      </c>
      <c r="L356" s="14" t="s">
        <v>973</v>
      </c>
      <c r="M356" s="14" t="s">
        <v>433</v>
      </c>
      <c r="N356" s="14" t="s">
        <v>974</v>
      </c>
      <c r="O356" s="14" t="s">
        <v>991</v>
      </c>
      <c r="P356" s="14"/>
      <c r="Q356" s="14" t="s">
        <v>196</v>
      </c>
      <c r="R356" s="14" t="s">
        <v>36</v>
      </c>
      <c r="S356" s="14" t="s">
        <v>104</v>
      </c>
      <c r="T356" s="14" t="s">
        <v>598</v>
      </c>
      <c r="U356" s="14" t="s">
        <v>715</v>
      </c>
      <c r="V356" s="22">
        <v>46209.690763888888</v>
      </c>
      <c r="W356" s="22">
        <v>46210.416666666664</v>
      </c>
      <c r="X356" s="15">
        <v>1045.3</v>
      </c>
      <c r="Y356" s="22">
        <v>46209.690775462965</v>
      </c>
      <c r="Z356" s="15">
        <v>0.02</v>
      </c>
      <c r="AA356" s="15">
        <v>30</v>
      </c>
      <c r="AB356" s="15" t="s">
        <v>40</v>
      </c>
      <c r="AC356" s="22">
        <v>46209.691608796296</v>
      </c>
      <c r="AD356" s="22">
        <v>46210.39949074074</v>
      </c>
      <c r="AE356" s="15">
        <v>1019.35</v>
      </c>
      <c r="AF356" s="15">
        <v>25.95</v>
      </c>
      <c r="AG356" s="15">
        <v>120</v>
      </c>
      <c r="AH356" s="15" t="s">
        <v>40</v>
      </c>
      <c r="AI356" s="14"/>
      <c r="AJ356" s="16">
        <v>129600</v>
      </c>
      <c r="AK356" s="1">
        <f t="shared" si="20"/>
        <v>129574.05</v>
      </c>
      <c r="AL356" s="2">
        <f t="shared" si="21"/>
        <v>99.979976851851859</v>
      </c>
      <c r="AM356" s="16">
        <f t="shared" si="22"/>
        <v>128580.65</v>
      </c>
      <c r="AN356" s="2">
        <f t="shared" si="23"/>
        <v>99.213464506172826</v>
      </c>
    </row>
    <row r="357" spans="1:40" x14ac:dyDescent="0.35">
      <c r="A357" s="14" t="s">
        <v>27</v>
      </c>
      <c r="B357" s="14" t="s">
        <v>28</v>
      </c>
      <c r="C357" s="14" t="s">
        <v>47</v>
      </c>
      <c r="D357" s="14" t="s">
        <v>360</v>
      </c>
      <c r="E357" s="14" t="s">
        <v>193</v>
      </c>
      <c r="F357" s="14" t="s">
        <v>32</v>
      </c>
      <c r="G357" s="14" t="s">
        <v>33</v>
      </c>
      <c r="H357" s="14" t="s">
        <v>964</v>
      </c>
      <c r="I357" s="14" t="s">
        <v>207</v>
      </c>
      <c r="J357" s="14" t="s">
        <v>207</v>
      </c>
      <c r="K357" s="14" t="s">
        <v>204</v>
      </c>
      <c r="L357" s="14" t="s">
        <v>973</v>
      </c>
      <c r="M357" s="14" t="s">
        <v>206</v>
      </c>
      <c r="N357" s="14" t="s">
        <v>974</v>
      </c>
      <c r="O357" s="14" t="s">
        <v>991</v>
      </c>
      <c r="P357" s="14"/>
      <c r="Q357" s="14" t="s">
        <v>196</v>
      </c>
      <c r="R357" s="14" t="s">
        <v>36</v>
      </c>
      <c r="S357" s="14" t="s">
        <v>104</v>
      </c>
      <c r="T357" s="14" t="s">
        <v>222</v>
      </c>
      <c r="U357" s="14" t="s">
        <v>222</v>
      </c>
      <c r="V357" s="22">
        <v>46209.695520833331</v>
      </c>
      <c r="W357" s="22">
        <v>46210.416666666664</v>
      </c>
      <c r="X357" s="15">
        <v>1038.45</v>
      </c>
      <c r="Y357" s="22">
        <v>46209.695532407408</v>
      </c>
      <c r="Z357" s="15">
        <v>0.02</v>
      </c>
      <c r="AA357" s="15">
        <v>30</v>
      </c>
      <c r="AB357" s="15" t="s">
        <v>40</v>
      </c>
      <c r="AC357" s="22">
        <v>46209.696446759262</v>
      </c>
      <c r="AD357" s="22">
        <v>46210.401597222219</v>
      </c>
      <c r="AE357" s="15">
        <v>1015.42</v>
      </c>
      <c r="AF357" s="15">
        <v>23.03</v>
      </c>
      <c r="AG357" s="15">
        <v>120</v>
      </c>
      <c r="AH357" s="15" t="s">
        <v>40</v>
      </c>
      <c r="AI357" s="14"/>
      <c r="AJ357" s="16">
        <v>129600</v>
      </c>
      <c r="AK357" s="1">
        <f t="shared" si="20"/>
        <v>129576.97</v>
      </c>
      <c r="AL357" s="2">
        <f t="shared" si="21"/>
        <v>99.982229938271601</v>
      </c>
      <c r="AM357" s="16">
        <f t="shared" si="22"/>
        <v>128584.58</v>
      </c>
      <c r="AN357" s="2">
        <f t="shared" si="23"/>
        <v>99.216496913580244</v>
      </c>
    </row>
    <row r="358" spans="1:40" x14ac:dyDescent="0.35">
      <c r="A358" s="14" t="s">
        <v>27</v>
      </c>
      <c r="B358" s="14" t="s">
        <v>28</v>
      </c>
      <c r="C358" s="14" t="s">
        <v>47</v>
      </c>
      <c r="D358" s="14" t="s">
        <v>694</v>
      </c>
      <c r="E358" s="14" t="s">
        <v>193</v>
      </c>
      <c r="F358" s="14" t="s">
        <v>32</v>
      </c>
      <c r="G358" s="14" t="s">
        <v>33</v>
      </c>
      <c r="H358" s="14" t="s">
        <v>964</v>
      </c>
      <c r="I358" s="14" t="s">
        <v>601</v>
      </c>
      <c r="J358" s="14" t="s">
        <v>601</v>
      </c>
      <c r="K358" s="14" t="s">
        <v>204</v>
      </c>
      <c r="L358" s="14" t="s">
        <v>973</v>
      </c>
      <c r="M358" s="14" t="s">
        <v>600</v>
      </c>
      <c r="N358" s="14" t="s">
        <v>974</v>
      </c>
      <c r="O358" s="14" t="s">
        <v>991</v>
      </c>
      <c r="P358" s="14"/>
      <c r="Q358" s="14" t="s">
        <v>196</v>
      </c>
      <c r="R358" s="14" t="s">
        <v>36</v>
      </c>
      <c r="S358" s="14" t="s">
        <v>104</v>
      </c>
      <c r="T358" s="14" t="s">
        <v>222</v>
      </c>
      <c r="U358" s="14" t="s">
        <v>222</v>
      </c>
      <c r="V358" s="22">
        <v>46209.695520833331</v>
      </c>
      <c r="W358" s="22">
        <v>46210.416666666664</v>
      </c>
      <c r="X358" s="15">
        <v>1038.45</v>
      </c>
      <c r="Y358" s="22">
        <v>46209.695532407408</v>
      </c>
      <c r="Z358" s="15">
        <v>0.02</v>
      </c>
      <c r="AA358" s="15">
        <v>30</v>
      </c>
      <c r="AB358" s="15" t="s">
        <v>40</v>
      </c>
      <c r="AC358" s="22">
        <v>46209.697291666664</v>
      </c>
      <c r="AD358" s="22">
        <v>46210.401018518518</v>
      </c>
      <c r="AE358" s="15">
        <v>1013.37</v>
      </c>
      <c r="AF358" s="15">
        <v>25.08</v>
      </c>
      <c r="AG358" s="15">
        <v>120</v>
      </c>
      <c r="AH358" s="15" t="s">
        <v>40</v>
      </c>
      <c r="AI358" s="14"/>
      <c r="AJ358" s="16">
        <v>129600</v>
      </c>
      <c r="AK358" s="1">
        <f t="shared" si="20"/>
        <v>129574.92</v>
      </c>
      <c r="AL358" s="2">
        <f t="shared" si="21"/>
        <v>99.980648148148148</v>
      </c>
      <c r="AM358" s="16">
        <f t="shared" si="22"/>
        <v>128586.63</v>
      </c>
      <c r="AN358" s="2">
        <f t="shared" si="23"/>
        <v>99.218078703703711</v>
      </c>
    </row>
    <row r="359" spans="1:40" x14ac:dyDescent="0.35">
      <c r="A359" s="14" t="s">
        <v>27</v>
      </c>
      <c r="B359" s="14" t="s">
        <v>94</v>
      </c>
      <c r="C359" s="14" t="s">
        <v>65</v>
      </c>
      <c r="D359" s="14" t="s">
        <v>850</v>
      </c>
      <c r="E359" s="14" t="s">
        <v>851</v>
      </c>
      <c r="F359" s="14" t="s">
        <v>32</v>
      </c>
      <c r="G359" s="14" t="s">
        <v>842</v>
      </c>
      <c r="H359" s="14" t="s">
        <v>965</v>
      </c>
      <c r="I359" s="14" t="s">
        <v>852</v>
      </c>
      <c r="J359" s="14" t="s">
        <v>852</v>
      </c>
      <c r="K359" s="14" t="s">
        <v>1033</v>
      </c>
      <c r="L359" s="14" t="s">
        <v>973</v>
      </c>
      <c r="M359" s="14">
        <v>1</v>
      </c>
      <c r="N359" s="14" t="e">
        <v>#N/A</v>
      </c>
      <c r="O359" s="14" t="e">
        <v>#N/A</v>
      </c>
      <c r="P359" s="14" t="s">
        <v>852</v>
      </c>
      <c r="Q359" s="14" t="s">
        <v>839</v>
      </c>
      <c r="R359" s="14" t="s">
        <v>844</v>
      </c>
      <c r="S359" s="14" t="s">
        <v>390</v>
      </c>
      <c r="T359" s="14" t="s">
        <v>853</v>
      </c>
      <c r="U359" s="14" t="s">
        <v>854</v>
      </c>
      <c r="V359" s="22">
        <v>46209.706550925926</v>
      </c>
      <c r="W359" s="22">
        <v>46213.531944444447</v>
      </c>
      <c r="X359" s="15">
        <v>5508.57</v>
      </c>
      <c r="Y359" s="22">
        <v>46209.706550925926</v>
      </c>
      <c r="Z359" s="15">
        <v>0</v>
      </c>
      <c r="AA359" s="15">
        <v>30</v>
      </c>
      <c r="AB359" s="15"/>
      <c r="AC359" s="22">
        <v>46209.72278935185</v>
      </c>
      <c r="AD359" s="22">
        <v>46213.527719907404</v>
      </c>
      <c r="AE359" s="15">
        <v>5479.1</v>
      </c>
      <c r="AF359" s="15">
        <v>29.47</v>
      </c>
      <c r="AG359" s="15">
        <v>1440</v>
      </c>
      <c r="AH359" s="15"/>
      <c r="AI359" s="14"/>
      <c r="AJ359" s="16">
        <v>129600</v>
      </c>
      <c r="AK359" s="1">
        <f t="shared" si="20"/>
        <v>129570.53</v>
      </c>
      <c r="AL359" s="2">
        <f t="shared" si="21"/>
        <v>99.977260802469132</v>
      </c>
      <c r="AM359" s="16">
        <f t="shared" si="22"/>
        <v>124120.9</v>
      </c>
      <c r="AN359" s="2">
        <f t="shared" si="23"/>
        <v>95.772299382716042</v>
      </c>
    </row>
    <row r="360" spans="1:40" x14ac:dyDescent="0.35">
      <c r="A360" s="14" t="s">
        <v>27</v>
      </c>
      <c r="B360" s="14" t="s">
        <v>94</v>
      </c>
      <c r="C360" s="14" t="s">
        <v>65</v>
      </c>
      <c r="D360" s="14" t="s">
        <v>887</v>
      </c>
      <c r="E360" s="14" t="s">
        <v>888</v>
      </c>
      <c r="F360" s="14" t="s">
        <v>32</v>
      </c>
      <c r="G360" s="14" t="s">
        <v>312</v>
      </c>
      <c r="H360" s="14" t="s">
        <v>963</v>
      </c>
      <c r="I360" s="14" t="s">
        <v>889</v>
      </c>
      <c r="J360" s="14" t="s">
        <v>889</v>
      </c>
      <c r="K360" s="14" t="s">
        <v>1019</v>
      </c>
      <c r="L360" s="14" t="s">
        <v>967</v>
      </c>
      <c r="M360" s="14">
        <v>1</v>
      </c>
      <c r="N360" s="14" t="e">
        <v>#N/A</v>
      </c>
      <c r="O360" s="14" t="e">
        <v>#N/A</v>
      </c>
      <c r="P360" s="14"/>
      <c r="Q360" s="14" t="s">
        <v>872</v>
      </c>
      <c r="R360" s="14" t="s">
        <v>36</v>
      </c>
      <c r="S360" s="14" t="s">
        <v>104</v>
      </c>
      <c r="T360" s="14" t="s">
        <v>890</v>
      </c>
      <c r="U360" s="14" t="s">
        <v>891</v>
      </c>
      <c r="V360" s="22">
        <v>46209.730879629627</v>
      </c>
      <c r="W360" s="22">
        <v>46211.418055555558</v>
      </c>
      <c r="X360" s="15">
        <v>2429.5300000000002</v>
      </c>
      <c r="Y360" s="22">
        <v>46209.730868055558</v>
      </c>
      <c r="Z360" s="15">
        <v>0</v>
      </c>
      <c r="AA360" s="15">
        <v>30</v>
      </c>
      <c r="AB360" s="15" t="s">
        <v>40</v>
      </c>
      <c r="AC360" s="22">
        <v>46209.741238425922</v>
      </c>
      <c r="AD360" s="22">
        <v>46211.414039351854</v>
      </c>
      <c r="AE360" s="15">
        <v>2408.83</v>
      </c>
      <c r="AF360" s="15">
        <v>20.7</v>
      </c>
      <c r="AG360" s="15">
        <v>2880</v>
      </c>
      <c r="AH360" s="15" t="s">
        <v>40</v>
      </c>
      <c r="AI360" s="14"/>
      <c r="AJ360" s="16">
        <v>129600</v>
      </c>
      <c r="AK360" s="1">
        <f t="shared" si="20"/>
        <v>129579.3</v>
      </c>
      <c r="AL360" s="2">
        <f t="shared" si="21"/>
        <v>99.984027777777783</v>
      </c>
      <c r="AM360" s="16">
        <f t="shared" si="22"/>
        <v>127191.17</v>
      </c>
      <c r="AN360" s="2">
        <f t="shared" si="23"/>
        <v>98.141334876543212</v>
      </c>
    </row>
    <row r="361" spans="1:40" x14ac:dyDescent="0.35">
      <c r="A361" s="14" t="s">
        <v>27</v>
      </c>
      <c r="B361" s="14" t="s">
        <v>28</v>
      </c>
      <c r="C361" s="14" t="s">
        <v>73</v>
      </c>
      <c r="D361" s="14" t="s">
        <v>615</v>
      </c>
      <c r="E361" s="14" t="s">
        <v>193</v>
      </c>
      <c r="F361" s="14" t="s">
        <v>32</v>
      </c>
      <c r="G361" s="14" t="s">
        <v>33</v>
      </c>
      <c r="H361" s="14" t="s">
        <v>964</v>
      </c>
      <c r="I361" s="14" t="s">
        <v>381</v>
      </c>
      <c r="J361" s="14" t="s">
        <v>381</v>
      </c>
      <c r="K361" s="14" t="s">
        <v>204</v>
      </c>
      <c r="L361" s="14" t="s">
        <v>973</v>
      </c>
      <c r="M361" s="14" t="s">
        <v>380</v>
      </c>
      <c r="N361" s="14" t="s">
        <v>996</v>
      </c>
      <c r="O361" s="14" t="s">
        <v>991</v>
      </c>
      <c r="P361" s="14"/>
      <c r="Q361" s="14" t="s">
        <v>196</v>
      </c>
      <c r="R361" s="14" t="s">
        <v>36</v>
      </c>
      <c r="S361" s="14" t="s">
        <v>37</v>
      </c>
      <c r="T361" s="14" t="s">
        <v>59</v>
      </c>
      <c r="U361" s="14" t="s">
        <v>59</v>
      </c>
      <c r="V361" s="22">
        <v>46209.883564814816</v>
      </c>
      <c r="W361" s="22">
        <v>46209.915277777778</v>
      </c>
      <c r="X361" s="15">
        <v>45.67</v>
      </c>
      <c r="Y361" s="22">
        <v>46209.883587962962</v>
      </c>
      <c r="Z361" s="15">
        <v>0.03</v>
      </c>
      <c r="AA361" s="15">
        <v>30</v>
      </c>
      <c r="AB361" s="15" t="s">
        <v>40</v>
      </c>
      <c r="AC361" s="22">
        <v>46209.899756944447</v>
      </c>
      <c r="AD361" s="22">
        <v>46209.913935185185</v>
      </c>
      <c r="AE361" s="15">
        <v>20.420000000000002</v>
      </c>
      <c r="AF361" s="15">
        <v>25.25</v>
      </c>
      <c r="AG361" s="15">
        <v>120</v>
      </c>
      <c r="AH361" s="15" t="s">
        <v>40</v>
      </c>
      <c r="AI361" s="14"/>
      <c r="AJ361" s="16">
        <v>129600</v>
      </c>
      <c r="AK361" s="1">
        <f t="shared" si="20"/>
        <v>129574.75</v>
      </c>
      <c r="AL361" s="2">
        <f t="shared" si="21"/>
        <v>99.980516975308646</v>
      </c>
      <c r="AM361" s="16">
        <f t="shared" si="22"/>
        <v>129579.58</v>
      </c>
      <c r="AN361" s="2">
        <f t="shared" si="23"/>
        <v>99.984243827160498</v>
      </c>
    </row>
    <row r="362" spans="1:40" x14ac:dyDescent="0.35">
      <c r="A362" s="14" t="s">
        <v>27</v>
      </c>
      <c r="B362" s="14" t="s">
        <v>28</v>
      </c>
      <c r="C362" s="14" t="s">
        <v>73</v>
      </c>
      <c r="D362" s="14" t="s">
        <v>755</v>
      </c>
      <c r="E362" s="14" t="s">
        <v>193</v>
      </c>
      <c r="F362" s="14" t="s">
        <v>32</v>
      </c>
      <c r="G362" s="14" t="s">
        <v>33</v>
      </c>
      <c r="H362" s="14" t="s">
        <v>964</v>
      </c>
      <c r="I362" s="14" t="s">
        <v>381</v>
      </c>
      <c r="J362" s="14" t="s">
        <v>381</v>
      </c>
      <c r="K362" s="14" t="s">
        <v>204</v>
      </c>
      <c r="L362" s="14" t="s">
        <v>973</v>
      </c>
      <c r="M362" s="14" t="s">
        <v>380</v>
      </c>
      <c r="N362" s="14" t="s">
        <v>996</v>
      </c>
      <c r="O362" s="14" t="s">
        <v>991</v>
      </c>
      <c r="P362" s="14"/>
      <c r="Q362" s="14" t="s">
        <v>196</v>
      </c>
      <c r="R362" s="14" t="s">
        <v>36</v>
      </c>
      <c r="S362" s="14" t="s">
        <v>37</v>
      </c>
      <c r="T362" s="14" t="s">
        <v>59</v>
      </c>
      <c r="U362" s="14" t="s">
        <v>64</v>
      </c>
      <c r="V362" s="22">
        <v>46209.896215277775</v>
      </c>
      <c r="W362" s="22">
        <v>46210.011805555558</v>
      </c>
      <c r="X362" s="15">
        <v>166.45</v>
      </c>
      <c r="Y362" s="22">
        <v>46209.896226851852</v>
      </c>
      <c r="Z362" s="15">
        <v>0.02</v>
      </c>
      <c r="AA362" s="15">
        <v>30</v>
      </c>
      <c r="AB362" s="15" t="s">
        <v>40</v>
      </c>
      <c r="AC362" s="22">
        <v>46209.900752314818</v>
      </c>
      <c r="AD362" s="22">
        <v>46210.01048611111</v>
      </c>
      <c r="AE362" s="15">
        <v>158.02000000000001</v>
      </c>
      <c r="AF362" s="15">
        <v>8.43</v>
      </c>
      <c r="AG362" s="15">
        <v>120</v>
      </c>
      <c r="AH362" s="15" t="s">
        <v>40</v>
      </c>
      <c r="AI362" s="14"/>
      <c r="AJ362" s="16">
        <v>129600</v>
      </c>
      <c r="AK362" s="1">
        <f t="shared" si="20"/>
        <v>129591.57</v>
      </c>
      <c r="AL362" s="2">
        <f t="shared" si="21"/>
        <v>99.993495370370383</v>
      </c>
      <c r="AM362" s="16">
        <f t="shared" si="22"/>
        <v>129441.98</v>
      </c>
      <c r="AN362" s="2">
        <f t="shared" si="23"/>
        <v>99.878070987654326</v>
      </c>
    </row>
    <row r="363" spans="1:40" x14ac:dyDescent="0.35">
      <c r="A363" s="14" t="s">
        <v>27</v>
      </c>
      <c r="B363" s="14" t="s">
        <v>28</v>
      </c>
      <c r="C363" s="14" t="s">
        <v>73</v>
      </c>
      <c r="D363" s="14" t="s">
        <v>379</v>
      </c>
      <c r="E363" s="14" t="s">
        <v>193</v>
      </c>
      <c r="F363" s="14" t="s">
        <v>32</v>
      </c>
      <c r="G363" s="14" t="s">
        <v>33</v>
      </c>
      <c r="H363" s="14" t="s">
        <v>964</v>
      </c>
      <c r="I363" s="14" t="s">
        <v>381</v>
      </c>
      <c r="J363" s="14" t="s">
        <v>381</v>
      </c>
      <c r="K363" s="14" t="s">
        <v>204</v>
      </c>
      <c r="L363" s="14" t="s">
        <v>973</v>
      </c>
      <c r="M363" s="14" t="s">
        <v>380</v>
      </c>
      <c r="N363" s="14" t="s">
        <v>996</v>
      </c>
      <c r="O363" s="14" t="s">
        <v>991</v>
      </c>
      <c r="P363" s="14"/>
      <c r="Q363" s="14" t="s">
        <v>196</v>
      </c>
      <c r="R363" s="14" t="s">
        <v>36</v>
      </c>
      <c r="S363" s="14" t="s">
        <v>37</v>
      </c>
      <c r="T363" s="14" t="s">
        <v>59</v>
      </c>
      <c r="U363" s="14" t="s">
        <v>59</v>
      </c>
      <c r="V363" s="22">
        <v>46209.909155092595</v>
      </c>
      <c r="W363" s="22">
        <v>46210.012499999997</v>
      </c>
      <c r="X363" s="15">
        <v>148.82</v>
      </c>
      <c r="Y363" s="22">
        <v>46209.909166666665</v>
      </c>
      <c r="Z363" s="15">
        <v>0.02</v>
      </c>
      <c r="AA363" s="15">
        <v>30</v>
      </c>
      <c r="AB363" s="15" t="s">
        <v>40</v>
      </c>
      <c r="AC363" s="22">
        <v>46209.91064814815</v>
      </c>
      <c r="AD363" s="22">
        <v>46210.011481481481</v>
      </c>
      <c r="AE363" s="15">
        <v>145.19999999999999</v>
      </c>
      <c r="AF363" s="15">
        <v>3.62</v>
      </c>
      <c r="AG363" s="15">
        <v>120</v>
      </c>
      <c r="AH363" s="15" t="s">
        <v>40</v>
      </c>
      <c r="AI363" s="14"/>
      <c r="AJ363" s="16">
        <v>129600</v>
      </c>
      <c r="AK363" s="1">
        <f t="shared" si="20"/>
        <v>129596.38</v>
      </c>
      <c r="AL363" s="2">
        <f t="shared" si="21"/>
        <v>99.997206790123457</v>
      </c>
      <c r="AM363" s="16">
        <f t="shared" si="22"/>
        <v>129454.8</v>
      </c>
      <c r="AN363" s="2">
        <f t="shared" si="23"/>
        <v>99.887962962962959</v>
      </c>
    </row>
    <row r="364" spans="1:40" x14ac:dyDescent="0.35">
      <c r="A364" s="14" t="s">
        <v>27</v>
      </c>
      <c r="B364" s="14" t="s">
        <v>28</v>
      </c>
      <c r="C364" s="14" t="s">
        <v>73</v>
      </c>
      <c r="D364" s="14" t="s">
        <v>481</v>
      </c>
      <c r="E364" s="14" t="s">
        <v>193</v>
      </c>
      <c r="F364" s="14" t="s">
        <v>32</v>
      </c>
      <c r="G364" s="14" t="s">
        <v>33</v>
      </c>
      <c r="H364" s="14" t="s">
        <v>964</v>
      </c>
      <c r="I364" s="14" t="s">
        <v>381</v>
      </c>
      <c r="J364" s="14" t="s">
        <v>381</v>
      </c>
      <c r="K364" s="14" t="s">
        <v>204</v>
      </c>
      <c r="L364" s="14" t="s">
        <v>973</v>
      </c>
      <c r="M364" s="14" t="s">
        <v>380</v>
      </c>
      <c r="N364" s="14" t="s">
        <v>996</v>
      </c>
      <c r="O364" s="14" t="s">
        <v>991</v>
      </c>
      <c r="P364" s="14"/>
      <c r="Q364" s="14" t="s">
        <v>196</v>
      </c>
      <c r="R364" s="14" t="s">
        <v>36</v>
      </c>
      <c r="S364" s="14" t="s">
        <v>37</v>
      </c>
      <c r="T364" s="14" t="s">
        <v>59</v>
      </c>
      <c r="U364" s="14" t="s">
        <v>59</v>
      </c>
      <c r="V364" s="22">
        <v>46209.962638888886</v>
      </c>
      <c r="W364" s="22">
        <v>46210.013194444444</v>
      </c>
      <c r="X364" s="15">
        <v>72.8</v>
      </c>
      <c r="Y364" s="22">
        <v>46209.96266203704</v>
      </c>
      <c r="Z364" s="15">
        <v>0.03</v>
      </c>
      <c r="AA364" s="15">
        <v>30</v>
      </c>
      <c r="AB364" s="15" t="s">
        <v>40</v>
      </c>
      <c r="AC364" s="22">
        <v>46209.963773148149</v>
      </c>
      <c r="AD364" s="22">
        <v>46210.011423611111</v>
      </c>
      <c r="AE364" s="15">
        <v>68.62</v>
      </c>
      <c r="AF364" s="15">
        <v>4.18</v>
      </c>
      <c r="AG364" s="15">
        <v>120</v>
      </c>
      <c r="AH364" s="15" t="s">
        <v>40</v>
      </c>
      <c r="AI364" s="14"/>
      <c r="AJ364" s="16">
        <v>129600</v>
      </c>
      <c r="AK364" s="1">
        <f t="shared" si="20"/>
        <v>129595.82</v>
      </c>
      <c r="AL364" s="2">
        <f t="shared" si="21"/>
        <v>99.996774691358027</v>
      </c>
      <c r="AM364" s="16">
        <f t="shared" si="22"/>
        <v>129531.38</v>
      </c>
      <c r="AN364" s="2">
        <f t="shared" si="23"/>
        <v>99.947052469135812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61246-30FA-4A05-BFFF-EF5CC4C5C04C}">
  <dimension ref="A3:AC14"/>
  <sheetViews>
    <sheetView tabSelected="1" zoomScale="70" zoomScaleNormal="70" workbookViewId="0">
      <selection activeCell="F21" sqref="F21"/>
    </sheetView>
  </sheetViews>
  <sheetFormatPr defaultRowHeight="14.5" x14ac:dyDescent="0.35"/>
  <cols>
    <col min="1" max="1" width="19.1796875" style="32" bestFit="1" customWidth="1"/>
    <col min="2" max="2" width="18.81640625" style="4" bestFit="1" customWidth="1"/>
    <col min="3" max="3" width="3.7265625" style="4" bestFit="1" customWidth="1"/>
    <col min="4" max="4" width="10.453125" style="4" bestFit="1" customWidth="1"/>
    <col min="5" max="5" width="10.36328125" bestFit="1" customWidth="1"/>
    <col min="6" max="6" width="27.7265625" style="36" bestFit="1" customWidth="1"/>
    <col min="7" max="7" width="18.81640625" style="4" bestFit="1" customWidth="1"/>
    <col min="8" max="8" width="3.7265625" style="4" bestFit="1" customWidth="1"/>
    <col min="9" max="9" width="10.453125" style="4" bestFit="1" customWidth="1"/>
    <col min="11" max="11" width="24.54296875" style="36" bestFit="1" customWidth="1"/>
    <col min="12" max="12" width="18.81640625" style="4" bestFit="1" customWidth="1"/>
    <col min="13" max="13" width="3.7265625" style="4" bestFit="1" customWidth="1"/>
    <col min="14" max="14" width="10.453125" style="4" bestFit="1" customWidth="1"/>
    <col min="16" max="16" width="19.1796875" style="36" bestFit="1" customWidth="1"/>
    <col min="17" max="17" width="18.81640625" style="4" bestFit="1" customWidth="1"/>
    <col min="18" max="18" width="3.7265625" style="4" bestFit="1" customWidth="1"/>
    <col min="19" max="19" width="10.453125" style="4" bestFit="1" customWidth="1"/>
    <col min="21" max="21" width="34.453125" style="32" bestFit="1" customWidth="1"/>
    <col min="22" max="22" width="18.81640625" style="4" bestFit="1" customWidth="1"/>
    <col min="23" max="23" width="3.7265625" style="4" bestFit="1" customWidth="1"/>
    <col min="24" max="24" width="10.453125" style="4" bestFit="1" customWidth="1"/>
    <col min="26" max="26" width="27.7265625" style="32" bestFit="1" customWidth="1"/>
    <col min="27" max="27" width="18.81640625" style="4" bestFit="1" customWidth="1"/>
    <col min="28" max="29" width="10.453125" style="4" bestFit="1" customWidth="1"/>
  </cols>
  <sheetData>
    <row r="3" spans="1:29" x14ac:dyDescent="0.35">
      <c r="A3" s="34" t="s">
        <v>1341</v>
      </c>
      <c r="B3" s="19" t="s">
        <v>1340</v>
      </c>
      <c r="F3" s="35" t="s">
        <v>1341</v>
      </c>
      <c r="G3" s="19" t="s">
        <v>1340</v>
      </c>
      <c r="K3" s="35" t="s">
        <v>1341</v>
      </c>
      <c r="L3" s="19" t="s">
        <v>1340</v>
      </c>
      <c r="P3" s="35" t="s">
        <v>1341</v>
      </c>
      <c r="Q3" s="19" t="s">
        <v>1340</v>
      </c>
      <c r="U3" s="34" t="s">
        <v>1341</v>
      </c>
      <c r="V3" s="19" t="s">
        <v>1340</v>
      </c>
      <c r="Z3" s="34" t="s">
        <v>1341</v>
      </c>
      <c r="AA3" s="19" t="s">
        <v>1340</v>
      </c>
      <c r="AC3"/>
    </row>
    <row r="4" spans="1:29" x14ac:dyDescent="0.35">
      <c r="A4" s="34" t="s">
        <v>1336</v>
      </c>
      <c r="B4" s="4" t="s">
        <v>973</v>
      </c>
      <c r="C4" s="4" t="s">
        <v>967</v>
      </c>
      <c r="D4" s="4" t="s">
        <v>1035</v>
      </c>
      <c r="F4" s="35" t="s">
        <v>1336</v>
      </c>
      <c r="G4" s="4" t="s">
        <v>973</v>
      </c>
      <c r="H4" s="4" t="s">
        <v>967</v>
      </c>
      <c r="I4" s="4" t="s">
        <v>1035</v>
      </c>
      <c r="K4" s="35" t="s">
        <v>1336</v>
      </c>
      <c r="L4" s="4" t="s">
        <v>973</v>
      </c>
      <c r="M4" s="4" t="s">
        <v>967</v>
      </c>
      <c r="N4" s="4" t="s">
        <v>1035</v>
      </c>
      <c r="P4" s="35" t="s">
        <v>1336</v>
      </c>
      <c r="Q4" s="4" t="s">
        <v>973</v>
      </c>
      <c r="R4" s="4" t="s">
        <v>967</v>
      </c>
      <c r="S4" s="4" t="s">
        <v>1035</v>
      </c>
      <c r="U4" s="34" t="s">
        <v>1336</v>
      </c>
      <c r="V4" s="4" t="s">
        <v>973</v>
      </c>
      <c r="W4" s="4" t="s">
        <v>967</v>
      </c>
      <c r="X4" s="4" t="s">
        <v>1035</v>
      </c>
      <c r="Z4" s="34" t="s">
        <v>1336</v>
      </c>
      <c r="AA4" s="4" t="s">
        <v>973</v>
      </c>
      <c r="AB4" s="4" t="s">
        <v>1035</v>
      </c>
      <c r="AC4"/>
    </row>
    <row r="5" spans="1:29" x14ac:dyDescent="0.35">
      <c r="A5" s="32" t="s">
        <v>966</v>
      </c>
      <c r="B5" s="33">
        <v>31</v>
      </c>
      <c r="C5" s="33">
        <v>39</v>
      </c>
      <c r="D5" s="33">
        <v>70</v>
      </c>
      <c r="F5" s="36" t="s">
        <v>964</v>
      </c>
      <c r="G5" s="33">
        <v>169</v>
      </c>
      <c r="H5" s="33">
        <v>16</v>
      </c>
      <c r="I5" s="33">
        <v>185</v>
      </c>
      <c r="K5" s="36" t="s">
        <v>972</v>
      </c>
      <c r="L5" s="33">
        <v>10</v>
      </c>
      <c r="M5" s="33">
        <v>5</v>
      </c>
      <c r="N5" s="33">
        <v>15</v>
      </c>
      <c r="P5" s="36" t="s">
        <v>984</v>
      </c>
      <c r="Q5" s="33">
        <v>33</v>
      </c>
      <c r="R5" s="33">
        <v>14</v>
      </c>
      <c r="S5" s="33">
        <v>47</v>
      </c>
      <c r="U5" s="32" t="s">
        <v>963</v>
      </c>
      <c r="V5" s="33">
        <v>5</v>
      </c>
      <c r="W5" s="33">
        <v>40</v>
      </c>
      <c r="X5" s="33">
        <v>45</v>
      </c>
      <c r="Z5" s="32" t="s">
        <v>965</v>
      </c>
      <c r="AA5" s="33">
        <v>1</v>
      </c>
      <c r="AB5" s="33">
        <v>1</v>
      </c>
      <c r="AC5"/>
    </row>
    <row r="6" spans="1:29" x14ac:dyDescent="0.35">
      <c r="A6" s="32" t="s">
        <v>37</v>
      </c>
      <c r="B6" s="33">
        <v>30</v>
      </c>
      <c r="C6" s="33">
        <v>28</v>
      </c>
      <c r="D6" s="33">
        <v>58</v>
      </c>
      <c r="F6" s="36" t="s">
        <v>37</v>
      </c>
      <c r="G6" s="33">
        <v>84</v>
      </c>
      <c r="H6" s="33">
        <v>4</v>
      </c>
      <c r="I6" s="33">
        <v>88</v>
      </c>
      <c r="K6" s="36" t="s">
        <v>37</v>
      </c>
      <c r="L6" s="33">
        <v>6</v>
      </c>
      <c r="M6" s="33">
        <v>4</v>
      </c>
      <c r="N6" s="33">
        <v>10</v>
      </c>
      <c r="P6" s="36" t="s">
        <v>37</v>
      </c>
      <c r="Q6" s="33">
        <v>24</v>
      </c>
      <c r="R6" s="33">
        <v>10</v>
      </c>
      <c r="S6" s="33">
        <v>34</v>
      </c>
      <c r="U6" s="32" t="s">
        <v>104</v>
      </c>
      <c r="V6" s="33">
        <v>4</v>
      </c>
      <c r="W6" s="33">
        <v>13</v>
      </c>
      <c r="X6" s="33">
        <v>17</v>
      </c>
      <c r="Z6" s="36" t="s">
        <v>390</v>
      </c>
      <c r="AA6" s="33">
        <v>1</v>
      </c>
      <c r="AB6" s="33">
        <v>1</v>
      </c>
      <c r="AC6"/>
    </row>
    <row r="7" spans="1:29" x14ac:dyDescent="0.35">
      <c r="A7" s="32" t="s">
        <v>279</v>
      </c>
      <c r="B7" s="33"/>
      <c r="C7" s="33">
        <v>7</v>
      </c>
      <c r="D7" s="33">
        <v>7</v>
      </c>
      <c r="F7" s="36" t="s">
        <v>104</v>
      </c>
      <c r="G7" s="33">
        <v>78</v>
      </c>
      <c r="H7" s="33">
        <v>3</v>
      </c>
      <c r="I7" s="33">
        <v>81</v>
      </c>
      <c r="K7" s="4" t="s">
        <v>51</v>
      </c>
      <c r="L7" s="33">
        <v>3</v>
      </c>
      <c r="M7" s="33">
        <v>1</v>
      </c>
      <c r="N7" s="33">
        <v>4</v>
      </c>
      <c r="P7" s="36" t="s">
        <v>104</v>
      </c>
      <c r="Q7" s="33">
        <v>8</v>
      </c>
      <c r="R7" s="33">
        <v>2</v>
      </c>
      <c r="S7" s="33">
        <v>10</v>
      </c>
      <c r="U7" s="32" t="s">
        <v>221</v>
      </c>
      <c r="V7" s="33"/>
      <c r="W7" s="33">
        <v>13</v>
      </c>
      <c r="X7" s="33">
        <v>13</v>
      </c>
      <c r="Z7" s="32" t="s">
        <v>1035</v>
      </c>
      <c r="AA7" s="33">
        <v>1</v>
      </c>
      <c r="AB7" s="33">
        <v>1</v>
      </c>
      <c r="AC7"/>
    </row>
    <row r="8" spans="1:29" x14ac:dyDescent="0.35">
      <c r="A8" s="32" t="s">
        <v>104</v>
      </c>
      <c r="B8" s="33">
        <v>1</v>
      </c>
      <c r="C8" s="33">
        <v>2</v>
      </c>
      <c r="D8" s="33">
        <v>3</v>
      </c>
      <c r="F8" s="36" t="s">
        <v>279</v>
      </c>
      <c r="G8" s="33"/>
      <c r="H8" s="33">
        <v>7</v>
      </c>
      <c r="I8" s="33">
        <v>7</v>
      </c>
      <c r="K8" s="36" t="s">
        <v>104</v>
      </c>
      <c r="L8" s="33">
        <v>1</v>
      </c>
      <c r="M8" s="33"/>
      <c r="N8" s="33">
        <v>1</v>
      </c>
      <c r="P8" s="36" t="s">
        <v>279</v>
      </c>
      <c r="Q8" s="33">
        <v>1</v>
      </c>
      <c r="R8" s="33">
        <v>1</v>
      </c>
      <c r="S8" s="33">
        <v>2</v>
      </c>
      <c r="U8" s="32" t="s">
        <v>279</v>
      </c>
      <c r="V8" s="33"/>
      <c r="W8" s="33">
        <v>8</v>
      </c>
      <c r="X8" s="33">
        <v>8</v>
      </c>
      <c r="Z8"/>
      <c r="AA8"/>
      <c r="AB8"/>
      <c r="AC8"/>
    </row>
    <row r="9" spans="1:29" x14ac:dyDescent="0.35">
      <c r="A9" s="32" t="s">
        <v>97</v>
      </c>
      <c r="B9" s="33"/>
      <c r="C9" s="33">
        <v>2</v>
      </c>
      <c r="D9" s="33">
        <v>2</v>
      </c>
      <c r="F9" s="36" t="s">
        <v>461</v>
      </c>
      <c r="G9" s="33">
        <v>5</v>
      </c>
      <c r="H9" s="33"/>
      <c r="I9" s="33">
        <v>5</v>
      </c>
      <c r="K9" s="36" t="s">
        <v>1035</v>
      </c>
      <c r="L9" s="33">
        <v>10</v>
      </c>
      <c r="M9" s="33">
        <v>5</v>
      </c>
      <c r="N9" s="33">
        <v>15</v>
      </c>
      <c r="P9" s="32" t="s">
        <v>97</v>
      </c>
      <c r="Q9" s="33"/>
      <c r="R9" s="33">
        <v>1</v>
      </c>
      <c r="S9" s="33">
        <v>1</v>
      </c>
      <c r="U9" s="32" t="s">
        <v>97</v>
      </c>
      <c r="V9" s="33"/>
      <c r="W9" s="33">
        <v>2</v>
      </c>
      <c r="X9" s="33">
        <v>2</v>
      </c>
      <c r="Z9"/>
      <c r="AA9"/>
      <c r="AB9"/>
      <c r="AC9"/>
    </row>
    <row r="10" spans="1:29" x14ac:dyDescent="0.35">
      <c r="A10" s="32" t="s">
        <v>1035</v>
      </c>
      <c r="B10" s="33">
        <v>31</v>
      </c>
      <c r="C10" s="33">
        <v>39</v>
      </c>
      <c r="D10" s="33">
        <v>70</v>
      </c>
      <c r="F10" s="36" t="s">
        <v>390</v>
      </c>
      <c r="G10" s="33">
        <v>2</v>
      </c>
      <c r="H10" s="33">
        <v>1</v>
      </c>
      <c r="I10" s="33">
        <v>3</v>
      </c>
      <c r="K10"/>
      <c r="L10"/>
      <c r="M10"/>
      <c r="N10"/>
      <c r="P10" s="36" t="s">
        <v>1035</v>
      </c>
      <c r="Q10" s="33">
        <v>33</v>
      </c>
      <c r="R10" s="33">
        <v>14</v>
      </c>
      <c r="S10" s="33">
        <v>47</v>
      </c>
      <c r="U10" s="32" t="s">
        <v>676</v>
      </c>
      <c r="V10" s="33"/>
      <c r="W10" s="33">
        <v>2</v>
      </c>
      <c r="X10" s="33">
        <v>2</v>
      </c>
      <c r="Z10"/>
      <c r="AA10"/>
      <c r="AB10"/>
      <c r="AC10"/>
    </row>
    <row r="11" spans="1:29" x14ac:dyDescent="0.35">
      <c r="F11" s="36" t="s">
        <v>1339</v>
      </c>
      <c r="G11" s="33"/>
      <c r="H11" s="33">
        <v>1</v>
      </c>
      <c r="I11" s="33">
        <v>1</v>
      </c>
      <c r="K11"/>
      <c r="L11"/>
      <c r="M11"/>
      <c r="N11"/>
      <c r="P11"/>
      <c r="Q11"/>
      <c r="R11"/>
      <c r="S11"/>
      <c r="U11" s="32" t="s">
        <v>696</v>
      </c>
      <c r="V11" s="33"/>
      <c r="W11" s="33">
        <v>1</v>
      </c>
      <c r="X11" s="33">
        <v>1</v>
      </c>
      <c r="Z11"/>
      <c r="AA11"/>
      <c r="AB11"/>
      <c r="AC11"/>
    </row>
    <row r="12" spans="1:29" x14ac:dyDescent="0.35">
      <c r="F12" s="36" t="s">
        <v>1035</v>
      </c>
      <c r="G12" s="33">
        <v>169</v>
      </c>
      <c r="H12" s="33">
        <v>16</v>
      </c>
      <c r="I12" s="33">
        <v>185</v>
      </c>
      <c r="K12"/>
      <c r="L12"/>
      <c r="M12"/>
      <c r="N12"/>
      <c r="P12"/>
      <c r="Q12"/>
      <c r="R12"/>
      <c r="S12"/>
      <c r="U12" s="32" t="s">
        <v>37</v>
      </c>
      <c r="V12" s="33"/>
      <c r="W12" s="33">
        <v>1</v>
      </c>
      <c r="X12" s="33">
        <v>1</v>
      </c>
      <c r="Z12"/>
      <c r="AA12"/>
      <c r="AB12"/>
      <c r="AC12"/>
    </row>
    <row r="13" spans="1:29" x14ac:dyDescent="0.35">
      <c r="U13" s="32" t="s">
        <v>461</v>
      </c>
      <c r="V13" s="33">
        <v>1</v>
      </c>
      <c r="W13" s="33"/>
      <c r="X13" s="33">
        <v>1</v>
      </c>
      <c r="Z13"/>
      <c r="AA13"/>
      <c r="AB13"/>
      <c r="AC13"/>
    </row>
    <row r="14" spans="1:29" x14ac:dyDescent="0.35">
      <c r="U14" s="32" t="s">
        <v>1035</v>
      </c>
      <c r="V14" s="33">
        <v>5</v>
      </c>
      <c r="W14" s="33">
        <v>40</v>
      </c>
      <c r="X14" s="33">
        <v>45</v>
      </c>
      <c r="Z14"/>
      <c r="AA14"/>
      <c r="AB14"/>
      <c r="AC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86D46-CD48-44F5-A151-AAC2799477B0}">
  <dimension ref="B2:G155"/>
  <sheetViews>
    <sheetView zoomScale="85" zoomScaleNormal="85" workbookViewId="0">
      <selection activeCell="H9" sqref="H9"/>
    </sheetView>
  </sheetViews>
  <sheetFormatPr defaultRowHeight="14.5" x14ac:dyDescent="0.35"/>
  <cols>
    <col min="2" max="2" width="18.453125" bestFit="1" customWidth="1"/>
    <col min="3" max="3" width="26.08984375" style="4" bestFit="1" customWidth="1"/>
    <col min="4" max="4" width="26.81640625" style="4" bestFit="1" customWidth="1"/>
    <col min="5" max="5" width="21.36328125" style="4" bestFit="1" customWidth="1"/>
    <col min="6" max="6" width="21.81640625" style="4" bestFit="1" customWidth="1"/>
    <col min="7" max="7" width="21.81640625" bestFit="1" customWidth="1"/>
  </cols>
  <sheetData>
    <row r="2" spans="2:7" x14ac:dyDescent="0.35">
      <c r="C2" s="19" t="s">
        <v>1038</v>
      </c>
    </row>
    <row r="3" spans="2:7" x14ac:dyDescent="0.35">
      <c r="B3" s="18" t="s">
        <v>9</v>
      </c>
      <c r="C3" s="4" t="s">
        <v>1036</v>
      </c>
      <c r="D3" s="4" t="s">
        <v>1039</v>
      </c>
      <c r="E3" s="4" t="s">
        <v>1037</v>
      </c>
      <c r="F3" s="4" t="s">
        <v>1040</v>
      </c>
    </row>
    <row r="4" spans="2:7" x14ac:dyDescent="0.35">
      <c r="B4" t="s">
        <v>313</v>
      </c>
      <c r="C4" s="9">
        <v>130297.08</v>
      </c>
      <c r="D4" s="20">
        <v>100.53787037037037</v>
      </c>
      <c r="E4" s="9">
        <v>122093.45</v>
      </c>
      <c r="F4" s="20">
        <v>94.207908950617281</v>
      </c>
      <c r="G4" s="21"/>
    </row>
    <row r="5" spans="2:7" x14ac:dyDescent="0.35">
      <c r="B5" t="s">
        <v>843</v>
      </c>
      <c r="C5" s="9">
        <v>129565.2</v>
      </c>
      <c r="D5" s="20">
        <v>99.973148148148155</v>
      </c>
      <c r="E5" s="9">
        <v>119878.35</v>
      </c>
      <c r="F5" s="20">
        <v>92.498726851851856</v>
      </c>
      <c r="G5" s="21"/>
    </row>
    <row r="6" spans="2:7" x14ac:dyDescent="0.35">
      <c r="B6" t="s">
        <v>323</v>
      </c>
      <c r="C6" s="9">
        <v>129556.87</v>
      </c>
      <c r="D6" s="20">
        <v>99.96672067901234</v>
      </c>
      <c r="E6" s="9">
        <v>129441.58</v>
      </c>
      <c r="F6" s="20">
        <v>99.877762345679017</v>
      </c>
      <c r="G6" s="21"/>
    </row>
    <row r="7" spans="2:7" x14ac:dyDescent="0.35">
      <c r="B7" t="s">
        <v>852</v>
      </c>
      <c r="C7" s="9">
        <v>129570.53</v>
      </c>
      <c r="D7" s="20">
        <v>99.977260802469132</v>
      </c>
      <c r="E7" s="9">
        <v>124120.9</v>
      </c>
      <c r="F7" s="20">
        <v>95.772299382716042</v>
      </c>
      <c r="G7" s="21"/>
    </row>
    <row r="8" spans="2:7" x14ac:dyDescent="0.35">
      <c r="B8" t="s">
        <v>899</v>
      </c>
      <c r="C8" s="9">
        <v>129581.97</v>
      </c>
      <c r="D8" s="20">
        <v>99.986087962962969</v>
      </c>
      <c r="E8" s="9">
        <v>125174.43</v>
      </c>
      <c r="F8" s="20">
        <v>96.585208333333327</v>
      </c>
      <c r="G8" s="21"/>
    </row>
    <row r="9" spans="2:7" x14ac:dyDescent="0.35">
      <c r="B9" t="s">
        <v>948</v>
      </c>
      <c r="C9" s="9">
        <v>129359.55</v>
      </c>
      <c r="D9" s="20">
        <v>99.814467592592592</v>
      </c>
      <c r="E9" s="9">
        <v>122211.85</v>
      </c>
      <c r="F9" s="20">
        <v>94.299266975308655</v>
      </c>
      <c r="G9" s="21"/>
    </row>
    <row r="10" spans="2:7" x14ac:dyDescent="0.35">
      <c r="B10" t="s">
        <v>943</v>
      </c>
      <c r="C10" s="9">
        <v>129579.57</v>
      </c>
      <c r="D10" s="20">
        <v>99.984236111111116</v>
      </c>
      <c r="E10" s="9">
        <v>127847.35</v>
      </c>
      <c r="F10" s="20">
        <v>98.647646604938274</v>
      </c>
      <c r="G10" s="21"/>
    </row>
    <row r="11" spans="2:7" x14ac:dyDescent="0.35">
      <c r="B11" t="s">
        <v>860</v>
      </c>
      <c r="C11" s="9">
        <v>259177.72</v>
      </c>
      <c r="D11" s="20">
        <v>99.991404320987655</v>
      </c>
      <c r="E11" s="9">
        <v>256258.88</v>
      </c>
      <c r="F11" s="20">
        <v>98.865308641975304</v>
      </c>
      <c r="G11" s="21"/>
    </row>
    <row r="12" spans="2:7" x14ac:dyDescent="0.35">
      <c r="B12" t="s">
        <v>889</v>
      </c>
      <c r="C12" s="9">
        <v>129579.3</v>
      </c>
      <c r="D12" s="20">
        <v>99.984027777777783</v>
      </c>
      <c r="E12" s="9">
        <v>127191.17</v>
      </c>
      <c r="F12" s="20">
        <v>98.141334876543212</v>
      </c>
      <c r="G12" s="21"/>
    </row>
    <row r="13" spans="2:7" x14ac:dyDescent="0.35">
      <c r="B13" t="s">
        <v>949</v>
      </c>
      <c r="C13" s="9">
        <v>129382.23</v>
      </c>
      <c r="D13" s="20">
        <v>99.831967592592591</v>
      </c>
      <c r="E13" s="9">
        <v>119801.4</v>
      </c>
      <c r="F13" s="20">
        <v>92.439351851851853</v>
      </c>
      <c r="G13" s="21"/>
    </row>
    <row r="14" spans="2:7" x14ac:dyDescent="0.35">
      <c r="B14" t="s">
        <v>950</v>
      </c>
      <c r="C14" s="9">
        <v>119297.60000000001</v>
      </c>
      <c r="D14" s="20">
        <v>92.050617283950615</v>
      </c>
      <c r="E14" s="9">
        <v>129600</v>
      </c>
      <c r="F14" s="20">
        <v>100</v>
      </c>
      <c r="G14" s="21"/>
    </row>
    <row r="15" spans="2:7" x14ac:dyDescent="0.35">
      <c r="B15" t="s">
        <v>487</v>
      </c>
      <c r="C15" s="9">
        <v>129590.12</v>
      </c>
      <c r="D15" s="20">
        <v>99.992376543209872</v>
      </c>
      <c r="E15" s="9">
        <v>121537.02</v>
      </c>
      <c r="F15" s="20">
        <v>93.778564814814814</v>
      </c>
      <c r="G15" s="21"/>
    </row>
    <row r="16" spans="2:7" x14ac:dyDescent="0.35">
      <c r="B16" t="s">
        <v>928</v>
      </c>
      <c r="C16" s="9">
        <v>129579.35</v>
      </c>
      <c r="D16" s="20">
        <v>99.984066358024691</v>
      </c>
      <c r="E16" s="9">
        <v>128668.88</v>
      </c>
      <c r="F16" s="20">
        <v>99.281543209876546</v>
      </c>
      <c r="G16" s="21"/>
    </row>
    <row r="17" spans="2:7" x14ac:dyDescent="0.35">
      <c r="B17" t="s">
        <v>191</v>
      </c>
      <c r="C17" s="9">
        <v>129588.63</v>
      </c>
      <c r="D17" s="20">
        <v>99.991226851851849</v>
      </c>
      <c r="E17" s="9">
        <v>129419.18</v>
      </c>
      <c r="F17" s="20">
        <v>99.860478395061719</v>
      </c>
      <c r="G17" s="21"/>
    </row>
    <row r="18" spans="2:7" x14ac:dyDescent="0.35">
      <c r="B18" t="s">
        <v>80</v>
      </c>
      <c r="C18" s="9">
        <v>129591.2</v>
      </c>
      <c r="D18" s="20">
        <v>99.993209876543204</v>
      </c>
      <c r="E18" s="9">
        <v>129541.73</v>
      </c>
      <c r="F18" s="20">
        <v>99.955038580246907</v>
      </c>
      <c r="G18" s="21"/>
    </row>
    <row r="19" spans="2:7" x14ac:dyDescent="0.35">
      <c r="B19" t="s">
        <v>136</v>
      </c>
      <c r="C19" s="9">
        <v>129590.73</v>
      </c>
      <c r="D19" s="20">
        <v>99.99284722222221</v>
      </c>
      <c r="E19" s="9">
        <v>129302.3</v>
      </c>
      <c r="F19" s="20">
        <v>99.770293209876542</v>
      </c>
      <c r="G19" s="21"/>
    </row>
    <row r="20" spans="2:7" x14ac:dyDescent="0.35">
      <c r="B20" t="s">
        <v>277</v>
      </c>
      <c r="C20" s="9">
        <v>129583.63</v>
      </c>
      <c r="D20" s="20">
        <v>99.987368827160495</v>
      </c>
      <c r="E20" s="9">
        <v>115692.45</v>
      </c>
      <c r="F20" s="20">
        <v>89.26886574074075</v>
      </c>
      <c r="G20" s="21"/>
    </row>
    <row r="21" spans="2:7" x14ac:dyDescent="0.35">
      <c r="B21" t="s">
        <v>947</v>
      </c>
      <c r="C21" s="9">
        <v>129586.48</v>
      </c>
      <c r="D21" s="20">
        <v>99.989567901234565</v>
      </c>
      <c r="E21" s="9">
        <v>125268.85</v>
      </c>
      <c r="F21" s="20">
        <v>96.658063271604945</v>
      </c>
      <c r="G21" s="21"/>
    </row>
    <row r="22" spans="2:7" x14ac:dyDescent="0.35">
      <c r="B22" t="s">
        <v>87</v>
      </c>
      <c r="C22" s="9">
        <v>518363.36</v>
      </c>
      <c r="D22" s="20">
        <v>99.992932098765422</v>
      </c>
      <c r="E22" s="9">
        <v>514256.15</v>
      </c>
      <c r="F22" s="20">
        <v>99.200646219135805</v>
      </c>
      <c r="G22" s="21"/>
    </row>
    <row r="23" spans="2:7" x14ac:dyDescent="0.35">
      <c r="B23" t="s">
        <v>68</v>
      </c>
      <c r="C23" s="9">
        <v>259184.3</v>
      </c>
      <c r="D23" s="20">
        <v>99.993942901234561</v>
      </c>
      <c r="E23" s="9">
        <v>257683.6</v>
      </c>
      <c r="F23" s="20">
        <v>99.414969135802465</v>
      </c>
      <c r="G23" s="21"/>
    </row>
    <row r="24" spans="2:7" x14ac:dyDescent="0.35">
      <c r="B24" t="s">
        <v>146</v>
      </c>
      <c r="C24" s="9">
        <v>129593.67</v>
      </c>
      <c r="D24" s="20">
        <v>99.995115740740744</v>
      </c>
      <c r="E24" s="9">
        <v>129154.83</v>
      </c>
      <c r="F24" s="20">
        <v>99.656504629629623</v>
      </c>
      <c r="G24" s="21"/>
    </row>
    <row r="25" spans="2:7" x14ac:dyDescent="0.35">
      <c r="B25" t="s">
        <v>62</v>
      </c>
      <c r="C25" s="9">
        <v>129593.1</v>
      </c>
      <c r="D25" s="20">
        <v>99.994675925925932</v>
      </c>
      <c r="E25" s="9">
        <v>128619.38</v>
      </c>
      <c r="F25" s="20">
        <v>99.243348765432103</v>
      </c>
      <c r="G25" s="21"/>
    </row>
    <row r="26" spans="2:7" x14ac:dyDescent="0.35">
      <c r="B26" t="s">
        <v>176</v>
      </c>
      <c r="C26" s="9">
        <v>129586.27</v>
      </c>
      <c r="D26" s="20">
        <v>99.989405864197536</v>
      </c>
      <c r="E26" s="9">
        <v>129158.57</v>
      </c>
      <c r="F26" s="20">
        <v>99.659390432098775</v>
      </c>
      <c r="G26" s="21"/>
    </row>
    <row r="27" spans="2:7" x14ac:dyDescent="0.35">
      <c r="B27" t="s">
        <v>143</v>
      </c>
      <c r="C27" s="9">
        <v>129585.75</v>
      </c>
      <c r="D27" s="20">
        <v>99.989004629629633</v>
      </c>
      <c r="E27" s="9">
        <v>129520.52</v>
      </c>
      <c r="F27" s="20">
        <v>99.938672839506168</v>
      </c>
      <c r="G27" s="21"/>
    </row>
    <row r="28" spans="2:7" x14ac:dyDescent="0.35">
      <c r="B28" t="s">
        <v>92</v>
      </c>
      <c r="C28" s="9">
        <v>259178.97999999998</v>
      </c>
      <c r="D28" s="20">
        <v>99.991890432098756</v>
      </c>
      <c r="E28" s="9">
        <v>255907.27000000002</v>
      </c>
      <c r="F28" s="20">
        <v>98.729656635802471</v>
      </c>
      <c r="G28" s="21"/>
    </row>
    <row r="29" spans="2:7" x14ac:dyDescent="0.35">
      <c r="B29" t="s">
        <v>72</v>
      </c>
      <c r="C29" s="9">
        <v>259189.13</v>
      </c>
      <c r="D29" s="20">
        <v>99.995806327160494</v>
      </c>
      <c r="E29" s="9">
        <v>255903.61</v>
      </c>
      <c r="F29" s="20">
        <v>98.728244598765428</v>
      </c>
      <c r="G29" s="21"/>
    </row>
    <row r="30" spans="2:7" x14ac:dyDescent="0.35">
      <c r="B30" t="s">
        <v>120</v>
      </c>
      <c r="C30" s="9">
        <v>259182.97</v>
      </c>
      <c r="D30" s="20">
        <v>99.993429783950617</v>
      </c>
      <c r="E30" s="9">
        <v>257678.3</v>
      </c>
      <c r="F30" s="20">
        <v>99.412924382716056</v>
      </c>
      <c r="G30" s="21"/>
    </row>
    <row r="31" spans="2:7" x14ac:dyDescent="0.35">
      <c r="B31" t="s">
        <v>139</v>
      </c>
      <c r="C31" s="9">
        <v>129594.05</v>
      </c>
      <c r="D31" s="20">
        <v>99.995408950617275</v>
      </c>
      <c r="E31" s="9">
        <v>129527.27</v>
      </c>
      <c r="F31" s="20">
        <v>99.943881172839511</v>
      </c>
      <c r="G31" s="21"/>
    </row>
    <row r="32" spans="2:7" x14ac:dyDescent="0.35">
      <c r="B32" t="s">
        <v>172</v>
      </c>
      <c r="C32" s="9">
        <v>129593.05</v>
      </c>
      <c r="D32" s="20">
        <v>99.99463734567901</v>
      </c>
      <c r="E32" s="9">
        <v>128622.27</v>
      </c>
      <c r="F32" s="20">
        <v>99.245578703703714</v>
      </c>
      <c r="G32" s="21"/>
    </row>
    <row r="33" spans="2:7" x14ac:dyDescent="0.35">
      <c r="B33" t="s">
        <v>150</v>
      </c>
      <c r="C33" s="9">
        <v>129588.87</v>
      </c>
      <c r="D33" s="20">
        <v>99.991412037037037</v>
      </c>
      <c r="E33" s="9">
        <v>129151.97</v>
      </c>
      <c r="F33" s="20">
        <v>99.654297839506185</v>
      </c>
      <c r="G33" s="21"/>
    </row>
    <row r="34" spans="2:7" x14ac:dyDescent="0.35">
      <c r="B34" t="s">
        <v>166</v>
      </c>
      <c r="C34" s="9">
        <v>259187.55</v>
      </c>
      <c r="D34" s="20">
        <v>99.995196759259258</v>
      </c>
      <c r="E34" s="9">
        <v>194522.12</v>
      </c>
      <c r="F34" s="20">
        <v>75.047114197530874</v>
      </c>
      <c r="G34" s="21"/>
    </row>
    <row r="35" spans="2:7" x14ac:dyDescent="0.35">
      <c r="B35" t="s">
        <v>946</v>
      </c>
      <c r="C35" s="9">
        <v>129589.82</v>
      </c>
      <c r="D35" s="20">
        <v>99.992145061728394</v>
      </c>
      <c r="E35" s="9">
        <v>129600</v>
      </c>
      <c r="F35" s="20">
        <v>100</v>
      </c>
      <c r="G35" s="21"/>
    </row>
    <row r="36" spans="2:7" x14ac:dyDescent="0.35">
      <c r="B36" t="s">
        <v>76</v>
      </c>
      <c r="C36" s="9">
        <v>518352.25</v>
      </c>
      <c r="D36" s="20">
        <v>99.990788966049379</v>
      </c>
      <c r="E36" s="9">
        <v>518303.38</v>
      </c>
      <c r="F36" s="20">
        <v>99.981361882716044</v>
      </c>
      <c r="G36" s="21"/>
    </row>
    <row r="37" spans="2:7" x14ac:dyDescent="0.35">
      <c r="B37" t="s">
        <v>161</v>
      </c>
      <c r="C37" s="9">
        <v>388764.4</v>
      </c>
      <c r="D37" s="20">
        <v>99.990843621399179</v>
      </c>
      <c r="E37" s="9">
        <v>388703</v>
      </c>
      <c r="F37" s="20">
        <v>99.97505144032921</v>
      </c>
      <c r="G37" s="21"/>
    </row>
    <row r="38" spans="2:7" x14ac:dyDescent="0.35">
      <c r="B38" t="s">
        <v>169</v>
      </c>
      <c r="C38" s="9">
        <v>129591.85</v>
      </c>
      <c r="D38" s="20">
        <v>99.993711419753097</v>
      </c>
      <c r="E38" s="9">
        <v>129153.8</v>
      </c>
      <c r="F38" s="20">
        <v>99.655709876543213</v>
      </c>
      <c r="G38" s="21"/>
    </row>
    <row r="39" spans="2:7" x14ac:dyDescent="0.35">
      <c r="B39" t="s">
        <v>188</v>
      </c>
      <c r="C39" s="9">
        <v>129592.23</v>
      </c>
      <c r="D39" s="20">
        <v>99.994004629629629</v>
      </c>
      <c r="E39" s="9">
        <v>128787.52</v>
      </c>
      <c r="F39" s="20">
        <v>99.373086419753093</v>
      </c>
      <c r="G39" s="21"/>
    </row>
    <row r="40" spans="2:7" x14ac:dyDescent="0.35">
      <c r="B40" t="s">
        <v>57</v>
      </c>
      <c r="C40" s="9">
        <v>129593.1</v>
      </c>
      <c r="D40" s="20">
        <v>99.994675925925932</v>
      </c>
      <c r="E40" s="9">
        <v>128787.87</v>
      </c>
      <c r="F40" s="20">
        <v>99.37335648148148</v>
      </c>
      <c r="G40" s="21"/>
    </row>
    <row r="41" spans="2:7" x14ac:dyDescent="0.35">
      <c r="B41" t="s">
        <v>300</v>
      </c>
      <c r="C41" s="9">
        <v>129589.52</v>
      </c>
      <c r="D41" s="20">
        <v>99.991913580246916</v>
      </c>
      <c r="E41" s="9">
        <v>128629.83</v>
      </c>
      <c r="F41" s="20">
        <v>99.251412037037028</v>
      </c>
      <c r="G41" s="21"/>
    </row>
    <row r="42" spans="2:7" x14ac:dyDescent="0.35">
      <c r="B42" t="s">
        <v>641</v>
      </c>
      <c r="C42" s="9">
        <v>129594.5</v>
      </c>
      <c r="D42" s="20">
        <v>99.995756172839506</v>
      </c>
      <c r="E42" s="9">
        <v>126756.68</v>
      </c>
      <c r="F42" s="20">
        <v>97.806080246913581</v>
      </c>
      <c r="G42" s="21"/>
    </row>
    <row r="43" spans="2:7" x14ac:dyDescent="0.35">
      <c r="B43" t="s">
        <v>372</v>
      </c>
      <c r="C43" s="9">
        <v>259185.52000000002</v>
      </c>
      <c r="D43" s="20">
        <v>99.994413580246913</v>
      </c>
      <c r="E43" s="9">
        <v>259059.65000000002</v>
      </c>
      <c r="F43" s="20">
        <v>99.945852623456801</v>
      </c>
      <c r="G43" s="21"/>
    </row>
    <row r="44" spans="2:7" x14ac:dyDescent="0.35">
      <c r="B44" t="s">
        <v>484</v>
      </c>
      <c r="C44" s="9">
        <v>259178.5</v>
      </c>
      <c r="D44" s="20">
        <v>99.991705246913583</v>
      </c>
      <c r="E44" s="9">
        <v>259085.91999999998</v>
      </c>
      <c r="F44" s="20">
        <v>99.955987654320978</v>
      </c>
      <c r="G44" s="21"/>
    </row>
    <row r="45" spans="2:7" x14ac:dyDescent="0.35">
      <c r="B45" t="s">
        <v>495</v>
      </c>
      <c r="C45" s="9">
        <v>129590.97</v>
      </c>
      <c r="D45" s="20">
        <v>99.993032407407412</v>
      </c>
      <c r="E45" s="9">
        <v>129594.42</v>
      </c>
      <c r="F45" s="20">
        <v>99.995694444444439</v>
      </c>
      <c r="G45" s="21"/>
    </row>
    <row r="46" spans="2:7" x14ac:dyDescent="0.35">
      <c r="B46" t="s">
        <v>738</v>
      </c>
      <c r="C46" s="9">
        <v>129591.92</v>
      </c>
      <c r="D46" s="20">
        <v>99.993765432098769</v>
      </c>
      <c r="E46" s="9">
        <v>129516.93</v>
      </c>
      <c r="F46" s="20">
        <v>99.93590277777777</v>
      </c>
      <c r="G46" s="21"/>
    </row>
    <row r="47" spans="2:7" x14ac:dyDescent="0.35">
      <c r="B47" t="s">
        <v>555</v>
      </c>
      <c r="C47" s="9">
        <v>129593.27</v>
      </c>
      <c r="D47" s="20">
        <v>99.994807098765435</v>
      </c>
      <c r="E47" s="9">
        <v>117332.5</v>
      </c>
      <c r="F47" s="20">
        <v>90.534336419753075</v>
      </c>
      <c r="G47" s="21"/>
    </row>
    <row r="48" spans="2:7" x14ac:dyDescent="0.35">
      <c r="B48" t="s">
        <v>509</v>
      </c>
      <c r="C48" s="9">
        <v>259178.46000000002</v>
      </c>
      <c r="D48" s="20">
        <v>99.991689814814819</v>
      </c>
      <c r="E48" s="9">
        <v>246481.96</v>
      </c>
      <c r="F48" s="20">
        <v>95.093348765432097</v>
      </c>
      <c r="G48" s="21"/>
    </row>
    <row r="49" spans="2:7" x14ac:dyDescent="0.35">
      <c r="B49" t="s">
        <v>317</v>
      </c>
      <c r="C49" s="9">
        <v>129582.72</v>
      </c>
      <c r="D49" s="20">
        <v>99.986666666666665</v>
      </c>
      <c r="E49" s="9">
        <v>129153.95</v>
      </c>
      <c r="F49" s="20">
        <v>99.655825617283938</v>
      </c>
      <c r="G49" s="21"/>
    </row>
    <row r="50" spans="2:7" x14ac:dyDescent="0.35">
      <c r="B50" t="s">
        <v>658</v>
      </c>
      <c r="C50" s="9">
        <v>129592.22</v>
      </c>
      <c r="D50" s="20">
        <v>99.993996913580247</v>
      </c>
      <c r="E50" s="9">
        <v>129589.8</v>
      </c>
      <c r="F50" s="20">
        <v>99.99212962962963</v>
      </c>
      <c r="G50" s="21"/>
    </row>
    <row r="51" spans="2:7" x14ac:dyDescent="0.35">
      <c r="B51" t="s">
        <v>535</v>
      </c>
      <c r="C51" s="9">
        <v>129595.33</v>
      </c>
      <c r="D51" s="20">
        <v>99.996396604938269</v>
      </c>
      <c r="E51" s="9">
        <v>129520.72</v>
      </c>
      <c r="F51" s="20">
        <v>99.93882716049383</v>
      </c>
      <c r="G51" s="21"/>
    </row>
    <row r="52" spans="2:7" x14ac:dyDescent="0.35">
      <c r="B52" t="s">
        <v>661</v>
      </c>
      <c r="C52" s="9">
        <v>129593.4</v>
      </c>
      <c r="D52" s="20">
        <v>99.99490740740741</v>
      </c>
      <c r="E52" s="9">
        <v>129594.03</v>
      </c>
      <c r="F52" s="20">
        <v>99.995393518518512</v>
      </c>
      <c r="G52" s="21"/>
    </row>
    <row r="53" spans="2:7" x14ac:dyDescent="0.35">
      <c r="B53" t="s">
        <v>233</v>
      </c>
      <c r="C53" s="9">
        <v>129590.3</v>
      </c>
      <c r="D53" s="20">
        <v>99.99251543209877</v>
      </c>
      <c r="E53" s="9">
        <v>124439.73</v>
      </c>
      <c r="F53" s="20">
        <v>96.018310185185186</v>
      </c>
      <c r="G53" s="21"/>
    </row>
    <row r="54" spans="2:7" x14ac:dyDescent="0.35">
      <c r="B54" t="s">
        <v>203</v>
      </c>
      <c r="C54" s="9">
        <v>129591.58</v>
      </c>
      <c r="D54" s="20">
        <v>99.99350308641975</v>
      </c>
      <c r="E54" s="9">
        <v>128626.77</v>
      </c>
      <c r="F54" s="20">
        <v>99.249050925925928</v>
      </c>
      <c r="G54" s="21"/>
    </row>
    <row r="55" spans="2:7" x14ac:dyDescent="0.35">
      <c r="B55" t="s">
        <v>287</v>
      </c>
      <c r="C55" s="9">
        <v>259177.75</v>
      </c>
      <c r="D55" s="20">
        <v>99.991415895061721</v>
      </c>
      <c r="E55" s="9">
        <v>259080.71000000002</v>
      </c>
      <c r="F55" s="20">
        <v>99.95397762345678</v>
      </c>
      <c r="G55" s="21"/>
    </row>
    <row r="56" spans="2:7" x14ac:dyDescent="0.35">
      <c r="B56" t="s">
        <v>814</v>
      </c>
      <c r="C56" s="9">
        <v>129590.65</v>
      </c>
      <c r="D56" s="20">
        <v>99.992785493827157</v>
      </c>
      <c r="E56" s="9">
        <v>129594.58</v>
      </c>
      <c r="F56" s="20">
        <v>99.995817901234574</v>
      </c>
      <c r="G56" s="21"/>
    </row>
    <row r="57" spans="2:7" x14ac:dyDescent="0.35">
      <c r="B57" t="s">
        <v>334</v>
      </c>
      <c r="C57" s="9">
        <v>129585.23</v>
      </c>
      <c r="D57" s="20">
        <v>99.98860339506173</v>
      </c>
      <c r="E57" s="9">
        <v>129153.27</v>
      </c>
      <c r="F57" s="20">
        <v>99.655300925925928</v>
      </c>
      <c r="G57" s="21"/>
    </row>
    <row r="58" spans="2:7" x14ac:dyDescent="0.35">
      <c r="B58" t="s">
        <v>573</v>
      </c>
      <c r="C58" s="9">
        <v>129592.22</v>
      </c>
      <c r="D58" s="20">
        <v>99.993996913580247</v>
      </c>
      <c r="E58" s="9">
        <v>129589.85</v>
      </c>
      <c r="F58" s="20">
        <v>99.992168209876553</v>
      </c>
      <c r="G58" s="21"/>
    </row>
    <row r="59" spans="2:7" x14ac:dyDescent="0.35">
      <c r="B59" t="s">
        <v>297</v>
      </c>
      <c r="C59" s="9">
        <v>259189.87</v>
      </c>
      <c r="D59" s="20">
        <v>99.996091820987658</v>
      </c>
      <c r="E59" s="9">
        <v>244088.08</v>
      </c>
      <c r="F59" s="20">
        <v>94.169783950617273</v>
      </c>
      <c r="G59" s="21"/>
    </row>
    <row r="60" spans="2:7" x14ac:dyDescent="0.35">
      <c r="B60" t="s">
        <v>337</v>
      </c>
      <c r="C60" s="9">
        <v>129592.6</v>
      </c>
      <c r="D60" s="20">
        <v>99.994290123456793</v>
      </c>
      <c r="E60" s="9">
        <v>128622.75</v>
      </c>
      <c r="F60" s="20">
        <v>99.245949074074076</v>
      </c>
      <c r="G60" s="21"/>
    </row>
    <row r="61" spans="2:7" x14ac:dyDescent="0.35">
      <c r="B61" t="s">
        <v>501</v>
      </c>
      <c r="C61" s="9">
        <v>129594.37</v>
      </c>
      <c r="D61" s="20">
        <v>99.995655864197531</v>
      </c>
      <c r="E61" s="9">
        <v>117333.27</v>
      </c>
      <c r="F61" s="20">
        <v>90.534930555555562</v>
      </c>
      <c r="G61" s="21"/>
    </row>
    <row r="62" spans="2:7" x14ac:dyDescent="0.35">
      <c r="B62" t="s">
        <v>475</v>
      </c>
      <c r="C62" s="9">
        <v>129592.03</v>
      </c>
      <c r="D62" s="20">
        <v>99.993850308641967</v>
      </c>
      <c r="E62" s="9">
        <v>129515.82</v>
      </c>
      <c r="F62" s="20">
        <v>99.935046296296306</v>
      </c>
      <c r="G62" s="21"/>
    </row>
    <row r="63" spans="2:7" x14ac:dyDescent="0.35">
      <c r="B63" t="s">
        <v>513</v>
      </c>
      <c r="C63" s="9">
        <v>129597.63</v>
      </c>
      <c r="D63" s="20">
        <v>99.998171296296306</v>
      </c>
      <c r="E63" s="9">
        <v>126757.5</v>
      </c>
      <c r="F63" s="20">
        <v>97.806712962962962</v>
      </c>
      <c r="G63" s="21"/>
    </row>
    <row r="64" spans="2:7" x14ac:dyDescent="0.35">
      <c r="B64" t="s">
        <v>199</v>
      </c>
      <c r="C64" s="9">
        <v>388726.78</v>
      </c>
      <c r="D64" s="20">
        <v>99.981167695473246</v>
      </c>
      <c r="E64" s="9">
        <v>368995.95</v>
      </c>
      <c r="F64" s="20">
        <v>94.906365740740739</v>
      </c>
      <c r="G64" s="21"/>
    </row>
    <row r="65" spans="2:7" x14ac:dyDescent="0.35">
      <c r="B65" t="s">
        <v>504</v>
      </c>
      <c r="C65" s="9">
        <v>647940.56999999995</v>
      </c>
      <c r="D65" s="20">
        <v>99.990828703703713</v>
      </c>
      <c r="E65" s="9">
        <v>636536.37</v>
      </c>
      <c r="F65" s="20">
        <v>98.230921296296287</v>
      </c>
      <c r="G65" s="21"/>
    </row>
    <row r="66" spans="2:7" x14ac:dyDescent="0.35">
      <c r="B66" t="s">
        <v>611</v>
      </c>
      <c r="C66" s="9">
        <v>647948.11</v>
      </c>
      <c r="D66" s="20">
        <v>99.991992283950623</v>
      </c>
      <c r="E66" s="9">
        <v>643236.24</v>
      </c>
      <c r="F66" s="20">
        <v>99.264851851851859</v>
      </c>
      <c r="G66" s="21"/>
    </row>
    <row r="67" spans="2:7" x14ac:dyDescent="0.35">
      <c r="B67" t="s">
        <v>359</v>
      </c>
      <c r="C67" s="9">
        <v>647859.93000000005</v>
      </c>
      <c r="D67" s="20">
        <v>99.978384259259258</v>
      </c>
      <c r="E67" s="9">
        <v>563911.31000000006</v>
      </c>
      <c r="F67" s="20">
        <v>87.023350308641994</v>
      </c>
      <c r="G67" s="21"/>
    </row>
    <row r="68" spans="2:7" x14ac:dyDescent="0.35">
      <c r="B68" t="s">
        <v>775</v>
      </c>
      <c r="C68" s="9">
        <v>259180.95</v>
      </c>
      <c r="D68" s="20">
        <v>99.992650462962956</v>
      </c>
      <c r="E68" s="9">
        <v>252704.12</v>
      </c>
      <c r="F68" s="20">
        <v>97.493873456790126</v>
      </c>
      <c r="G68" s="21"/>
    </row>
    <row r="69" spans="2:7" x14ac:dyDescent="0.35">
      <c r="B69" t="s">
        <v>635</v>
      </c>
      <c r="C69" s="9">
        <v>129592.07</v>
      </c>
      <c r="D69" s="20">
        <v>99.993881172839522</v>
      </c>
      <c r="E69" s="9">
        <v>129413.88</v>
      </c>
      <c r="F69" s="20">
        <v>99.856388888888887</v>
      </c>
      <c r="G69" s="21"/>
    </row>
    <row r="70" spans="2:7" x14ac:dyDescent="0.35">
      <c r="B70" t="s">
        <v>690</v>
      </c>
      <c r="C70" s="9">
        <v>129589.85</v>
      </c>
      <c r="D70" s="20">
        <v>99.992168209876553</v>
      </c>
      <c r="E70" s="9">
        <v>125419.03</v>
      </c>
      <c r="F70" s="20">
        <v>96.773942901234562</v>
      </c>
      <c r="G70" s="21"/>
    </row>
    <row r="71" spans="2:7" x14ac:dyDescent="0.35">
      <c r="B71" t="s">
        <v>378</v>
      </c>
      <c r="C71" s="9">
        <v>129592.93</v>
      </c>
      <c r="D71" s="20">
        <v>99.994544753086416</v>
      </c>
      <c r="E71" s="9">
        <v>125421.13</v>
      </c>
      <c r="F71" s="20">
        <v>96.775563271604938</v>
      </c>
      <c r="G71" s="21"/>
    </row>
    <row r="72" spans="2:7" x14ac:dyDescent="0.35">
      <c r="B72" t="s">
        <v>460</v>
      </c>
      <c r="C72" s="9">
        <v>259154.74</v>
      </c>
      <c r="D72" s="20">
        <v>99.98253858024691</v>
      </c>
      <c r="E72" s="9">
        <v>243955.7</v>
      </c>
      <c r="F72" s="20">
        <v>94.118711419753083</v>
      </c>
      <c r="G72" s="21"/>
    </row>
    <row r="73" spans="2:7" x14ac:dyDescent="0.35">
      <c r="B73" t="s">
        <v>363</v>
      </c>
      <c r="C73" s="9">
        <v>1166224.53</v>
      </c>
      <c r="D73" s="20">
        <v>99.984956275720165</v>
      </c>
      <c r="E73" s="9">
        <v>1105462.68</v>
      </c>
      <c r="F73" s="20">
        <v>94.775606995884772</v>
      </c>
      <c r="G73" s="21"/>
    </row>
    <row r="74" spans="2:7" x14ac:dyDescent="0.35">
      <c r="B74" t="s">
        <v>549</v>
      </c>
      <c r="C74" s="9">
        <v>259179.82</v>
      </c>
      <c r="D74" s="20">
        <v>99.992214506172843</v>
      </c>
      <c r="E74" s="9">
        <v>252287.97999999998</v>
      </c>
      <c r="F74" s="20">
        <v>97.333325617283947</v>
      </c>
      <c r="G74" s="21"/>
    </row>
    <row r="75" spans="2:7" x14ac:dyDescent="0.35">
      <c r="B75" t="s">
        <v>240</v>
      </c>
      <c r="C75" s="9">
        <v>1686702.92</v>
      </c>
      <c r="D75" s="20">
        <v>100.11294634377967</v>
      </c>
      <c r="E75" s="9">
        <v>1611913.98</v>
      </c>
      <c r="F75" s="20">
        <v>95.673906695156674</v>
      </c>
      <c r="G75" s="21"/>
    </row>
    <row r="76" spans="2:7" x14ac:dyDescent="0.35">
      <c r="B76" t="s">
        <v>808</v>
      </c>
      <c r="C76" s="9">
        <v>129592.42</v>
      </c>
      <c r="D76" s="20">
        <v>99.994151234567894</v>
      </c>
      <c r="E76" s="9">
        <v>129570.28</v>
      </c>
      <c r="F76" s="20">
        <v>99.977067901234562</v>
      </c>
      <c r="G76" s="21"/>
    </row>
    <row r="77" spans="2:7" x14ac:dyDescent="0.35">
      <c r="B77" t="s">
        <v>215</v>
      </c>
      <c r="C77" s="9">
        <v>129595.27</v>
      </c>
      <c r="D77" s="20">
        <v>99.996350308641979</v>
      </c>
      <c r="E77" s="9">
        <v>129569.27</v>
      </c>
      <c r="F77" s="20">
        <v>99.976288580246916</v>
      </c>
      <c r="G77" s="21"/>
    </row>
    <row r="78" spans="2:7" x14ac:dyDescent="0.35">
      <c r="B78" t="s">
        <v>320</v>
      </c>
      <c r="C78" s="9">
        <v>129586.45</v>
      </c>
      <c r="D78" s="20">
        <v>99.989544753086406</v>
      </c>
      <c r="E78" s="9">
        <v>125402.9</v>
      </c>
      <c r="F78" s="20">
        <v>96.761496913580245</v>
      </c>
      <c r="G78" s="21"/>
    </row>
    <row r="79" spans="2:7" x14ac:dyDescent="0.35">
      <c r="B79" t="s">
        <v>465</v>
      </c>
      <c r="C79" s="9">
        <v>777493.65999999992</v>
      </c>
      <c r="D79" s="20">
        <v>99.986324588477373</v>
      </c>
      <c r="E79" s="9">
        <v>773545.33</v>
      </c>
      <c r="F79" s="20">
        <v>99.478566100823045</v>
      </c>
      <c r="G79" s="21"/>
    </row>
    <row r="80" spans="2:7" x14ac:dyDescent="0.35">
      <c r="B80" t="s">
        <v>249</v>
      </c>
      <c r="C80" s="9">
        <v>1166310.42</v>
      </c>
      <c r="D80" s="20">
        <v>99.992319958847744</v>
      </c>
      <c r="E80" s="9">
        <v>1163969.1100000001</v>
      </c>
      <c r="F80" s="20">
        <v>99.791590363511659</v>
      </c>
      <c r="G80" s="21"/>
    </row>
    <row r="81" spans="2:7" x14ac:dyDescent="0.35">
      <c r="B81" t="s">
        <v>647</v>
      </c>
      <c r="C81" s="9">
        <v>259172.27000000002</v>
      </c>
      <c r="D81" s="20">
        <v>99.989301697530863</v>
      </c>
      <c r="E81" s="9">
        <v>257460.72999999998</v>
      </c>
      <c r="F81" s="20">
        <v>99.328985339506175</v>
      </c>
      <c r="G81" s="21"/>
    </row>
    <row r="82" spans="2:7" x14ac:dyDescent="0.35">
      <c r="B82" t="s">
        <v>525</v>
      </c>
      <c r="C82" s="9">
        <v>518355.86</v>
      </c>
      <c r="D82" s="20">
        <v>99.99148533950617</v>
      </c>
      <c r="E82" s="9">
        <v>515083.07</v>
      </c>
      <c r="F82" s="20">
        <v>99.360160108024687</v>
      </c>
      <c r="G82" s="21"/>
    </row>
    <row r="83" spans="2:7" x14ac:dyDescent="0.35">
      <c r="B83" t="s">
        <v>34</v>
      </c>
      <c r="C83" s="9">
        <v>388036.19</v>
      </c>
      <c r="D83" s="20">
        <v>99.803546810699586</v>
      </c>
      <c r="E83" s="9">
        <v>384400.01</v>
      </c>
      <c r="F83" s="20">
        <v>98.868315329218106</v>
      </c>
      <c r="G83" s="21"/>
    </row>
    <row r="84" spans="2:7" x14ac:dyDescent="0.35">
      <c r="B84" t="s">
        <v>44</v>
      </c>
      <c r="C84" s="9">
        <v>906420.07000000007</v>
      </c>
      <c r="D84" s="20">
        <v>99.914028880070532</v>
      </c>
      <c r="E84" s="9">
        <v>869740.33</v>
      </c>
      <c r="F84" s="20">
        <v>95.870847663139344</v>
      </c>
      <c r="G84" s="21"/>
    </row>
    <row r="85" spans="2:7" x14ac:dyDescent="0.35">
      <c r="B85" t="s">
        <v>480</v>
      </c>
      <c r="C85" s="9">
        <v>129452.55</v>
      </c>
      <c r="D85" s="20">
        <v>99.886226851851859</v>
      </c>
      <c r="E85" s="9">
        <v>129600</v>
      </c>
      <c r="F85" s="20">
        <v>100</v>
      </c>
      <c r="G85" s="21"/>
    </row>
    <row r="86" spans="2:7" x14ac:dyDescent="0.35">
      <c r="B86" t="s">
        <v>405</v>
      </c>
      <c r="C86" s="9">
        <v>129456.92</v>
      </c>
      <c r="D86" s="20">
        <v>99.889598765432098</v>
      </c>
      <c r="E86" s="9">
        <v>129600</v>
      </c>
      <c r="F86" s="20">
        <v>100</v>
      </c>
      <c r="G86" s="21"/>
    </row>
    <row r="87" spans="2:7" x14ac:dyDescent="0.35">
      <c r="B87" t="s">
        <v>384</v>
      </c>
      <c r="C87" s="9">
        <v>128858.45</v>
      </c>
      <c r="D87" s="20">
        <v>99.427816358024685</v>
      </c>
      <c r="E87" s="9">
        <v>128051.7</v>
      </c>
      <c r="F87" s="20">
        <v>98.805324074074079</v>
      </c>
      <c r="G87" s="21"/>
    </row>
    <row r="88" spans="2:7" x14ac:dyDescent="0.35">
      <c r="B88" t="s">
        <v>348</v>
      </c>
      <c r="C88" s="9">
        <v>129591.1</v>
      </c>
      <c r="D88" s="20">
        <v>99.993132716049388</v>
      </c>
      <c r="E88" s="9">
        <v>127281.42</v>
      </c>
      <c r="F88" s="20">
        <v>98.210972222222225</v>
      </c>
      <c r="G88" s="21"/>
    </row>
    <row r="89" spans="2:7" x14ac:dyDescent="0.35">
      <c r="B89" t="s">
        <v>831</v>
      </c>
      <c r="C89" s="9">
        <v>129433.58</v>
      </c>
      <c r="D89" s="20">
        <v>99.871589506172839</v>
      </c>
      <c r="E89" s="9">
        <v>129600</v>
      </c>
      <c r="F89" s="20">
        <v>100</v>
      </c>
      <c r="G89" s="21"/>
    </row>
    <row r="90" spans="2:7" x14ac:dyDescent="0.35">
      <c r="B90" t="s">
        <v>207</v>
      </c>
      <c r="C90" s="9">
        <v>388740.95</v>
      </c>
      <c r="D90" s="20">
        <v>99.984812242798355</v>
      </c>
      <c r="E90" s="9">
        <v>387725.78</v>
      </c>
      <c r="F90" s="20">
        <v>99.723708847736631</v>
      </c>
      <c r="G90" s="21"/>
    </row>
    <row r="91" spans="2:7" x14ac:dyDescent="0.35">
      <c r="B91" t="s">
        <v>621</v>
      </c>
      <c r="C91" s="9">
        <v>129542.9</v>
      </c>
      <c r="D91" s="20">
        <v>99.955941358024688</v>
      </c>
      <c r="E91" s="9">
        <v>129519</v>
      </c>
      <c r="F91" s="20">
        <v>99.9375</v>
      </c>
      <c r="G91" s="21"/>
    </row>
    <row r="92" spans="2:7" x14ac:dyDescent="0.35">
      <c r="B92" t="s">
        <v>601</v>
      </c>
      <c r="C92" s="9">
        <v>259156.22</v>
      </c>
      <c r="D92" s="20">
        <v>99.983109567901238</v>
      </c>
      <c r="E92" s="9">
        <v>257166.03</v>
      </c>
      <c r="F92" s="20">
        <v>99.215289351851851</v>
      </c>
      <c r="G92" s="21"/>
    </row>
    <row r="93" spans="2:7" x14ac:dyDescent="0.35">
      <c r="B93" t="s">
        <v>795</v>
      </c>
      <c r="C93" s="9">
        <v>129448.82</v>
      </c>
      <c r="D93" s="20">
        <v>99.883348765432103</v>
      </c>
      <c r="E93" s="9">
        <v>129600</v>
      </c>
      <c r="F93" s="20">
        <v>100</v>
      </c>
      <c r="G93" s="21"/>
    </row>
    <row r="94" spans="2:7" x14ac:dyDescent="0.35">
      <c r="B94" t="s">
        <v>398</v>
      </c>
      <c r="C94" s="9">
        <v>129428.58</v>
      </c>
      <c r="D94" s="20">
        <v>99.867731481481485</v>
      </c>
      <c r="E94" s="9">
        <v>129600</v>
      </c>
      <c r="F94" s="20">
        <v>100</v>
      </c>
      <c r="G94" s="21"/>
    </row>
    <row r="95" spans="2:7" x14ac:dyDescent="0.35">
      <c r="B95" t="s">
        <v>210</v>
      </c>
      <c r="C95" s="9">
        <v>259180.12</v>
      </c>
      <c r="D95" s="20">
        <v>99.992330246913582</v>
      </c>
      <c r="E95" s="9">
        <v>256434.56</v>
      </c>
      <c r="F95" s="20">
        <v>98.933086419753096</v>
      </c>
      <c r="G95" s="21"/>
    </row>
    <row r="96" spans="2:7" x14ac:dyDescent="0.35">
      <c r="B96" t="s">
        <v>543</v>
      </c>
      <c r="C96" s="9">
        <v>129449.60000000001</v>
      </c>
      <c r="D96" s="20">
        <v>99.883950617283958</v>
      </c>
      <c r="E96" s="9">
        <v>129600</v>
      </c>
      <c r="F96" s="20">
        <v>100</v>
      </c>
      <c r="G96" s="21"/>
    </row>
    <row r="97" spans="2:7" x14ac:dyDescent="0.35">
      <c r="B97" t="s">
        <v>423</v>
      </c>
      <c r="C97" s="9">
        <v>129536.35</v>
      </c>
      <c r="D97" s="20">
        <v>99.950887345679021</v>
      </c>
      <c r="E97" s="9">
        <v>125579.75</v>
      </c>
      <c r="F97" s="20">
        <v>96.897955246913583</v>
      </c>
      <c r="G97" s="21"/>
    </row>
    <row r="98" spans="2:7" x14ac:dyDescent="0.35">
      <c r="B98" t="s">
        <v>351</v>
      </c>
      <c r="C98" s="9">
        <v>259166.6</v>
      </c>
      <c r="D98" s="20">
        <v>99.987114197530872</v>
      </c>
      <c r="E98" s="9">
        <v>259028.6</v>
      </c>
      <c r="F98" s="20">
        <v>99.933873456790124</v>
      </c>
      <c r="G98" s="21"/>
    </row>
    <row r="99" spans="2:7" x14ac:dyDescent="0.35">
      <c r="B99" t="s">
        <v>705</v>
      </c>
      <c r="C99" s="9">
        <v>129594.42</v>
      </c>
      <c r="D99" s="20">
        <v>99.995694444444439</v>
      </c>
      <c r="E99" s="9">
        <v>128857.65</v>
      </c>
      <c r="F99" s="20">
        <v>99.427199074074068</v>
      </c>
      <c r="G99" s="21"/>
    </row>
    <row r="100" spans="2:7" x14ac:dyDescent="0.35">
      <c r="B100" t="s">
        <v>266</v>
      </c>
      <c r="C100" s="9">
        <v>777342.65</v>
      </c>
      <c r="D100" s="20">
        <v>99.9669045781893</v>
      </c>
      <c r="E100" s="9">
        <v>774776.7</v>
      </c>
      <c r="F100" s="20">
        <v>99.636921296296293</v>
      </c>
      <c r="G100" s="21"/>
    </row>
    <row r="101" spans="2:7" x14ac:dyDescent="0.35">
      <c r="B101" t="s">
        <v>759</v>
      </c>
      <c r="C101" s="9">
        <v>259186.45</v>
      </c>
      <c r="D101" s="20">
        <v>99.99477237654321</v>
      </c>
      <c r="E101" s="9">
        <v>252693.13</v>
      </c>
      <c r="F101" s="20">
        <v>97.489633487654316</v>
      </c>
      <c r="G101" s="21"/>
    </row>
    <row r="102" spans="2:7" x14ac:dyDescent="0.35">
      <c r="B102" t="s">
        <v>644</v>
      </c>
      <c r="C102" s="9">
        <v>259027.32</v>
      </c>
      <c r="D102" s="20">
        <v>99.933379629629627</v>
      </c>
      <c r="E102" s="9">
        <v>255011.05</v>
      </c>
      <c r="F102" s="20">
        <v>98.383892746913574</v>
      </c>
      <c r="G102" s="21"/>
    </row>
    <row r="103" spans="2:7" x14ac:dyDescent="0.35">
      <c r="B103" t="s">
        <v>369</v>
      </c>
      <c r="C103" s="9">
        <v>258442.77000000002</v>
      </c>
      <c r="D103" s="20">
        <v>99.707858796296307</v>
      </c>
      <c r="E103" s="9">
        <v>254987.34</v>
      </c>
      <c r="F103" s="20">
        <v>98.374745370370363</v>
      </c>
      <c r="G103" s="21"/>
    </row>
    <row r="104" spans="2:7" x14ac:dyDescent="0.35">
      <c r="B104" t="s">
        <v>195</v>
      </c>
      <c r="C104" s="9">
        <v>906850.6</v>
      </c>
      <c r="D104" s="20">
        <v>99.961485890652554</v>
      </c>
      <c r="E104" s="9">
        <v>891221.33000000007</v>
      </c>
      <c r="F104" s="20">
        <v>98.238682760141089</v>
      </c>
      <c r="G104" s="21"/>
    </row>
    <row r="105" spans="2:7" x14ac:dyDescent="0.35">
      <c r="B105" t="s">
        <v>303</v>
      </c>
      <c r="C105" s="9">
        <v>906948.87999999989</v>
      </c>
      <c r="D105" s="20">
        <v>99.972319223985892</v>
      </c>
      <c r="E105" s="9">
        <v>901651.14999999991</v>
      </c>
      <c r="F105" s="20">
        <v>99.388354276895953</v>
      </c>
      <c r="G105" s="21"/>
    </row>
    <row r="106" spans="2:7" x14ac:dyDescent="0.35">
      <c r="B106" t="s">
        <v>557</v>
      </c>
      <c r="C106" s="9">
        <v>388726.59</v>
      </c>
      <c r="D106" s="20">
        <v>99.9811188271605</v>
      </c>
      <c r="E106" s="9">
        <v>375330.39</v>
      </c>
      <c r="F106" s="20">
        <v>96.535594135802469</v>
      </c>
      <c r="G106" s="21"/>
    </row>
    <row r="107" spans="2:7" x14ac:dyDescent="0.35">
      <c r="B107" t="s">
        <v>231</v>
      </c>
      <c r="C107" s="9">
        <v>906847</v>
      </c>
      <c r="D107" s="20">
        <v>99.96108906525572</v>
      </c>
      <c r="E107" s="9">
        <v>877684.70000000007</v>
      </c>
      <c r="F107" s="20">
        <v>96.746549823633146</v>
      </c>
      <c r="G107" s="21"/>
    </row>
    <row r="108" spans="2:7" x14ac:dyDescent="0.35">
      <c r="B108" t="s">
        <v>434</v>
      </c>
      <c r="C108" s="9">
        <v>647925.19999999995</v>
      </c>
      <c r="D108" s="20">
        <v>99.988456790123465</v>
      </c>
      <c r="E108" s="9">
        <v>646107.54</v>
      </c>
      <c r="F108" s="20">
        <v>99.707953703703694</v>
      </c>
      <c r="G108" s="21"/>
    </row>
    <row r="109" spans="2:7" x14ac:dyDescent="0.35">
      <c r="B109" t="s">
        <v>426</v>
      </c>
      <c r="C109" s="9">
        <v>259183.2</v>
      </c>
      <c r="D109" s="20">
        <v>99.993518518518513</v>
      </c>
      <c r="E109" s="9">
        <v>258608.82</v>
      </c>
      <c r="F109" s="20">
        <v>99.771921296296298</v>
      </c>
      <c r="G109" s="21"/>
    </row>
    <row r="110" spans="2:7" x14ac:dyDescent="0.35">
      <c r="B110" t="s">
        <v>402</v>
      </c>
      <c r="C110" s="9">
        <v>647759.1</v>
      </c>
      <c r="D110" s="20">
        <v>99.962824074074064</v>
      </c>
      <c r="E110" s="9">
        <v>646316.09</v>
      </c>
      <c r="F110" s="20">
        <v>99.740137345679017</v>
      </c>
      <c r="G110" s="21"/>
    </row>
    <row r="111" spans="2:7" x14ac:dyDescent="0.35">
      <c r="B111" t="s">
        <v>630</v>
      </c>
      <c r="C111" s="9">
        <v>129462.72</v>
      </c>
      <c r="D111" s="20">
        <v>99.894074074074084</v>
      </c>
      <c r="E111" s="9">
        <v>129600</v>
      </c>
      <c r="F111" s="20">
        <v>100</v>
      </c>
      <c r="G111" s="21"/>
    </row>
    <row r="112" spans="2:7" x14ac:dyDescent="0.35">
      <c r="B112" t="s">
        <v>437</v>
      </c>
      <c r="C112" s="9">
        <v>518216.59</v>
      </c>
      <c r="D112" s="20">
        <v>99.964619984567904</v>
      </c>
      <c r="E112" s="9">
        <v>518214.47</v>
      </c>
      <c r="F112" s="20">
        <v>99.964211033950619</v>
      </c>
      <c r="G112" s="21"/>
    </row>
    <row r="113" spans="2:7" x14ac:dyDescent="0.35">
      <c r="B113" t="s">
        <v>294</v>
      </c>
      <c r="C113" s="9">
        <v>518145.21</v>
      </c>
      <c r="D113" s="20">
        <v>99.950850694444441</v>
      </c>
      <c r="E113" s="9">
        <v>515196.15</v>
      </c>
      <c r="F113" s="20">
        <v>99.381973379629628</v>
      </c>
      <c r="G113" s="21"/>
    </row>
    <row r="114" spans="2:7" x14ac:dyDescent="0.35">
      <c r="B114" t="s">
        <v>341</v>
      </c>
      <c r="C114" s="9">
        <v>129462.03</v>
      </c>
      <c r="D114" s="20">
        <v>99.893541666666664</v>
      </c>
      <c r="E114" s="9">
        <v>129600</v>
      </c>
      <c r="F114" s="20">
        <v>100</v>
      </c>
      <c r="G114" s="21"/>
    </row>
    <row r="115" spans="2:7" x14ac:dyDescent="0.35">
      <c r="B115" t="s">
        <v>468</v>
      </c>
      <c r="C115" s="9">
        <v>518200.12</v>
      </c>
      <c r="D115" s="20">
        <v>99.961442901234562</v>
      </c>
      <c r="E115" s="9">
        <v>511513.85</v>
      </c>
      <c r="F115" s="20">
        <v>98.671653163580245</v>
      </c>
      <c r="G115" s="21"/>
    </row>
    <row r="116" spans="2:7" x14ac:dyDescent="0.35">
      <c r="B116" t="s">
        <v>639</v>
      </c>
      <c r="C116" s="9">
        <v>258454.78</v>
      </c>
      <c r="D116" s="20">
        <v>99.71249228395061</v>
      </c>
      <c r="E116" s="9">
        <v>256964.15999999997</v>
      </c>
      <c r="F116" s="20">
        <v>99.137407407407409</v>
      </c>
      <c r="G116" s="21"/>
    </row>
    <row r="117" spans="2:7" x14ac:dyDescent="0.35">
      <c r="B117" t="s">
        <v>387</v>
      </c>
      <c r="C117" s="9">
        <v>906791.03</v>
      </c>
      <c r="D117" s="20">
        <v>99.954919532627855</v>
      </c>
      <c r="E117" s="9">
        <v>816815.47</v>
      </c>
      <c r="F117" s="20">
        <v>90.036978615520283</v>
      </c>
      <c r="G117" s="21"/>
    </row>
    <row r="118" spans="2:7" x14ac:dyDescent="0.35">
      <c r="B118" t="s">
        <v>606</v>
      </c>
      <c r="C118" s="9">
        <v>259185.52000000002</v>
      </c>
      <c r="D118" s="20">
        <v>99.994413580246913</v>
      </c>
      <c r="E118" s="9">
        <v>255753.97</v>
      </c>
      <c r="F118" s="20">
        <v>98.670513117283946</v>
      </c>
      <c r="G118" s="21"/>
    </row>
    <row r="119" spans="2:7" x14ac:dyDescent="0.35">
      <c r="B119" t="s">
        <v>721</v>
      </c>
      <c r="C119" s="9">
        <v>129543.32</v>
      </c>
      <c r="D119" s="20">
        <v>99.956265432098775</v>
      </c>
      <c r="E119" s="9">
        <v>129519.07</v>
      </c>
      <c r="F119" s="20">
        <v>99.937554012345686</v>
      </c>
      <c r="G119" s="21"/>
    </row>
    <row r="120" spans="2:7" x14ac:dyDescent="0.35">
      <c r="B120" t="s">
        <v>539</v>
      </c>
      <c r="C120" s="9">
        <v>129588.3</v>
      </c>
      <c r="D120" s="20">
        <v>99.990972222222226</v>
      </c>
      <c r="E120" s="9">
        <v>127988.18</v>
      </c>
      <c r="F120" s="20">
        <v>98.756311728395048</v>
      </c>
      <c r="G120" s="21"/>
    </row>
    <row r="121" spans="2:7" x14ac:dyDescent="0.35">
      <c r="B121" t="s">
        <v>306</v>
      </c>
      <c r="C121" s="9">
        <v>129594.23</v>
      </c>
      <c r="D121" s="20">
        <v>99.995547839506173</v>
      </c>
      <c r="E121" s="9">
        <v>129029.03</v>
      </c>
      <c r="F121" s="20">
        <v>99.559436728395056</v>
      </c>
      <c r="G121" s="21"/>
    </row>
    <row r="122" spans="2:7" x14ac:dyDescent="0.35">
      <c r="B122" t="s">
        <v>817</v>
      </c>
      <c r="C122" s="9">
        <v>129445.82</v>
      </c>
      <c r="D122" s="20">
        <v>99.881033950617294</v>
      </c>
      <c r="E122" s="9">
        <v>129600</v>
      </c>
      <c r="F122" s="20">
        <v>100</v>
      </c>
      <c r="G122" s="21"/>
    </row>
    <row r="123" spans="2:7" x14ac:dyDescent="0.35">
      <c r="B123" t="s">
        <v>417</v>
      </c>
      <c r="C123" s="9">
        <v>777550.0199999999</v>
      </c>
      <c r="D123" s="20">
        <v>99.993572530864185</v>
      </c>
      <c r="E123" s="9">
        <v>774139.59</v>
      </c>
      <c r="F123" s="20">
        <v>99.554988425925913</v>
      </c>
      <c r="G123" s="21"/>
    </row>
    <row r="124" spans="2:7" x14ac:dyDescent="0.35">
      <c r="B124" t="s">
        <v>517</v>
      </c>
      <c r="C124" s="9">
        <v>388765.05000000005</v>
      </c>
      <c r="D124" s="20">
        <v>99.991010802469134</v>
      </c>
      <c r="E124" s="9">
        <v>382709.72</v>
      </c>
      <c r="F124" s="20">
        <v>98.433569958847741</v>
      </c>
      <c r="G124" s="21"/>
    </row>
    <row r="125" spans="2:7" x14ac:dyDescent="0.35">
      <c r="B125" t="s">
        <v>826</v>
      </c>
      <c r="C125" s="9">
        <v>129576.7</v>
      </c>
      <c r="D125" s="20">
        <v>99.982021604938268</v>
      </c>
      <c r="E125" s="9">
        <v>129600</v>
      </c>
      <c r="F125" s="20">
        <v>100</v>
      </c>
      <c r="G125" s="21"/>
    </row>
    <row r="126" spans="2:7" x14ac:dyDescent="0.35">
      <c r="B126" t="s">
        <v>410</v>
      </c>
      <c r="C126" s="9">
        <v>129439.75</v>
      </c>
      <c r="D126" s="20">
        <v>99.876350308641975</v>
      </c>
      <c r="E126" s="9">
        <v>129600</v>
      </c>
      <c r="F126" s="20">
        <v>100</v>
      </c>
      <c r="G126" s="21"/>
    </row>
    <row r="127" spans="2:7" x14ac:dyDescent="0.35">
      <c r="B127" t="s">
        <v>784</v>
      </c>
      <c r="C127" s="9">
        <v>129437.88</v>
      </c>
      <c r="D127" s="20">
        <v>99.874907407407406</v>
      </c>
      <c r="E127" s="9">
        <v>129600</v>
      </c>
      <c r="F127" s="20">
        <v>100</v>
      </c>
      <c r="G127" s="21"/>
    </row>
    <row r="128" spans="2:7" x14ac:dyDescent="0.35">
      <c r="B128" t="s">
        <v>252</v>
      </c>
      <c r="C128" s="9">
        <v>388606.94</v>
      </c>
      <c r="D128" s="20">
        <v>99.950344650205764</v>
      </c>
      <c r="E128" s="9">
        <v>384615.5</v>
      </c>
      <c r="F128" s="20">
        <v>98.923739711934147</v>
      </c>
      <c r="G128" s="21"/>
    </row>
    <row r="129" spans="2:7" x14ac:dyDescent="0.35">
      <c r="B129" t="s">
        <v>672</v>
      </c>
      <c r="C129" s="9">
        <v>388613.86</v>
      </c>
      <c r="D129" s="20">
        <v>99.952124485596713</v>
      </c>
      <c r="E129" s="9">
        <v>382290.28</v>
      </c>
      <c r="F129" s="20">
        <v>98.325689300411511</v>
      </c>
      <c r="G129" s="21"/>
    </row>
    <row r="130" spans="2:7" x14ac:dyDescent="0.35">
      <c r="B130" t="s">
        <v>331</v>
      </c>
      <c r="C130" s="9">
        <v>129446.75</v>
      </c>
      <c r="D130" s="20">
        <v>99.881751543209873</v>
      </c>
      <c r="E130" s="9">
        <v>129600</v>
      </c>
      <c r="F130" s="20">
        <v>100</v>
      </c>
      <c r="G130" s="21"/>
    </row>
    <row r="131" spans="2:7" x14ac:dyDescent="0.35">
      <c r="B131" t="s">
        <v>452</v>
      </c>
      <c r="C131" s="9">
        <v>259192.37</v>
      </c>
      <c r="D131" s="20">
        <v>99.997056327160493</v>
      </c>
      <c r="E131" s="9">
        <v>257885.66999999998</v>
      </c>
      <c r="F131" s="20">
        <v>99.492928240740753</v>
      </c>
      <c r="G131" s="21"/>
    </row>
    <row r="132" spans="2:7" x14ac:dyDescent="0.35">
      <c r="B132" t="s">
        <v>328</v>
      </c>
      <c r="C132" s="9">
        <v>129458.57</v>
      </c>
      <c r="D132" s="20">
        <v>99.890871913580241</v>
      </c>
      <c r="E132" s="9">
        <v>129600</v>
      </c>
      <c r="F132" s="20">
        <v>100</v>
      </c>
      <c r="G132" s="21"/>
    </row>
    <row r="133" spans="2:7" x14ac:dyDescent="0.35">
      <c r="B133" t="s">
        <v>284</v>
      </c>
      <c r="C133" s="9">
        <v>1036427.82</v>
      </c>
      <c r="D133" s="20">
        <v>99.964103009259262</v>
      </c>
      <c r="E133" s="9">
        <v>1030153.66</v>
      </c>
      <c r="F133" s="20">
        <v>99.358956404320978</v>
      </c>
      <c r="G133" s="21"/>
    </row>
    <row r="134" spans="2:7" x14ac:dyDescent="0.35">
      <c r="B134" t="s">
        <v>471</v>
      </c>
      <c r="C134" s="9">
        <v>129449.57</v>
      </c>
      <c r="D134" s="20">
        <v>99.883927469135799</v>
      </c>
      <c r="E134" s="9">
        <v>129600</v>
      </c>
      <c r="F134" s="20">
        <v>100</v>
      </c>
      <c r="G134" s="21"/>
    </row>
    <row r="135" spans="2:7" x14ac:dyDescent="0.35">
      <c r="B135" t="s">
        <v>724</v>
      </c>
      <c r="C135" s="9">
        <v>129428.87</v>
      </c>
      <c r="D135" s="20">
        <v>99.867955246913581</v>
      </c>
      <c r="E135" s="9">
        <v>129600</v>
      </c>
      <c r="F135" s="20">
        <v>100</v>
      </c>
      <c r="G135" s="21"/>
    </row>
    <row r="136" spans="2:7" x14ac:dyDescent="0.35">
      <c r="B136" t="s">
        <v>664</v>
      </c>
      <c r="C136" s="9">
        <v>129585.77</v>
      </c>
      <c r="D136" s="20">
        <v>99.989020061728397</v>
      </c>
      <c r="E136" s="9">
        <v>129588.93</v>
      </c>
      <c r="F136" s="20">
        <v>99.991458333333327</v>
      </c>
      <c r="G136" s="21"/>
    </row>
    <row r="137" spans="2:7" x14ac:dyDescent="0.35">
      <c r="B137" t="s">
        <v>498</v>
      </c>
      <c r="C137" s="9">
        <v>129593.47</v>
      </c>
      <c r="D137" s="20">
        <v>99.994961419753096</v>
      </c>
      <c r="E137" s="9">
        <v>128787.12</v>
      </c>
      <c r="F137" s="20">
        <v>99.37277777777777</v>
      </c>
      <c r="G137" s="21"/>
    </row>
    <row r="138" spans="2:7" x14ac:dyDescent="0.35">
      <c r="B138" t="s">
        <v>345</v>
      </c>
      <c r="C138" s="9">
        <v>259188.75</v>
      </c>
      <c r="D138" s="20">
        <v>99.995659722222229</v>
      </c>
      <c r="E138" s="9">
        <v>255095.26</v>
      </c>
      <c r="F138" s="20">
        <v>98.416381172839507</v>
      </c>
      <c r="G138" s="21"/>
    </row>
    <row r="139" spans="2:7" x14ac:dyDescent="0.35">
      <c r="B139" t="s">
        <v>260</v>
      </c>
      <c r="C139" s="9">
        <v>129590.08</v>
      </c>
      <c r="D139" s="20">
        <v>99.992345679012345</v>
      </c>
      <c r="E139" s="9">
        <v>129572.12</v>
      </c>
      <c r="F139" s="20">
        <v>99.978487654320986</v>
      </c>
      <c r="G139" s="21"/>
    </row>
    <row r="140" spans="2:7" x14ac:dyDescent="0.35">
      <c r="B140" t="s">
        <v>381</v>
      </c>
      <c r="C140" s="9">
        <v>907141.53</v>
      </c>
      <c r="D140" s="20">
        <v>99.993554894179894</v>
      </c>
      <c r="E140" s="9">
        <v>892503.15000000014</v>
      </c>
      <c r="F140" s="20">
        <v>98.37997685185185</v>
      </c>
      <c r="G140" s="21"/>
    </row>
    <row r="141" spans="2:7" x14ac:dyDescent="0.35">
      <c r="B141" t="s">
        <v>521</v>
      </c>
      <c r="C141" s="9">
        <v>258438.55</v>
      </c>
      <c r="D141" s="20">
        <v>99.706230709876536</v>
      </c>
      <c r="E141" s="9">
        <v>257455.81</v>
      </c>
      <c r="F141" s="20">
        <v>99.327087191358032</v>
      </c>
      <c r="G141" s="21"/>
    </row>
    <row r="142" spans="2:7" x14ac:dyDescent="0.35">
      <c r="B142" t="s">
        <v>257</v>
      </c>
      <c r="C142" s="9">
        <v>129587.52</v>
      </c>
      <c r="D142" s="20">
        <v>99.990370370370371</v>
      </c>
      <c r="E142" s="9">
        <v>129587.17</v>
      </c>
      <c r="F142" s="20">
        <v>99.990100308641971</v>
      </c>
      <c r="G142" s="21"/>
    </row>
    <row r="143" spans="2:7" x14ac:dyDescent="0.35">
      <c r="B143" t="s">
        <v>414</v>
      </c>
      <c r="C143" s="9">
        <v>647162.24</v>
      </c>
      <c r="D143" s="20">
        <v>99.870716049382722</v>
      </c>
      <c r="E143" s="9">
        <v>631767.89999999991</v>
      </c>
      <c r="F143" s="20">
        <v>97.495046296296309</v>
      </c>
      <c r="G143" s="21"/>
    </row>
    <row r="144" spans="2:7" x14ac:dyDescent="0.35">
      <c r="B144" t="s">
        <v>244</v>
      </c>
      <c r="C144" s="9">
        <v>259177.72</v>
      </c>
      <c r="D144" s="20">
        <v>99.991404320987655</v>
      </c>
      <c r="E144" s="9">
        <v>258315.05</v>
      </c>
      <c r="F144" s="20">
        <v>99.658584104938271</v>
      </c>
      <c r="G144" s="21"/>
    </row>
    <row r="145" spans="2:7" x14ac:dyDescent="0.35">
      <c r="B145" t="s">
        <v>179</v>
      </c>
      <c r="C145" s="9">
        <v>129583.63</v>
      </c>
      <c r="D145" s="20">
        <v>99.987368827160495</v>
      </c>
      <c r="E145" s="9">
        <v>128275.58</v>
      </c>
      <c r="F145" s="20">
        <v>98.97807098765432</v>
      </c>
      <c r="G145" s="21"/>
    </row>
    <row r="146" spans="2:7" x14ac:dyDescent="0.35">
      <c r="B146" t="s">
        <v>50</v>
      </c>
      <c r="C146" s="9">
        <v>518366.17</v>
      </c>
      <c r="D146" s="20">
        <v>99.993474151234565</v>
      </c>
      <c r="E146" s="9">
        <v>513848.28</v>
      </c>
      <c r="F146" s="20">
        <v>99.121967592592597</v>
      </c>
      <c r="G146" s="21"/>
    </row>
    <row r="147" spans="2:7" x14ac:dyDescent="0.35">
      <c r="B147" t="s">
        <v>114</v>
      </c>
      <c r="C147" s="9">
        <v>259191.44</v>
      </c>
      <c r="D147" s="20">
        <v>99.996697530864196</v>
      </c>
      <c r="E147" s="9">
        <v>255695.84000000003</v>
      </c>
      <c r="F147" s="20">
        <v>98.648086419753099</v>
      </c>
      <c r="G147" s="21"/>
    </row>
    <row r="148" spans="2:7" x14ac:dyDescent="0.35">
      <c r="B148" t="s">
        <v>157</v>
      </c>
      <c r="C148" s="9">
        <v>259164.5</v>
      </c>
      <c r="D148" s="20">
        <v>99.98630401234567</v>
      </c>
      <c r="E148" s="9">
        <v>259175.58000000002</v>
      </c>
      <c r="F148" s="20">
        <v>99.990578703703704</v>
      </c>
      <c r="G148" s="21"/>
    </row>
    <row r="149" spans="2:7" x14ac:dyDescent="0.35">
      <c r="B149" t="s">
        <v>109</v>
      </c>
      <c r="C149" s="9">
        <v>259171.11</v>
      </c>
      <c r="D149" s="20">
        <v>99.98885416666667</v>
      </c>
      <c r="E149" s="9">
        <v>259175.47999999998</v>
      </c>
      <c r="F149" s="20">
        <v>99.990540123456782</v>
      </c>
      <c r="G149" s="21"/>
    </row>
    <row r="150" spans="2:7" x14ac:dyDescent="0.35">
      <c r="B150" t="s">
        <v>220</v>
      </c>
      <c r="C150" s="9">
        <v>1036627.63</v>
      </c>
      <c r="D150" s="20">
        <v>99.983374807098755</v>
      </c>
      <c r="E150" s="9">
        <v>1004746.1399999999</v>
      </c>
      <c r="F150" s="20">
        <v>96.908385416666661</v>
      </c>
      <c r="G150" s="21"/>
    </row>
    <row r="151" spans="2:7" x14ac:dyDescent="0.35">
      <c r="B151" t="s">
        <v>921</v>
      </c>
      <c r="C151" s="9">
        <v>257372.91999999998</v>
      </c>
      <c r="D151" s="20">
        <v>99.295108024691359</v>
      </c>
      <c r="E151" s="9">
        <v>259200</v>
      </c>
      <c r="F151" s="20">
        <v>100</v>
      </c>
      <c r="G151" s="21"/>
    </row>
    <row r="152" spans="2:7" x14ac:dyDescent="0.35">
      <c r="B152" t="s">
        <v>103</v>
      </c>
      <c r="C152" s="9">
        <v>3369238.8799999994</v>
      </c>
      <c r="D152" s="20">
        <v>99.989283000949655</v>
      </c>
      <c r="E152" s="9">
        <v>3236175.51</v>
      </c>
      <c r="F152" s="20">
        <v>96.04034633190885</v>
      </c>
      <c r="G152" s="21"/>
    </row>
    <row r="153" spans="2:7" x14ac:dyDescent="0.35">
      <c r="B153" t="s">
        <v>83</v>
      </c>
      <c r="C153" s="9">
        <v>129596.47</v>
      </c>
      <c r="D153" s="20">
        <v>99.997276234567906</v>
      </c>
      <c r="E153" s="9">
        <v>126409.42</v>
      </c>
      <c r="F153" s="20">
        <v>97.53813271604939</v>
      </c>
      <c r="G153" s="21"/>
    </row>
    <row r="154" spans="2:7" x14ac:dyDescent="0.35">
      <c r="B154" t="s">
        <v>124</v>
      </c>
      <c r="C154" s="9">
        <v>259189.63</v>
      </c>
      <c r="D154" s="20">
        <v>99.99599922839505</v>
      </c>
      <c r="E154" s="9">
        <v>254502.62</v>
      </c>
      <c r="F154" s="20">
        <v>98.187739197530874</v>
      </c>
      <c r="G154" s="21"/>
    </row>
    <row r="155" spans="2:7" x14ac:dyDescent="0.35">
      <c r="B155" t="s">
        <v>1035</v>
      </c>
      <c r="C155" s="9">
        <v>47020507.580000006</v>
      </c>
      <c r="D155" s="20">
        <v>99.948363219739505</v>
      </c>
      <c r="E155" s="9">
        <v>46005507.779999986</v>
      </c>
      <c r="F155" s="20">
        <v>97.790845704520052</v>
      </c>
      <c r="G155" s="21"/>
    </row>
  </sheetData>
  <conditionalFormatting sqref="B1:B1048576">
    <cfRule type="duplicateValues" dxfId="211"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53A6D-E3D9-42A6-9094-DFE15031A122}">
  <dimension ref="A1:G435"/>
  <sheetViews>
    <sheetView zoomScale="70" zoomScaleNormal="70" workbookViewId="0">
      <selection activeCell="F12" sqref="F12"/>
    </sheetView>
  </sheetViews>
  <sheetFormatPr defaultRowHeight="14.5" x14ac:dyDescent="0.35"/>
  <cols>
    <col min="1" max="1" width="4" style="14" bestFit="1" customWidth="1"/>
    <col min="2" max="2" width="12.08984375" style="14" bestFit="1" customWidth="1"/>
    <col min="3" max="3" width="19.453125" style="14" bestFit="1" customWidth="1"/>
    <col min="4" max="4" width="11.6328125" style="14" bestFit="1" customWidth="1"/>
    <col min="5" max="5" width="26.6328125" style="23" bestFit="1" customWidth="1"/>
    <col min="6" max="6" width="21.6328125" style="23" bestFit="1" customWidth="1"/>
    <col min="7" max="7" width="8.7265625" style="14"/>
  </cols>
  <sheetData>
    <row r="1" spans="1:6" x14ac:dyDescent="0.35">
      <c r="A1" s="31" t="s">
        <v>1335</v>
      </c>
      <c r="B1" s="31" t="s">
        <v>1334</v>
      </c>
      <c r="C1" s="31" t="s">
        <v>1333</v>
      </c>
      <c r="D1" s="31" t="s">
        <v>951</v>
      </c>
      <c r="E1" s="30" t="s">
        <v>1039</v>
      </c>
      <c r="F1" s="30" t="s">
        <v>1040</v>
      </c>
    </row>
    <row r="2" spans="1:6" x14ac:dyDescent="0.35">
      <c r="A2" s="25">
        <v>1</v>
      </c>
      <c r="B2" s="25" t="s">
        <v>972</v>
      </c>
      <c r="C2" s="25" t="s">
        <v>525</v>
      </c>
      <c r="D2" s="25" t="s">
        <v>973</v>
      </c>
      <c r="E2" s="26">
        <f>VLOOKUP(C2,'Device Wise Uptime '!B:D,3,0)</f>
        <v>99.99148533950617</v>
      </c>
      <c r="F2" s="26">
        <f>VLOOKUP(C2,'Device Wise Uptime '!B:F,5,0)</f>
        <v>99.360160108024687</v>
      </c>
    </row>
    <row r="3" spans="1:6" x14ac:dyDescent="0.35">
      <c r="A3" s="25">
        <v>2</v>
      </c>
      <c r="B3" s="25" t="s">
        <v>972</v>
      </c>
      <c r="C3" s="25" t="s">
        <v>417</v>
      </c>
      <c r="D3" s="25" t="s">
        <v>973</v>
      </c>
      <c r="E3" s="26">
        <f>VLOOKUP(C3,'Device Wise Uptime '!B:D,3,0)</f>
        <v>99.993572530864185</v>
      </c>
      <c r="F3" s="26">
        <f>VLOOKUP(C3,'Device Wise Uptime '!B:F,5,0)</f>
        <v>99.554988425925913</v>
      </c>
    </row>
    <row r="4" spans="1:6" x14ac:dyDescent="0.35">
      <c r="A4" s="25">
        <v>3</v>
      </c>
      <c r="B4" s="25" t="s">
        <v>972</v>
      </c>
      <c r="C4" s="25" t="s">
        <v>1332</v>
      </c>
      <c r="D4" s="25" t="s">
        <v>973</v>
      </c>
      <c r="E4" s="24">
        <v>100</v>
      </c>
      <c r="F4" s="24">
        <v>100</v>
      </c>
    </row>
    <row r="5" spans="1:6" x14ac:dyDescent="0.35">
      <c r="A5" s="25">
        <v>4</v>
      </c>
      <c r="B5" s="25" t="s">
        <v>972</v>
      </c>
      <c r="C5" s="25" t="s">
        <v>179</v>
      </c>
      <c r="D5" s="25" t="s">
        <v>967</v>
      </c>
      <c r="E5" s="26">
        <f>VLOOKUP(C5,'Device Wise Uptime '!B:D,3,0)</f>
        <v>99.987368827160495</v>
      </c>
      <c r="F5" s="26">
        <f>VLOOKUP(C5,'Device Wise Uptime '!B:F,5,0)</f>
        <v>98.97807098765432</v>
      </c>
    </row>
    <row r="6" spans="1:6" x14ac:dyDescent="0.35">
      <c r="A6" s="25">
        <v>5</v>
      </c>
      <c r="B6" s="25" t="s">
        <v>972</v>
      </c>
      <c r="C6" s="25" t="s">
        <v>50</v>
      </c>
      <c r="D6" s="25" t="s">
        <v>967</v>
      </c>
      <c r="E6" s="26">
        <f>VLOOKUP(C6,'Device Wise Uptime '!B:D,3,0)</f>
        <v>99.993474151234565</v>
      </c>
      <c r="F6" s="26">
        <f>VLOOKUP(C6,'Device Wise Uptime '!B:F,5,0)</f>
        <v>99.121967592592597</v>
      </c>
    </row>
    <row r="7" spans="1:6" x14ac:dyDescent="0.35">
      <c r="A7" s="25">
        <v>6</v>
      </c>
      <c r="B7" s="25" t="s">
        <v>984</v>
      </c>
      <c r="C7" s="25" t="s">
        <v>611</v>
      </c>
      <c r="D7" s="25" t="s">
        <v>973</v>
      </c>
      <c r="E7" s="26">
        <f>VLOOKUP(C7,'Device Wise Uptime '!B:D,3,0)</f>
        <v>99.991992283950623</v>
      </c>
      <c r="F7" s="26">
        <f>VLOOKUP(C7,'Device Wise Uptime '!B:F,5,0)</f>
        <v>99.264851851851859</v>
      </c>
    </row>
    <row r="8" spans="1:6" x14ac:dyDescent="0.35">
      <c r="A8" s="25">
        <v>7</v>
      </c>
      <c r="B8" s="25" t="s">
        <v>984</v>
      </c>
      <c r="C8" s="25" t="s">
        <v>1331</v>
      </c>
      <c r="D8" s="25" t="s">
        <v>973</v>
      </c>
      <c r="E8" s="24">
        <v>100</v>
      </c>
      <c r="F8" s="24">
        <v>100</v>
      </c>
    </row>
    <row r="9" spans="1:6" x14ac:dyDescent="0.35">
      <c r="A9" s="25">
        <v>8</v>
      </c>
      <c r="B9" s="25" t="s">
        <v>984</v>
      </c>
      <c r="C9" s="25" t="s">
        <v>647</v>
      </c>
      <c r="D9" s="25" t="s">
        <v>973</v>
      </c>
      <c r="E9" s="26">
        <f>VLOOKUP(C9,'Device Wise Uptime '!B:D,3,0)</f>
        <v>99.989301697530863</v>
      </c>
      <c r="F9" s="26">
        <f>VLOOKUP(C9,'Device Wise Uptime '!B:F,5,0)</f>
        <v>99.328985339506175</v>
      </c>
    </row>
    <row r="10" spans="1:6" x14ac:dyDescent="0.35">
      <c r="A10" s="25">
        <v>9</v>
      </c>
      <c r="B10" s="25" t="s">
        <v>984</v>
      </c>
      <c r="C10" s="25" t="s">
        <v>34</v>
      </c>
      <c r="D10" s="25" t="s">
        <v>973</v>
      </c>
      <c r="E10" s="26">
        <f>VLOOKUP(C10,'Device Wise Uptime '!B:D,3,0)</f>
        <v>99.803546810699586</v>
      </c>
      <c r="F10" s="26">
        <f>VLOOKUP(C10,'Device Wise Uptime '!B:F,5,0)</f>
        <v>98.868315329218106</v>
      </c>
    </row>
    <row r="11" spans="1:6" x14ac:dyDescent="0.35">
      <c r="A11" s="25">
        <v>10</v>
      </c>
      <c r="B11" s="25" t="s">
        <v>984</v>
      </c>
      <c r="C11" s="25" t="s">
        <v>44</v>
      </c>
      <c r="D11" s="25" t="s">
        <v>973</v>
      </c>
      <c r="E11" s="26">
        <f>VLOOKUP(C11,'Device Wise Uptime '!B:D,3,0)</f>
        <v>99.914028880070532</v>
      </c>
      <c r="F11" s="26">
        <f>VLOOKUP(C11,'Device Wise Uptime '!B:F,5,0)</f>
        <v>95.870847663139344</v>
      </c>
    </row>
    <row r="12" spans="1:6" x14ac:dyDescent="0.35">
      <c r="A12" s="25">
        <v>11</v>
      </c>
      <c r="B12" s="25" t="s">
        <v>984</v>
      </c>
      <c r="C12" s="25" t="s">
        <v>384</v>
      </c>
      <c r="D12" s="25" t="s">
        <v>973</v>
      </c>
      <c r="E12" s="26">
        <f>VLOOKUP(C12,'Device Wise Uptime '!B:D,3,0)</f>
        <v>99.427816358024685</v>
      </c>
      <c r="F12" s="26">
        <f>VLOOKUP(C12,'Device Wise Uptime '!B:F,5,0)</f>
        <v>98.805324074074079</v>
      </c>
    </row>
    <row r="13" spans="1:6" x14ac:dyDescent="0.35">
      <c r="A13" s="25">
        <v>12</v>
      </c>
      <c r="B13" s="25" t="s">
        <v>984</v>
      </c>
      <c r="C13" s="25" t="s">
        <v>210</v>
      </c>
      <c r="D13" s="25" t="s">
        <v>973</v>
      </c>
      <c r="E13" s="26">
        <f>VLOOKUP(C13,'Device Wise Uptime '!B:D,3,0)</f>
        <v>99.992330246913582</v>
      </c>
      <c r="F13" s="26">
        <f>VLOOKUP(C13,'Device Wise Uptime '!B:F,5,0)</f>
        <v>98.933086419753096</v>
      </c>
    </row>
    <row r="14" spans="1:6" x14ac:dyDescent="0.35">
      <c r="A14" s="25">
        <v>13</v>
      </c>
      <c r="B14" s="25" t="s">
        <v>984</v>
      </c>
      <c r="C14" s="25" t="s">
        <v>369</v>
      </c>
      <c r="D14" s="25" t="s">
        <v>973</v>
      </c>
      <c r="E14" s="26">
        <f>VLOOKUP(C14,'Device Wise Uptime '!B:D,3,0)</f>
        <v>99.707858796296307</v>
      </c>
      <c r="F14" s="26">
        <f>VLOOKUP(C14,'Device Wise Uptime '!B:F,5,0)</f>
        <v>98.374745370370363</v>
      </c>
    </row>
    <row r="15" spans="1:6" x14ac:dyDescent="0.35">
      <c r="A15" s="25">
        <v>14</v>
      </c>
      <c r="B15" s="25" t="s">
        <v>984</v>
      </c>
      <c r="C15" s="25" t="s">
        <v>1330</v>
      </c>
      <c r="D15" s="25" t="s">
        <v>973</v>
      </c>
      <c r="E15" s="24">
        <v>100</v>
      </c>
      <c r="F15" s="24">
        <v>100</v>
      </c>
    </row>
    <row r="16" spans="1:6" x14ac:dyDescent="0.35">
      <c r="A16" s="25">
        <v>15</v>
      </c>
      <c r="B16" s="25" t="s">
        <v>984</v>
      </c>
      <c r="C16" s="25" t="s">
        <v>426</v>
      </c>
      <c r="D16" s="25" t="s">
        <v>973</v>
      </c>
      <c r="E16" s="26">
        <f>VLOOKUP(C16,'Device Wise Uptime '!B:D,3,0)</f>
        <v>99.993518518518513</v>
      </c>
      <c r="F16" s="26">
        <f>VLOOKUP(C16,'Device Wise Uptime '!B:F,5,0)</f>
        <v>99.771921296296298</v>
      </c>
    </row>
    <row r="17" spans="1:6" x14ac:dyDescent="0.35">
      <c r="A17" s="25">
        <v>16</v>
      </c>
      <c r="B17" s="25" t="s">
        <v>984</v>
      </c>
      <c r="C17" s="25" t="s">
        <v>639</v>
      </c>
      <c r="D17" s="25" t="s">
        <v>973</v>
      </c>
      <c r="E17" s="26">
        <f>VLOOKUP(C17,'Device Wise Uptime '!B:D,3,0)</f>
        <v>99.71249228395061</v>
      </c>
      <c r="F17" s="26">
        <f>VLOOKUP(C17,'Device Wise Uptime '!B:F,5,0)</f>
        <v>99.137407407407409</v>
      </c>
    </row>
    <row r="18" spans="1:6" x14ac:dyDescent="0.35">
      <c r="A18" s="25">
        <v>17</v>
      </c>
      <c r="B18" s="25" t="s">
        <v>984</v>
      </c>
      <c r="C18" s="25" t="s">
        <v>606</v>
      </c>
      <c r="D18" s="25" t="s">
        <v>973</v>
      </c>
      <c r="E18" s="26">
        <f>VLOOKUP(C18,'Device Wise Uptime '!B:D,3,0)</f>
        <v>99.994413580246913</v>
      </c>
      <c r="F18" s="26">
        <f>VLOOKUP(C18,'Device Wise Uptime '!B:F,5,0)</f>
        <v>98.670513117283946</v>
      </c>
    </row>
    <row r="19" spans="1:6" x14ac:dyDescent="0.35">
      <c r="A19" s="25">
        <v>18</v>
      </c>
      <c r="B19" s="25" t="s">
        <v>984</v>
      </c>
      <c r="C19" s="25" t="s">
        <v>306</v>
      </c>
      <c r="D19" s="25" t="s">
        <v>973</v>
      </c>
      <c r="E19" s="26">
        <f>VLOOKUP(C19,'Device Wise Uptime '!B:D,3,0)</f>
        <v>99.995547839506173</v>
      </c>
      <c r="F19" s="26">
        <f>VLOOKUP(C19,'Device Wise Uptime '!B:F,5,0)</f>
        <v>99.559436728395056</v>
      </c>
    </row>
    <row r="20" spans="1:6" x14ac:dyDescent="0.35">
      <c r="A20" s="25">
        <v>19</v>
      </c>
      <c r="B20" s="25" t="s">
        <v>984</v>
      </c>
      <c r="C20" s="25" t="s">
        <v>452</v>
      </c>
      <c r="D20" s="25" t="s">
        <v>973</v>
      </c>
      <c r="E20" s="26">
        <f>VLOOKUP(C20,'Device Wise Uptime '!B:D,3,0)</f>
        <v>99.997056327160493</v>
      </c>
      <c r="F20" s="26">
        <f>VLOOKUP(C20,'Device Wise Uptime '!B:F,5,0)</f>
        <v>99.492928240740753</v>
      </c>
    </row>
    <row r="21" spans="1:6" x14ac:dyDescent="0.35">
      <c r="A21" s="25">
        <v>20</v>
      </c>
      <c r="B21" s="25" t="s">
        <v>984</v>
      </c>
      <c r="C21" s="25" t="s">
        <v>521</v>
      </c>
      <c r="D21" s="25" t="s">
        <v>973</v>
      </c>
      <c r="E21" s="26">
        <f>VLOOKUP(C21,'Device Wise Uptime '!B:D,3,0)</f>
        <v>99.706230709876536</v>
      </c>
      <c r="F21" s="26">
        <f>VLOOKUP(C21,'Device Wise Uptime '!B:F,5,0)</f>
        <v>99.327087191358032</v>
      </c>
    </row>
    <row r="22" spans="1:6" x14ac:dyDescent="0.35">
      <c r="A22" s="25">
        <v>21</v>
      </c>
      <c r="B22" s="25" t="s">
        <v>984</v>
      </c>
      <c r="C22" s="25" t="s">
        <v>414</v>
      </c>
      <c r="D22" s="25" t="s">
        <v>973</v>
      </c>
      <c r="E22" s="26">
        <f>VLOOKUP(C22,'Device Wise Uptime '!B:D,3,0)</f>
        <v>99.870716049382722</v>
      </c>
      <c r="F22" s="26">
        <f>VLOOKUP(C22,'Device Wise Uptime '!B:F,5,0)</f>
        <v>97.495046296296309</v>
      </c>
    </row>
    <row r="23" spans="1:6" x14ac:dyDescent="0.35">
      <c r="A23" s="25">
        <v>22</v>
      </c>
      <c r="B23" s="25" t="s">
        <v>984</v>
      </c>
      <c r="C23" s="25" t="s">
        <v>244</v>
      </c>
      <c r="D23" s="25" t="s">
        <v>973</v>
      </c>
      <c r="E23" s="26">
        <f>VLOOKUP(C23,'Device Wise Uptime '!B:D,3,0)</f>
        <v>99.991404320987655</v>
      </c>
      <c r="F23" s="26">
        <f>VLOOKUP(C23,'Device Wise Uptime '!B:F,5,0)</f>
        <v>99.658584104938271</v>
      </c>
    </row>
    <row r="24" spans="1:6" x14ac:dyDescent="0.35">
      <c r="A24" s="25">
        <v>23</v>
      </c>
      <c r="B24" s="25" t="s">
        <v>984</v>
      </c>
      <c r="C24" s="25" t="s">
        <v>114</v>
      </c>
      <c r="D24" s="25" t="s">
        <v>967</v>
      </c>
      <c r="E24" s="26">
        <f>VLOOKUP(C24,'Device Wise Uptime '!B:D,3,0)</f>
        <v>99.996697530864196</v>
      </c>
      <c r="F24" s="26">
        <f>VLOOKUP(C24,'Device Wise Uptime '!B:F,5,0)</f>
        <v>98.648086419753099</v>
      </c>
    </row>
    <row r="25" spans="1:6" x14ac:dyDescent="0.35">
      <c r="A25" s="25">
        <v>24</v>
      </c>
      <c r="B25" s="25" t="s">
        <v>984</v>
      </c>
      <c r="C25" s="25" t="s">
        <v>921</v>
      </c>
      <c r="D25" s="25" t="s">
        <v>967</v>
      </c>
      <c r="E25" s="26">
        <f>VLOOKUP(C25,'Device Wise Uptime '!B:D,3,0)</f>
        <v>99.295108024691359</v>
      </c>
      <c r="F25" s="26">
        <f>VLOOKUP(C25,'Device Wise Uptime '!B:F,5,0)</f>
        <v>100</v>
      </c>
    </row>
    <row r="26" spans="1:6" x14ac:dyDescent="0.35">
      <c r="A26" s="25">
        <v>25</v>
      </c>
      <c r="B26" s="25" t="s">
        <v>1314</v>
      </c>
      <c r="C26" s="25" t="s">
        <v>1329</v>
      </c>
      <c r="D26" s="25" t="s">
        <v>973</v>
      </c>
      <c r="E26" s="24">
        <v>100</v>
      </c>
      <c r="F26" s="24">
        <v>100</v>
      </c>
    </row>
    <row r="27" spans="1:6" x14ac:dyDescent="0.35">
      <c r="A27" s="25">
        <v>26</v>
      </c>
      <c r="B27" s="25" t="s">
        <v>1314</v>
      </c>
      <c r="C27" s="25" t="s">
        <v>1328</v>
      </c>
      <c r="D27" s="25" t="s">
        <v>973</v>
      </c>
      <c r="E27" s="24">
        <v>100</v>
      </c>
      <c r="F27" s="24">
        <v>100</v>
      </c>
    </row>
    <row r="28" spans="1:6" x14ac:dyDescent="0.35">
      <c r="A28" s="25">
        <v>27</v>
      </c>
      <c r="B28" s="25" t="s">
        <v>1314</v>
      </c>
      <c r="C28" s="25" t="s">
        <v>1327</v>
      </c>
      <c r="D28" s="25" t="s">
        <v>973</v>
      </c>
      <c r="E28" s="24">
        <v>100</v>
      </c>
      <c r="F28" s="24">
        <v>100</v>
      </c>
    </row>
    <row r="29" spans="1:6" x14ac:dyDescent="0.35">
      <c r="A29" s="25">
        <v>28</v>
      </c>
      <c r="B29" s="25" t="s">
        <v>1314</v>
      </c>
      <c r="C29" s="25" t="s">
        <v>1326</v>
      </c>
      <c r="D29" s="25" t="s">
        <v>973</v>
      </c>
      <c r="E29" s="24">
        <v>100</v>
      </c>
      <c r="F29" s="24">
        <v>100</v>
      </c>
    </row>
    <row r="30" spans="1:6" x14ac:dyDescent="0.35">
      <c r="A30" s="25">
        <v>29</v>
      </c>
      <c r="B30" s="25" t="s">
        <v>1314</v>
      </c>
      <c r="C30" s="25" t="s">
        <v>1325</v>
      </c>
      <c r="D30" s="25" t="s">
        <v>973</v>
      </c>
      <c r="E30" s="24">
        <v>100</v>
      </c>
      <c r="F30" s="24">
        <v>100</v>
      </c>
    </row>
    <row r="31" spans="1:6" x14ac:dyDescent="0.35">
      <c r="A31" s="25">
        <v>30</v>
      </c>
      <c r="B31" s="25" t="s">
        <v>1314</v>
      </c>
      <c r="C31" s="25" t="s">
        <v>1324</v>
      </c>
      <c r="D31" s="25" t="s">
        <v>973</v>
      </c>
      <c r="E31" s="24">
        <v>100</v>
      </c>
      <c r="F31" s="24">
        <v>100</v>
      </c>
    </row>
    <row r="32" spans="1:6" x14ac:dyDescent="0.35">
      <c r="A32" s="25">
        <v>31</v>
      </c>
      <c r="B32" s="25" t="s">
        <v>1314</v>
      </c>
      <c r="C32" s="25" t="s">
        <v>1323</v>
      </c>
      <c r="D32" s="25" t="s">
        <v>973</v>
      </c>
      <c r="E32" s="24">
        <v>100</v>
      </c>
      <c r="F32" s="24">
        <v>100</v>
      </c>
    </row>
    <row r="33" spans="1:6" x14ac:dyDescent="0.35">
      <c r="A33" s="25">
        <v>32</v>
      </c>
      <c r="B33" s="25" t="s">
        <v>1314</v>
      </c>
      <c r="C33" s="25" t="s">
        <v>1322</v>
      </c>
      <c r="D33" s="25" t="s">
        <v>973</v>
      </c>
      <c r="E33" s="24">
        <v>100</v>
      </c>
      <c r="F33" s="24">
        <v>100</v>
      </c>
    </row>
    <row r="34" spans="1:6" x14ac:dyDescent="0.35">
      <c r="A34" s="25">
        <v>33</v>
      </c>
      <c r="B34" s="25" t="s">
        <v>1314</v>
      </c>
      <c r="C34" s="25" t="s">
        <v>1321</v>
      </c>
      <c r="D34" s="25" t="s">
        <v>973</v>
      </c>
      <c r="E34" s="24">
        <v>100</v>
      </c>
      <c r="F34" s="24">
        <v>100</v>
      </c>
    </row>
    <row r="35" spans="1:6" x14ac:dyDescent="0.35">
      <c r="A35" s="25">
        <v>34</v>
      </c>
      <c r="B35" s="25" t="s">
        <v>1314</v>
      </c>
      <c r="C35" s="25" t="s">
        <v>1320</v>
      </c>
      <c r="D35" s="25" t="s">
        <v>973</v>
      </c>
      <c r="E35" s="24">
        <v>100</v>
      </c>
      <c r="F35" s="24">
        <v>100</v>
      </c>
    </row>
    <row r="36" spans="1:6" x14ac:dyDescent="0.35">
      <c r="A36" s="25">
        <v>35</v>
      </c>
      <c r="B36" s="25" t="s">
        <v>1314</v>
      </c>
      <c r="C36" s="25" t="s">
        <v>1319</v>
      </c>
      <c r="D36" s="25" t="s">
        <v>973</v>
      </c>
      <c r="E36" s="24">
        <v>100</v>
      </c>
      <c r="F36" s="24">
        <v>100</v>
      </c>
    </row>
    <row r="37" spans="1:6" x14ac:dyDescent="0.35">
      <c r="A37" s="25">
        <v>36</v>
      </c>
      <c r="B37" s="25" t="s">
        <v>1314</v>
      </c>
      <c r="C37" s="25" t="s">
        <v>1318</v>
      </c>
      <c r="D37" s="25" t="s">
        <v>973</v>
      </c>
      <c r="E37" s="24">
        <v>100</v>
      </c>
      <c r="F37" s="24">
        <v>100</v>
      </c>
    </row>
    <row r="38" spans="1:6" x14ac:dyDescent="0.35">
      <c r="A38" s="25">
        <v>37</v>
      </c>
      <c r="B38" s="25" t="s">
        <v>1314</v>
      </c>
      <c r="C38" s="25" t="s">
        <v>1317</v>
      </c>
      <c r="D38" s="25" t="s">
        <v>973</v>
      </c>
      <c r="E38" s="24">
        <v>100</v>
      </c>
      <c r="F38" s="24">
        <v>100</v>
      </c>
    </row>
    <row r="39" spans="1:6" x14ac:dyDescent="0.35">
      <c r="A39" s="25">
        <v>38</v>
      </c>
      <c r="B39" s="25" t="s">
        <v>1314</v>
      </c>
      <c r="C39" s="25" t="s">
        <v>1316</v>
      </c>
      <c r="D39" s="25" t="s">
        <v>973</v>
      </c>
      <c r="E39" s="24">
        <v>100</v>
      </c>
      <c r="F39" s="24">
        <v>100</v>
      </c>
    </row>
    <row r="40" spans="1:6" x14ac:dyDescent="0.35">
      <c r="A40" s="25">
        <v>39</v>
      </c>
      <c r="B40" s="25" t="s">
        <v>1314</v>
      </c>
      <c r="C40" s="25" t="s">
        <v>1315</v>
      </c>
      <c r="D40" s="25" t="s">
        <v>967</v>
      </c>
      <c r="E40" s="24">
        <v>100</v>
      </c>
      <c r="F40" s="24">
        <v>100</v>
      </c>
    </row>
    <row r="41" spans="1:6" x14ac:dyDescent="0.35">
      <c r="A41" s="25">
        <v>40</v>
      </c>
      <c r="B41" s="25" t="s">
        <v>1314</v>
      </c>
      <c r="C41" s="25" t="s">
        <v>1313</v>
      </c>
      <c r="D41" s="25" t="s">
        <v>967</v>
      </c>
      <c r="E41" s="24">
        <v>100</v>
      </c>
      <c r="F41" s="24">
        <v>100</v>
      </c>
    </row>
    <row r="42" spans="1:6" x14ac:dyDescent="0.35">
      <c r="A42" s="25">
        <v>41</v>
      </c>
      <c r="B42" s="25" t="s">
        <v>963</v>
      </c>
      <c r="C42" s="29" t="s">
        <v>460</v>
      </c>
      <c r="D42" s="25" t="s">
        <v>973</v>
      </c>
      <c r="E42" s="26">
        <f>VLOOKUP(C42,'Device Wise Uptime '!B:D,3,0)</f>
        <v>99.98253858024691</v>
      </c>
      <c r="F42" s="26">
        <f>VLOOKUP(C42,'Device Wise Uptime '!B:F,5,0)</f>
        <v>94.118711419753083</v>
      </c>
    </row>
    <row r="43" spans="1:6" x14ac:dyDescent="0.35">
      <c r="A43" s="25">
        <v>42</v>
      </c>
      <c r="B43" s="25" t="s">
        <v>963</v>
      </c>
      <c r="C43" s="29" t="s">
        <v>808</v>
      </c>
      <c r="D43" s="25" t="s">
        <v>973</v>
      </c>
      <c r="E43" s="26">
        <f>VLOOKUP(C43,'Device Wise Uptime '!B:D,3,0)</f>
        <v>99.994151234567894</v>
      </c>
      <c r="F43" s="26">
        <f>VLOOKUP(C43,'Device Wise Uptime '!B:F,5,0)</f>
        <v>99.977067901234562</v>
      </c>
    </row>
    <row r="44" spans="1:6" x14ac:dyDescent="0.35">
      <c r="A44" s="25">
        <v>43</v>
      </c>
      <c r="B44" s="25" t="s">
        <v>963</v>
      </c>
      <c r="C44" s="29" t="s">
        <v>215</v>
      </c>
      <c r="D44" s="25" t="s">
        <v>973</v>
      </c>
      <c r="E44" s="26">
        <f>VLOOKUP(C44,'Device Wise Uptime '!B:D,3,0)</f>
        <v>99.996350308641979</v>
      </c>
      <c r="F44" s="26">
        <f>VLOOKUP(C44,'Device Wise Uptime '!B:F,5,0)</f>
        <v>99.976288580246916</v>
      </c>
    </row>
    <row r="45" spans="1:6" x14ac:dyDescent="0.35">
      <c r="A45" s="25">
        <v>44</v>
      </c>
      <c r="B45" s="25" t="s">
        <v>963</v>
      </c>
      <c r="C45" s="29" t="s">
        <v>1312</v>
      </c>
      <c r="D45" s="25" t="s">
        <v>973</v>
      </c>
      <c r="E45" s="24">
        <v>100</v>
      </c>
      <c r="F45" s="24">
        <v>100</v>
      </c>
    </row>
    <row r="46" spans="1:6" x14ac:dyDescent="0.35">
      <c r="A46" s="25">
        <v>45</v>
      </c>
      <c r="B46" s="25" t="s">
        <v>963</v>
      </c>
      <c r="C46" s="29" t="s">
        <v>260</v>
      </c>
      <c r="D46" s="25" t="s">
        <v>973</v>
      </c>
      <c r="E46" s="26">
        <f>VLOOKUP(C46,'Device Wise Uptime '!B:D,3,0)</f>
        <v>99.992345679012345</v>
      </c>
      <c r="F46" s="26">
        <f>VLOOKUP(C46,'Device Wise Uptime '!B:F,5,0)</f>
        <v>99.978487654320986</v>
      </c>
    </row>
    <row r="47" spans="1:6" x14ac:dyDescent="0.35">
      <c r="A47" s="25">
        <v>46</v>
      </c>
      <c r="B47" s="25" t="s">
        <v>963</v>
      </c>
      <c r="C47" s="29" t="s">
        <v>1311</v>
      </c>
      <c r="D47" s="25" t="s">
        <v>973</v>
      </c>
      <c r="E47" s="24">
        <v>100</v>
      </c>
      <c r="F47" s="24">
        <v>100</v>
      </c>
    </row>
    <row r="48" spans="1:6" x14ac:dyDescent="0.35">
      <c r="A48" s="25">
        <v>47</v>
      </c>
      <c r="B48" s="25" t="s">
        <v>963</v>
      </c>
      <c r="C48" s="29" t="s">
        <v>157</v>
      </c>
      <c r="D48" s="25" t="s">
        <v>967</v>
      </c>
      <c r="E48" s="26">
        <f>VLOOKUP(C48,'Device Wise Uptime '!B:D,3,0)</f>
        <v>99.98630401234567</v>
      </c>
      <c r="F48" s="26">
        <f>VLOOKUP(C48,'Device Wise Uptime '!B:F,5,0)</f>
        <v>99.990578703703704</v>
      </c>
    </row>
    <row r="49" spans="1:6" x14ac:dyDescent="0.35">
      <c r="A49" s="25">
        <v>48</v>
      </c>
      <c r="B49" s="25" t="s">
        <v>963</v>
      </c>
      <c r="C49" s="29" t="s">
        <v>109</v>
      </c>
      <c r="D49" s="25" t="s">
        <v>967</v>
      </c>
      <c r="E49" s="26">
        <f>VLOOKUP(C49,'Device Wise Uptime '!B:D,3,0)</f>
        <v>99.98885416666667</v>
      </c>
      <c r="F49" s="26">
        <f>VLOOKUP(C49,'Device Wise Uptime '!B:F,5,0)</f>
        <v>99.990540123456782</v>
      </c>
    </row>
    <row r="50" spans="1:6" x14ac:dyDescent="0.35">
      <c r="A50" s="25">
        <v>49</v>
      </c>
      <c r="B50" s="25" t="s">
        <v>963</v>
      </c>
      <c r="C50" s="29" t="s">
        <v>220</v>
      </c>
      <c r="D50" s="25" t="s">
        <v>967</v>
      </c>
      <c r="E50" s="26">
        <f>VLOOKUP(C50,'Device Wise Uptime '!B:D,3,0)</f>
        <v>99.983374807098755</v>
      </c>
      <c r="F50" s="26">
        <f>VLOOKUP(C50,'Device Wise Uptime '!B:F,5,0)</f>
        <v>96.908385416666661</v>
      </c>
    </row>
    <row r="51" spans="1:6" x14ac:dyDescent="0.35">
      <c r="A51" s="25">
        <v>50</v>
      </c>
      <c r="B51" s="25" t="s">
        <v>963</v>
      </c>
      <c r="C51" s="29" t="s">
        <v>103</v>
      </c>
      <c r="D51" s="25" t="s">
        <v>967</v>
      </c>
      <c r="E51" s="26">
        <f>VLOOKUP(C51,'Device Wise Uptime '!B:D,3,0)</f>
        <v>99.989283000949655</v>
      </c>
      <c r="F51" s="26">
        <f>VLOOKUP(C51,'Device Wise Uptime '!B:F,5,0)</f>
        <v>96.04034633190885</v>
      </c>
    </row>
    <row r="52" spans="1:6" x14ac:dyDescent="0.35">
      <c r="A52" s="25">
        <v>51</v>
      </c>
      <c r="B52" s="25" t="s">
        <v>1303</v>
      </c>
      <c r="C52" s="29" t="s">
        <v>1310</v>
      </c>
      <c r="D52" s="25" t="s">
        <v>967</v>
      </c>
      <c r="E52" s="24">
        <v>100</v>
      </c>
      <c r="F52" s="24">
        <v>100</v>
      </c>
    </row>
    <row r="53" spans="1:6" x14ac:dyDescent="0.35">
      <c r="A53" s="25">
        <v>52</v>
      </c>
      <c r="B53" s="25" t="s">
        <v>1303</v>
      </c>
      <c r="C53" s="29" t="s">
        <v>1309</v>
      </c>
      <c r="D53" s="25" t="s">
        <v>967</v>
      </c>
      <c r="E53" s="24">
        <v>100</v>
      </c>
      <c r="F53" s="24">
        <v>100</v>
      </c>
    </row>
    <row r="54" spans="1:6" x14ac:dyDescent="0.35">
      <c r="A54" s="25">
        <v>53</v>
      </c>
      <c r="B54" s="25" t="s">
        <v>1303</v>
      </c>
      <c r="C54" s="29" t="s">
        <v>1308</v>
      </c>
      <c r="D54" s="25" t="s">
        <v>967</v>
      </c>
      <c r="E54" s="24">
        <v>100</v>
      </c>
      <c r="F54" s="24">
        <v>100</v>
      </c>
    </row>
    <row r="55" spans="1:6" x14ac:dyDescent="0.35">
      <c r="A55" s="25">
        <v>54</v>
      </c>
      <c r="B55" s="25" t="s">
        <v>1303</v>
      </c>
      <c r="C55" s="29" t="s">
        <v>1307</v>
      </c>
      <c r="D55" s="25" t="s">
        <v>967</v>
      </c>
      <c r="E55" s="24">
        <v>100</v>
      </c>
      <c r="F55" s="24">
        <v>100</v>
      </c>
    </row>
    <row r="56" spans="1:6" x14ac:dyDescent="0.35">
      <c r="A56" s="25">
        <v>55</v>
      </c>
      <c r="B56" s="25" t="s">
        <v>1303</v>
      </c>
      <c r="C56" s="29" t="s">
        <v>1306</v>
      </c>
      <c r="D56" s="25" t="s">
        <v>967</v>
      </c>
      <c r="E56" s="24">
        <v>100</v>
      </c>
      <c r="F56" s="24">
        <v>100</v>
      </c>
    </row>
    <row r="57" spans="1:6" x14ac:dyDescent="0.35">
      <c r="A57" s="25">
        <v>56</v>
      </c>
      <c r="B57" s="25" t="s">
        <v>1303</v>
      </c>
      <c r="C57" s="29" t="s">
        <v>1305</v>
      </c>
      <c r="D57" s="25" t="s">
        <v>967</v>
      </c>
      <c r="E57" s="24">
        <v>100</v>
      </c>
      <c r="F57" s="24">
        <v>100</v>
      </c>
    </row>
    <row r="58" spans="1:6" x14ac:dyDescent="0.35">
      <c r="A58" s="25">
        <v>57</v>
      </c>
      <c r="B58" s="25" t="s">
        <v>1303</v>
      </c>
      <c r="C58" s="29" t="s">
        <v>1304</v>
      </c>
      <c r="D58" s="25" t="s">
        <v>967</v>
      </c>
      <c r="E58" s="24">
        <v>100</v>
      </c>
      <c r="F58" s="24">
        <v>100</v>
      </c>
    </row>
    <row r="59" spans="1:6" x14ac:dyDescent="0.35">
      <c r="A59" s="25">
        <v>58</v>
      </c>
      <c r="B59" s="25" t="s">
        <v>1303</v>
      </c>
      <c r="C59" s="29" t="s">
        <v>1302</v>
      </c>
      <c r="D59" s="25" t="s">
        <v>967</v>
      </c>
      <c r="E59" s="24">
        <v>100</v>
      </c>
      <c r="F59" s="24">
        <v>100</v>
      </c>
    </row>
    <row r="60" spans="1:6" x14ac:dyDescent="0.35">
      <c r="A60" s="25">
        <v>59</v>
      </c>
      <c r="B60" s="25" t="s">
        <v>964</v>
      </c>
      <c r="C60" s="25" t="s">
        <v>199</v>
      </c>
      <c r="D60" s="25" t="s">
        <v>973</v>
      </c>
      <c r="E60" s="26">
        <f>VLOOKUP(C60,'Device Wise Uptime '!B:D,3,0)</f>
        <v>99.981167695473246</v>
      </c>
      <c r="F60" s="26">
        <f>VLOOKUP(C60,'Device Wise Uptime '!B:F,5,0)</f>
        <v>94.906365740740739</v>
      </c>
    </row>
    <row r="61" spans="1:6" x14ac:dyDescent="0.35">
      <c r="A61" s="25">
        <v>60</v>
      </c>
      <c r="B61" s="25" t="s">
        <v>964</v>
      </c>
      <c r="C61" s="25" t="s">
        <v>504</v>
      </c>
      <c r="D61" s="25" t="s">
        <v>973</v>
      </c>
      <c r="E61" s="26">
        <f>VLOOKUP(C61,'Device Wise Uptime '!B:D,3,0)</f>
        <v>99.990828703703713</v>
      </c>
      <c r="F61" s="26">
        <f>VLOOKUP(C61,'Device Wise Uptime '!B:F,5,0)</f>
        <v>98.230921296296287</v>
      </c>
    </row>
    <row r="62" spans="1:6" x14ac:dyDescent="0.35">
      <c r="A62" s="25">
        <v>61</v>
      </c>
      <c r="B62" s="25" t="s">
        <v>964</v>
      </c>
      <c r="C62" s="25" t="s">
        <v>1301</v>
      </c>
      <c r="D62" s="25" t="s">
        <v>973</v>
      </c>
      <c r="E62" s="24">
        <v>100</v>
      </c>
      <c r="F62" s="24">
        <v>100</v>
      </c>
    </row>
    <row r="63" spans="1:6" x14ac:dyDescent="0.35">
      <c r="A63" s="25">
        <v>62</v>
      </c>
      <c r="B63" s="25" t="s">
        <v>964</v>
      </c>
      <c r="C63" s="25" t="s">
        <v>359</v>
      </c>
      <c r="D63" s="25" t="s">
        <v>973</v>
      </c>
      <c r="E63" s="26">
        <f>VLOOKUP(C63,'Device Wise Uptime '!B:D,3,0)</f>
        <v>99.978384259259258</v>
      </c>
      <c r="F63" s="26">
        <f>VLOOKUP(C63,'Device Wise Uptime '!B:F,5,0)</f>
        <v>87.023350308641994</v>
      </c>
    </row>
    <row r="64" spans="1:6" x14ac:dyDescent="0.35">
      <c r="A64" s="25">
        <v>63</v>
      </c>
      <c r="B64" s="25" t="s">
        <v>964</v>
      </c>
      <c r="C64" s="25" t="s">
        <v>775</v>
      </c>
      <c r="D64" s="25" t="s">
        <v>973</v>
      </c>
      <c r="E64" s="26">
        <f>VLOOKUP(C64,'Device Wise Uptime '!B:D,3,0)</f>
        <v>99.992650462962956</v>
      </c>
      <c r="F64" s="26">
        <f>VLOOKUP(C64,'Device Wise Uptime '!B:F,5,0)</f>
        <v>97.493873456790126</v>
      </c>
    </row>
    <row r="65" spans="1:6" x14ac:dyDescent="0.35">
      <c r="A65" s="25">
        <v>64</v>
      </c>
      <c r="B65" s="25" t="s">
        <v>964</v>
      </c>
      <c r="C65" s="25" t="s">
        <v>635</v>
      </c>
      <c r="D65" s="25" t="s">
        <v>973</v>
      </c>
      <c r="E65" s="26">
        <f>VLOOKUP(C65,'Device Wise Uptime '!B:D,3,0)</f>
        <v>99.993881172839522</v>
      </c>
      <c r="F65" s="26">
        <f>VLOOKUP(C65,'Device Wise Uptime '!B:F,5,0)</f>
        <v>99.856388888888887</v>
      </c>
    </row>
    <row r="66" spans="1:6" x14ac:dyDescent="0.35">
      <c r="A66" s="25">
        <v>65</v>
      </c>
      <c r="B66" s="25" t="s">
        <v>964</v>
      </c>
      <c r="C66" s="25" t="s">
        <v>690</v>
      </c>
      <c r="D66" s="25" t="s">
        <v>973</v>
      </c>
      <c r="E66" s="26">
        <f>VLOOKUP(C66,'Device Wise Uptime '!B:D,3,0)</f>
        <v>99.992168209876553</v>
      </c>
      <c r="F66" s="26">
        <f>VLOOKUP(C66,'Device Wise Uptime '!B:F,5,0)</f>
        <v>96.773942901234562</v>
      </c>
    </row>
    <row r="67" spans="1:6" x14ac:dyDescent="0.35">
      <c r="A67" s="25">
        <v>66</v>
      </c>
      <c r="B67" s="25" t="s">
        <v>964</v>
      </c>
      <c r="C67" s="25" t="s">
        <v>378</v>
      </c>
      <c r="D67" s="25" t="s">
        <v>973</v>
      </c>
      <c r="E67" s="26">
        <f>VLOOKUP(C67,'Device Wise Uptime '!B:D,3,0)</f>
        <v>99.994544753086416</v>
      </c>
      <c r="F67" s="26">
        <f>VLOOKUP(C67,'Device Wise Uptime '!B:F,5,0)</f>
        <v>96.775563271604938</v>
      </c>
    </row>
    <row r="68" spans="1:6" x14ac:dyDescent="0.35">
      <c r="A68" s="25">
        <v>67</v>
      </c>
      <c r="B68" s="25" t="s">
        <v>964</v>
      </c>
      <c r="C68" s="25" t="s">
        <v>363</v>
      </c>
      <c r="D68" s="25" t="s">
        <v>973</v>
      </c>
      <c r="E68" s="26">
        <f>VLOOKUP(C68,'Device Wise Uptime '!B:D,3,0)</f>
        <v>99.984956275720165</v>
      </c>
      <c r="F68" s="26">
        <f>VLOOKUP(C68,'Device Wise Uptime '!B:F,5,0)</f>
        <v>94.775606995884772</v>
      </c>
    </row>
    <row r="69" spans="1:6" x14ac:dyDescent="0.35">
      <c r="A69" s="25">
        <v>68</v>
      </c>
      <c r="B69" s="25" t="s">
        <v>964</v>
      </c>
      <c r="C69" s="25" t="s">
        <v>549</v>
      </c>
      <c r="D69" s="25" t="s">
        <v>973</v>
      </c>
      <c r="E69" s="26">
        <f>VLOOKUP(C69,'Device Wise Uptime '!B:D,3,0)</f>
        <v>99.992214506172843</v>
      </c>
      <c r="F69" s="26">
        <f>VLOOKUP(C69,'Device Wise Uptime '!B:F,5,0)</f>
        <v>97.333325617283947</v>
      </c>
    </row>
    <row r="70" spans="1:6" x14ac:dyDescent="0.35">
      <c r="A70" s="25">
        <v>69</v>
      </c>
      <c r="B70" s="25" t="s">
        <v>964</v>
      </c>
      <c r="C70" s="25" t="s">
        <v>240</v>
      </c>
      <c r="D70" s="25" t="s">
        <v>973</v>
      </c>
      <c r="E70" s="26">
        <f>VLOOKUP(C70,'Device Wise Uptime '!B:D,3,0)</f>
        <v>100.11294634377967</v>
      </c>
      <c r="F70" s="26">
        <f>VLOOKUP(C70,'Device Wise Uptime '!B:F,5,0)</f>
        <v>95.673906695156674</v>
      </c>
    </row>
    <row r="71" spans="1:6" x14ac:dyDescent="0.35">
      <c r="A71" s="25">
        <v>70</v>
      </c>
      <c r="B71" s="25" t="s">
        <v>964</v>
      </c>
      <c r="C71" s="25" t="s">
        <v>1300</v>
      </c>
      <c r="D71" s="25" t="s">
        <v>973</v>
      </c>
      <c r="E71" s="24">
        <v>100</v>
      </c>
      <c r="F71" s="24">
        <v>100</v>
      </c>
    </row>
    <row r="72" spans="1:6" x14ac:dyDescent="0.35">
      <c r="A72" s="25">
        <v>71</v>
      </c>
      <c r="B72" s="25" t="s">
        <v>964</v>
      </c>
      <c r="C72" s="25" t="s">
        <v>320</v>
      </c>
      <c r="D72" s="25" t="s">
        <v>973</v>
      </c>
      <c r="E72" s="26">
        <f>VLOOKUP(C72,'Device Wise Uptime '!B:D,3,0)</f>
        <v>99.989544753086406</v>
      </c>
      <c r="F72" s="26">
        <f>VLOOKUP(C72,'Device Wise Uptime '!B:F,5,0)</f>
        <v>96.761496913580245</v>
      </c>
    </row>
    <row r="73" spans="1:6" x14ac:dyDescent="0.35">
      <c r="A73" s="25">
        <v>72</v>
      </c>
      <c r="B73" s="25" t="s">
        <v>964</v>
      </c>
      <c r="C73" s="25" t="s">
        <v>465</v>
      </c>
      <c r="D73" s="25" t="s">
        <v>973</v>
      </c>
      <c r="E73" s="26">
        <f>VLOOKUP(C73,'Device Wise Uptime '!B:D,3,0)</f>
        <v>99.986324588477373</v>
      </c>
      <c r="F73" s="26">
        <f>VLOOKUP(C73,'Device Wise Uptime '!B:F,5,0)</f>
        <v>99.478566100823045</v>
      </c>
    </row>
    <row r="74" spans="1:6" x14ac:dyDescent="0.35">
      <c r="A74" s="25">
        <v>73</v>
      </c>
      <c r="B74" s="25" t="s">
        <v>964</v>
      </c>
      <c r="C74" s="25" t="s">
        <v>249</v>
      </c>
      <c r="D74" s="25" t="s">
        <v>973</v>
      </c>
      <c r="E74" s="26">
        <f>VLOOKUP(C74,'Device Wise Uptime '!B:D,3,0)</f>
        <v>99.992319958847744</v>
      </c>
      <c r="F74" s="26">
        <f>VLOOKUP(C74,'Device Wise Uptime '!B:F,5,0)</f>
        <v>99.791590363511659</v>
      </c>
    </row>
    <row r="75" spans="1:6" x14ac:dyDescent="0.35">
      <c r="A75" s="25">
        <v>74</v>
      </c>
      <c r="B75" s="25" t="s">
        <v>964</v>
      </c>
      <c r="C75" s="25" t="s">
        <v>480</v>
      </c>
      <c r="D75" s="25" t="s">
        <v>973</v>
      </c>
      <c r="E75" s="26">
        <f>VLOOKUP(C75,'Device Wise Uptime '!B:D,3,0)</f>
        <v>99.886226851851859</v>
      </c>
      <c r="F75" s="26">
        <f>VLOOKUP(C75,'Device Wise Uptime '!B:F,5,0)</f>
        <v>100</v>
      </c>
    </row>
    <row r="76" spans="1:6" x14ac:dyDescent="0.35">
      <c r="A76" s="25">
        <v>75</v>
      </c>
      <c r="B76" s="25" t="s">
        <v>964</v>
      </c>
      <c r="C76" s="25" t="s">
        <v>1299</v>
      </c>
      <c r="D76" s="25" t="s">
        <v>973</v>
      </c>
      <c r="E76" s="24">
        <v>100</v>
      </c>
      <c r="F76" s="24">
        <v>100</v>
      </c>
    </row>
    <row r="77" spans="1:6" x14ac:dyDescent="0.35">
      <c r="A77" s="25">
        <v>76</v>
      </c>
      <c r="B77" s="25" t="s">
        <v>964</v>
      </c>
      <c r="C77" s="25" t="s">
        <v>405</v>
      </c>
      <c r="D77" s="25" t="s">
        <v>973</v>
      </c>
      <c r="E77" s="26">
        <f>VLOOKUP(C77,'Device Wise Uptime '!B:D,3,0)</f>
        <v>99.889598765432098</v>
      </c>
      <c r="F77" s="26">
        <f>VLOOKUP(C77,'Device Wise Uptime '!B:F,5,0)</f>
        <v>100</v>
      </c>
    </row>
    <row r="78" spans="1:6" x14ac:dyDescent="0.35">
      <c r="A78" s="25">
        <v>77</v>
      </c>
      <c r="B78" s="25" t="s">
        <v>964</v>
      </c>
      <c r="C78" s="25" t="s">
        <v>348</v>
      </c>
      <c r="D78" s="25" t="s">
        <v>973</v>
      </c>
      <c r="E78" s="26">
        <f>VLOOKUP(C78,'Device Wise Uptime '!B:D,3,0)</f>
        <v>99.993132716049388</v>
      </c>
      <c r="F78" s="26">
        <f>VLOOKUP(C78,'Device Wise Uptime '!B:F,5,0)</f>
        <v>98.210972222222225</v>
      </c>
    </row>
    <row r="79" spans="1:6" x14ac:dyDescent="0.35">
      <c r="A79" s="25">
        <v>78</v>
      </c>
      <c r="B79" s="25" t="s">
        <v>964</v>
      </c>
      <c r="C79" s="25" t="s">
        <v>1298</v>
      </c>
      <c r="D79" s="25" t="s">
        <v>973</v>
      </c>
      <c r="E79" s="24">
        <v>100</v>
      </c>
      <c r="F79" s="24">
        <v>100</v>
      </c>
    </row>
    <row r="80" spans="1:6" x14ac:dyDescent="0.35">
      <c r="A80" s="25">
        <v>79</v>
      </c>
      <c r="B80" s="25" t="s">
        <v>964</v>
      </c>
      <c r="C80" s="25" t="s">
        <v>831</v>
      </c>
      <c r="D80" s="25" t="s">
        <v>973</v>
      </c>
      <c r="E80" s="26">
        <f>VLOOKUP(C80,'Device Wise Uptime '!B:D,3,0)</f>
        <v>99.871589506172839</v>
      </c>
      <c r="F80" s="26">
        <f>VLOOKUP(C80,'Device Wise Uptime '!B:F,5,0)</f>
        <v>100</v>
      </c>
    </row>
    <row r="81" spans="1:6" x14ac:dyDescent="0.35">
      <c r="A81" s="25">
        <v>80</v>
      </c>
      <c r="B81" s="25" t="s">
        <v>964</v>
      </c>
      <c r="C81" s="25" t="s">
        <v>207</v>
      </c>
      <c r="D81" s="25" t="s">
        <v>973</v>
      </c>
      <c r="E81" s="26">
        <f>VLOOKUP(C81,'Device Wise Uptime '!B:D,3,0)</f>
        <v>99.984812242798355</v>
      </c>
      <c r="F81" s="26">
        <f>VLOOKUP(C81,'Device Wise Uptime '!B:F,5,0)</f>
        <v>99.723708847736631</v>
      </c>
    </row>
    <row r="82" spans="1:6" x14ac:dyDescent="0.35">
      <c r="A82" s="25">
        <v>81</v>
      </c>
      <c r="B82" s="25" t="s">
        <v>964</v>
      </c>
      <c r="C82" s="25" t="s">
        <v>621</v>
      </c>
      <c r="D82" s="25" t="s">
        <v>973</v>
      </c>
      <c r="E82" s="26">
        <f>VLOOKUP(C82,'Device Wise Uptime '!B:D,3,0)</f>
        <v>99.955941358024688</v>
      </c>
      <c r="F82" s="26">
        <f>VLOOKUP(C82,'Device Wise Uptime '!B:F,5,0)</f>
        <v>99.9375</v>
      </c>
    </row>
    <row r="83" spans="1:6" x14ac:dyDescent="0.35">
      <c r="A83" s="25">
        <v>82</v>
      </c>
      <c r="B83" s="25" t="s">
        <v>964</v>
      </c>
      <c r="C83" s="25" t="s">
        <v>601</v>
      </c>
      <c r="D83" s="25" t="s">
        <v>973</v>
      </c>
      <c r="E83" s="26">
        <f>VLOOKUP(C83,'Device Wise Uptime '!B:D,3,0)</f>
        <v>99.983109567901238</v>
      </c>
      <c r="F83" s="26">
        <f>VLOOKUP(C83,'Device Wise Uptime '!B:F,5,0)</f>
        <v>99.215289351851851</v>
      </c>
    </row>
    <row r="84" spans="1:6" x14ac:dyDescent="0.35">
      <c r="A84" s="25">
        <v>83</v>
      </c>
      <c r="B84" s="25" t="s">
        <v>964</v>
      </c>
      <c r="C84" s="25" t="s">
        <v>795</v>
      </c>
      <c r="D84" s="25" t="s">
        <v>973</v>
      </c>
      <c r="E84" s="26">
        <f>VLOOKUP(C84,'Device Wise Uptime '!B:D,3,0)</f>
        <v>99.883348765432103</v>
      </c>
      <c r="F84" s="26">
        <f>VLOOKUP(C84,'Device Wise Uptime '!B:F,5,0)</f>
        <v>100</v>
      </c>
    </row>
    <row r="85" spans="1:6" x14ac:dyDescent="0.35">
      <c r="A85" s="25">
        <v>84</v>
      </c>
      <c r="B85" s="25" t="s">
        <v>964</v>
      </c>
      <c r="C85" s="25" t="s">
        <v>398</v>
      </c>
      <c r="D85" s="25" t="s">
        <v>973</v>
      </c>
      <c r="E85" s="26">
        <f>VLOOKUP(C85,'Device Wise Uptime '!B:D,3,0)</f>
        <v>99.867731481481485</v>
      </c>
      <c r="F85" s="26">
        <f>VLOOKUP(C85,'Device Wise Uptime '!B:F,5,0)</f>
        <v>100</v>
      </c>
    </row>
    <row r="86" spans="1:6" x14ac:dyDescent="0.35">
      <c r="A86" s="25">
        <v>85</v>
      </c>
      <c r="B86" s="25" t="s">
        <v>964</v>
      </c>
      <c r="C86" s="25" t="s">
        <v>543</v>
      </c>
      <c r="D86" s="25" t="s">
        <v>973</v>
      </c>
      <c r="E86" s="26">
        <f>VLOOKUP(C86,'Device Wise Uptime '!B:D,3,0)</f>
        <v>99.883950617283958</v>
      </c>
      <c r="F86" s="26">
        <f>VLOOKUP(C86,'Device Wise Uptime '!B:F,5,0)</f>
        <v>100</v>
      </c>
    </row>
    <row r="87" spans="1:6" x14ac:dyDescent="0.35">
      <c r="A87" s="25">
        <v>86</v>
      </c>
      <c r="B87" s="25" t="s">
        <v>964</v>
      </c>
      <c r="C87" s="25" t="s">
        <v>423</v>
      </c>
      <c r="D87" s="25" t="s">
        <v>973</v>
      </c>
      <c r="E87" s="26">
        <f>VLOOKUP(C87,'Device Wise Uptime '!B:D,3,0)</f>
        <v>99.950887345679021</v>
      </c>
      <c r="F87" s="26">
        <f>VLOOKUP(C87,'Device Wise Uptime '!B:F,5,0)</f>
        <v>96.897955246913583</v>
      </c>
    </row>
    <row r="88" spans="1:6" x14ac:dyDescent="0.35">
      <c r="A88" s="25">
        <v>87</v>
      </c>
      <c r="B88" s="25" t="s">
        <v>964</v>
      </c>
      <c r="C88" s="25" t="s">
        <v>351</v>
      </c>
      <c r="D88" s="25" t="s">
        <v>973</v>
      </c>
      <c r="E88" s="26">
        <f>VLOOKUP(C88,'Device Wise Uptime '!B:D,3,0)</f>
        <v>99.987114197530872</v>
      </c>
      <c r="F88" s="26">
        <f>VLOOKUP(C88,'Device Wise Uptime '!B:F,5,0)</f>
        <v>99.933873456790124</v>
      </c>
    </row>
    <row r="89" spans="1:6" x14ac:dyDescent="0.35">
      <c r="A89" s="25">
        <v>88</v>
      </c>
      <c r="B89" s="25" t="s">
        <v>964</v>
      </c>
      <c r="C89" s="25" t="s">
        <v>705</v>
      </c>
      <c r="D89" s="25" t="s">
        <v>973</v>
      </c>
      <c r="E89" s="26">
        <f>VLOOKUP(C89,'Device Wise Uptime '!B:D,3,0)</f>
        <v>99.995694444444439</v>
      </c>
      <c r="F89" s="26">
        <f>VLOOKUP(C89,'Device Wise Uptime '!B:F,5,0)</f>
        <v>99.427199074074068</v>
      </c>
    </row>
    <row r="90" spans="1:6" x14ac:dyDescent="0.35">
      <c r="A90" s="25">
        <v>89</v>
      </c>
      <c r="B90" s="25" t="s">
        <v>964</v>
      </c>
      <c r="C90" s="25" t="s">
        <v>266</v>
      </c>
      <c r="D90" s="25" t="s">
        <v>973</v>
      </c>
      <c r="E90" s="26">
        <f>VLOOKUP(C90,'Device Wise Uptime '!B:D,3,0)</f>
        <v>99.9669045781893</v>
      </c>
      <c r="F90" s="26">
        <f>VLOOKUP(C90,'Device Wise Uptime '!B:F,5,0)</f>
        <v>99.636921296296293</v>
      </c>
    </row>
    <row r="91" spans="1:6" x14ac:dyDescent="0.35">
      <c r="A91" s="25">
        <v>90</v>
      </c>
      <c r="B91" s="25" t="s">
        <v>964</v>
      </c>
      <c r="C91" s="25" t="s">
        <v>759</v>
      </c>
      <c r="D91" s="25" t="s">
        <v>973</v>
      </c>
      <c r="E91" s="26">
        <f>VLOOKUP(C91,'Device Wise Uptime '!B:D,3,0)</f>
        <v>99.99477237654321</v>
      </c>
      <c r="F91" s="26">
        <f>VLOOKUP(C91,'Device Wise Uptime '!B:F,5,0)</f>
        <v>97.489633487654316</v>
      </c>
    </row>
    <row r="92" spans="1:6" x14ac:dyDescent="0.35">
      <c r="A92" s="25">
        <v>91</v>
      </c>
      <c r="B92" s="25" t="s">
        <v>964</v>
      </c>
      <c r="C92" s="25" t="s">
        <v>644</v>
      </c>
      <c r="D92" s="25" t="s">
        <v>973</v>
      </c>
      <c r="E92" s="26">
        <f>VLOOKUP(C92,'Device Wise Uptime '!B:D,3,0)</f>
        <v>99.933379629629627</v>
      </c>
      <c r="F92" s="26">
        <f>VLOOKUP(C92,'Device Wise Uptime '!B:F,5,0)</f>
        <v>98.383892746913574</v>
      </c>
    </row>
    <row r="93" spans="1:6" x14ac:dyDescent="0.35">
      <c r="A93" s="25">
        <v>92</v>
      </c>
      <c r="B93" s="25" t="s">
        <v>964</v>
      </c>
      <c r="C93" s="25" t="s">
        <v>1297</v>
      </c>
      <c r="D93" s="25" t="s">
        <v>973</v>
      </c>
      <c r="E93" s="24">
        <v>100</v>
      </c>
      <c r="F93" s="24">
        <v>100</v>
      </c>
    </row>
    <row r="94" spans="1:6" x14ac:dyDescent="0.35">
      <c r="A94" s="25">
        <v>93</v>
      </c>
      <c r="B94" s="25" t="s">
        <v>964</v>
      </c>
      <c r="C94" s="25" t="s">
        <v>195</v>
      </c>
      <c r="D94" s="25" t="s">
        <v>973</v>
      </c>
      <c r="E94" s="26">
        <f>VLOOKUP(C94,'Device Wise Uptime '!B:D,3,0)</f>
        <v>99.961485890652554</v>
      </c>
      <c r="F94" s="26">
        <f>VLOOKUP(C94,'Device Wise Uptime '!B:F,5,0)</f>
        <v>98.238682760141089</v>
      </c>
    </row>
    <row r="95" spans="1:6" x14ac:dyDescent="0.35">
      <c r="A95" s="25">
        <v>94</v>
      </c>
      <c r="B95" s="25" t="s">
        <v>964</v>
      </c>
      <c r="C95" s="25" t="s">
        <v>303</v>
      </c>
      <c r="D95" s="25" t="s">
        <v>973</v>
      </c>
      <c r="E95" s="26">
        <f>VLOOKUP(C95,'Device Wise Uptime '!B:D,3,0)</f>
        <v>99.972319223985892</v>
      </c>
      <c r="F95" s="26">
        <f>VLOOKUP(C95,'Device Wise Uptime '!B:F,5,0)</f>
        <v>99.388354276895953</v>
      </c>
    </row>
    <row r="96" spans="1:6" x14ac:dyDescent="0.35">
      <c r="A96" s="25">
        <v>95</v>
      </c>
      <c r="B96" s="25" t="s">
        <v>964</v>
      </c>
      <c r="C96" s="25" t="s">
        <v>557</v>
      </c>
      <c r="D96" s="25" t="s">
        <v>973</v>
      </c>
      <c r="E96" s="26">
        <f>VLOOKUP(C96,'Device Wise Uptime '!B:D,3,0)</f>
        <v>99.9811188271605</v>
      </c>
      <c r="F96" s="26">
        <f>VLOOKUP(C96,'Device Wise Uptime '!B:F,5,0)</f>
        <v>96.535594135802469</v>
      </c>
    </row>
    <row r="97" spans="1:6" x14ac:dyDescent="0.35">
      <c r="A97" s="25">
        <v>96</v>
      </c>
      <c r="B97" s="25" t="s">
        <v>964</v>
      </c>
      <c r="C97" s="25" t="s">
        <v>231</v>
      </c>
      <c r="D97" s="25" t="s">
        <v>973</v>
      </c>
      <c r="E97" s="26">
        <f>VLOOKUP(C97,'Device Wise Uptime '!B:D,3,0)</f>
        <v>99.96108906525572</v>
      </c>
      <c r="F97" s="26">
        <f>VLOOKUP(C97,'Device Wise Uptime '!B:F,5,0)</f>
        <v>96.746549823633146</v>
      </c>
    </row>
    <row r="98" spans="1:6" x14ac:dyDescent="0.35">
      <c r="A98" s="25">
        <v>97</v>
      </c>
      <c r="B98" s="25" t="s">
        <v>964</v>
      </c>
      <c r="C98" s="25" t="s">
        <v>434</v>
      </c>
      <c r="D98" s="25" t="s">
        <v>973</v>
      </c>
      <c r="E98" s="26">
        <f>VLOOKUP(C98,'Device Wise Uptime '!B:D,3,0)</f>
        <v>99.988456790123465</v>
      </c>
      <c r="F98" s="26">
        <f>VLOOKUP(C98,'Device Wise Uptime '!B:F,5,0)</f>
        <v>99.707953703703694</v>
      </c>
    </row>
    <row r="99" spans="1:6" x14ac:dyDescent="0.35">
      <c r="A99" s="25">
        <v>98</v>
      </c>
      <c r="B99" s="25" t="s">
        <v>964</v>
      </c>
      <c r="C99" s="25" t="s">
        <v>402</v>
      </c>
      <c r="D99" s="25" t="s">
        <v>973</v>
      </c>
      <c r="E99" s="26">
        <f>VLOOKUP(C99,'Device Wise Uptime '!B:D,3,0)</f>
        <v>99.962824074074064</v>
      </c>
      <c r="F99" s="26">
        <f>VLOOKUP(C99,'Device Wise Uptime '!B:F,5,0)</f>
        <v>99.740137345679017</v>
      </c>
    </row>
    <row r="100" spans="1:6" x14ac:dyDescent="0.35">
      <c r="A100" s="25">
        <v>99</v>
      </c>
      <c r="B100" s="25" t="s">
        <v>964</v>
      </c>
      <c r="C100" s="25" t="s">
        <v>1296</v>
      </c>
      <c r="D100" s="25" t="s">
        <v>973</v>
      </c>
      <c r="E100" s="24">
        <v>100</v>
      </c>
      <c r="F100" s="24">
        <v>100</v>
      </c>
    </row>
    <row r="101" spans="1:6" x14ac:dyDescent="0.35">
      <c r="A101" s="25">
        <v>100</v>
      </c>
      <c r="B101" s="25" t="s">
        <v>964</v>
      </c>
      <c r="C101" s="25" t="s">
        <v>630</v>
      </c>
      <c r="D101" s="25" t="s">
        <v>973</v>
      </c>
      <c r="E101" s="26">
        <f>VLOOKUP(C101,'Device Wise Uptime '!B:D,3,0)</f>
        <v>99.894074074074084</v>
      </c>
      <c r="F101" s="26">
        <f>VLOOKUP(C101,'Device Wise Uptime '!B:F,5,0)</f>
        <v>100</v>
      </c>
    </row>
    <row r="102" spans="1:6" x14ac:dyDescent="0.35">
      <c r="A102" s="25">
        <v>101</v>
      </c>
      <c r="B102" s="25" t="s">
        <v>964</v>
      </c>
      <c r="C102" s="25" t="s">
        <v>437</v>
      </c>
      <c r="D102" s="25" t="s">
        <v>973</v>
      </c>
      <c r="E102" s="26">
        <f>VLOOKUP(C102,'Device Wise Uptime '!B:D,3,0)</f>
        <v>99.964619984567904</v>
      </c>
      <c r="F102" s="26">
        <f>VLOOKUP(C102,'Device Wise Uptime '!B:F,5,0)</f>
        <v>99.964211033950619</v>
      </c>
    </row>
    <row r="103" spans="1:6" x14ac:dyDescent="0.35">
      <c r="A103" s="25">
        <v>102</v>
      </c>
      <c r="B103" s="25" t="s">
        <v>964</v>
      </c>
      <c r="C103" s="25" t="s">
        <v>294</v>
      </c>
      <c r="D103" s="25" t="s">
        <v>973</v>
      </c>
      <c r="E103" s="26">
        <f>VLOOKUP(C103,'Device Wise Uptime '!B:D,3,0)</f>
        <v>99.950850694444441</v>
      </c>
      <c r="F103" s="26">
        <f>VLOOKUP(C103,'Device Wise Uptime '!B:F,5,0)</f>
        <v>99.381973379629628</v>
      </c>
    </row>
    <row r="104" spans="1:6" x14ac:dyDescent="0.35">
      <c r="A104" s="25">
        <v>103</v>
      </c>
      <c r="B104" s="25" t="s">
        <v>964</v>
      </c>
      <c r="C104" s="25" t="s">
        <v>341</v>
      </c>
      <c r="D104" s="25" t="s">
        <v>973</v>
      </c>
      <c r="E104" s="26">
        <f>VLOOKUP(C104,'Device Wise Uptime '!B:D,3,0)</f>
        <v>99.893541666666664</v>
      </c>
      <c r="F104" s="26">
        <f>VLOOKUP(C104,'Device Wise Uptime '!B:F,5,0)</f>
        <v>100</v>
      </c>
    </row>
    <row r="105" spans="1:6" x14ac:dyDescent="0.35">
      <c r="A105" s="25">
        <v>104</v>
      </c>
      <c r="B105" s="25" t="s">
        <v>964</v>
      </c>
      <c r="C105" s="25" t="s">
        <v>468</v>
      </c>
      <c r="D105" s="25" t="s">
        <v>973</v>
      </c>
      <c r="E105" s="26">
        <f>VLOOKUP(C105,'Device Wise Uptime '!B:D,3,0)</f>
        <v>99.961442901234562</v>
      </c>
      <c r="F105" s="26">
        <f>VLOOKUP(C105,'Device Wise Uptime '!B:F,5,0)</f>
        <v>98.671653163580245</v>
      </c>
    </row>
    <row r="106" spans="1:6" x14ac:dyDescent="0.35">
      <c r="A106" s="25">
        <v>105</v>
      </c>
      <c r="B106" s="25" t="s">
        <v>964</v>
      </c>
      <c r="C106" s="25" t="s">
        <v>387</v>
      </c>
      <c r="D106" s="25" t="s">
        <v>973</v>
      </c>
      <c r="E106" s="26">
        <f>VLOOKUP(C106,'Device Wise Uptime '!B:D,3,0)</f>
        <v>99.954919532627855</v>
      </c>
      <c r="F106" s="26">
        <f>VLOOKUP(C106,'Device Wise Uptime '!B:F,5,0)</f>
        <v>90.036978615520283</v>
      </c>
    </row>
    <row r="107" spans="1:6" x14ac:dyDescent="0.35">
      <c r="A107" s="25">
        <v>106</v>
      </c>
      <c r="B107" s="25" t="s">
        <v>964</v>
      </c>
      <c r="C107" s="25" t="s">
        <v>721</v>
      </c>
      <c r="D107" s="25" t="s">
        <v>973</v>
      </c>
      <c r="E107" s="26">
        <f>VLOOKUP(C107,'Device Wise Uptime '!B:D,3,0)</f>
        <v>99.956265432098775</v>
      </c>
      <c r="F107" s="26">
        <f>VLOOKUP(C107,'Device Wise Uptime '!B:F,5,0)</f>
        <v>99.937554012345686</v>
      </c>
    </row>
    <row r="108" spans="1:6" x14ac:dyDescent="0.35">
      <c r="A108" s="25">
        <v>107</v>
      </c>
      <c r="B108" s="25" t="s">
        <v>964</v>
      </c>
      <c r="C108" s="25" t="s">
        <v>539</v>
      </c>
      <c r="D108" s="25" t="s">
        <v>973</v>
      </c>
      <c r="E108" s="26">
        <f>VLOOKUP(C108,'Device Wise Uptime '!B:D,3,0)</f>
        <v>99.990972222222226</v>
      </c>
      <c r="F108" s="26">
        <f>VLOOKUP(C108,'Device Wise Uptime '!B:F,5,0)</f>
        <v>98.756311728395048</v>
      </c>
    </row>
    <row r="109" spans="1:6" x14ac:dyDescent="0.35">
      <c r="A109" s="25">
        <v>108</v>
      </c>
      <c r="B109" s="25" t="s">
        <v>964</v>
      </c>
      <c r="C109" s="25" t="s">
        <v>817</v>
      </c>
      <c r="D109" s="25" t="s">
        <v>973</v>
      </c>
      <c r="E109" s="26">
        <f>VLOOKUP(C109,'Device Wise Uptime '!B:D,3,0)</f>
        <v>99.881033950617294</v>
      </c>
      <c r="F109" s="26">
        <f>VLOOKUP(C109,'Device Wise Uptime '!B:F,5,0)</f>
        <v>100</v>
      </c>
    </row>
    <row r="110" spans="1:6" x14ac:dyDescent="0.35">
      <c r="A110" s="25">
        <v>109</v>
      </c>
      <c r="B110" s="25" t="s">
        <v>964</v>
      </c>
      <c r="C110" s="25" t="s">
        <v>826</v>
      </c>
      <c r="D110" s="25" t="s">
        <v>973</v>
      </c>
      <c r="E110" s="26">
        <f>VLOOKUP(C110,'Device Wise Uptime '!B:D,3,0)</f>
        <v>99.982021604938268</v>
      </c>
      <c r="F110" s="26">
        <f>VLOOKUP(C110,'Device Wise Uptime '!B:F,5,0)</f>
        <v>100</v>
      </c>
    </row>
    <row r="111" spans="1:6" x14ac:dyDescent="0.35">
      <c r="A111" s="25">
        <v>110</v>
      </c>
      <c r="B111" s="25" t="s">
        <v>964</v>
      </c>
      <c r="C111" s="25" t="s">
        <v>410</v>
      </c>
      <c r="D111" s="25" t="s">
        <v>973</v>
      </c>
      <c r="E111" s="26">
        <f>VLOOKUP(C111,'Device Wise Uptime '!B:D,3,0)</f>
        <v>99.876350308641975</v>
      </c>
      <c r="F111" s="26">
        <f>VLOOKUP(C111,'Device Wise Uptime '!B:F,5,0)</f>
        <v>100</v>
      </c>
    </row>
    <row r="112" spans="1:6" x14ac:dyDescent="0.35">
      <c r="A112" s="25">
        <v>111</v>
      </c>
      <c r="B112" s="25" t="s">
        <v>964</v>
      </c>
      <c r="C112" s="25" t="s">
        <v>1295</v>
      </c>
      <c r="D112" s="25" t="s">
        <v>973</v>
      </c>
      <c r="E112" s="24">
        <v>100</v>
      </c>
      <c r="F112" s="24">
        <v>100</v>
      </c>
    </row>
    <row r="113" spans="1:6" x14ac:dyDescent="0.35">
      <c r="A113" s="25">
        <v>112</v>
      </c>
      <c r="B113" s="25" t="s">
        <v>964</v>
      </c>
      <c r="C113" s="25" t="s">
        <v>784</v>
      </c>
      <c r="D113" s="25" t="s">
        <v>973</v>
      </c>
      <c r="E113" s="26">
        <f>VLOOKUP(C113,'Device Wise Uptime '!B:D,3,0)</f>
        <v>99.874907407407406</v>
      </c>
      <c r="F113" s="26">
        <f>VLOOKUP(C113,'Device Wise Uptime '!B:F,5,0)</f>
        <v>100</v>
      </c>
    </row>
    <row r="114" spans="1:6" x14ac:dyDescent="0.35">
      <c r="A114" s="25">
        <v>113</v>
      </c>
      <c r="B114" s="25" t="s">
        <v>964</v>
      </c>
      <c r="C114" s="25" t="s">
        <v>252</v>
      </c>
      <c r="D114" s="25" t="s">
        <v>973</v>
      </c>
      <c r="E114" s="26">
        <f>VLOOKUP(C114,'Device Wise Uptime '!B:D,3,0)</f>
        <v>99.950344650205764</v>
      </c>
      <c r="F114" s="26">
        <f>VLOOKUP(C114,'Device Wise Uptime '!B:F,5,0)</f>
        <v>98.923739711934147</v>
      </c>
    </row>
    <row r="115" spans="1:6" x14ac:dyDescent="0.35">
      <c r="A115" s="25">
        <v>114</v>
      </c>
      <c r="B115" s="25" t="s">
        <v>964</v>
      </c>
      <c r="C115" s="25" t="s">
        <v>672</v>
      </c>
      <c r="D115" s="25" t="s">
        <v>973</v>
      </c>
      <c r="E115" s="26">
        <f>VLOOKUP(C115,'Device Wise Uptime '!B:D,3,0)</f>
        <v>99.952124485596713</v>
      </c>
      <c r="F115" s="26">
        <f>VLOOKUP(C115,'Device Wise Uptime '!B:F,5,0)</f>
        <v>98.325689300411511</v>
      </c>
    </row>
    <row r="116" spans="1:6" x14ac:dyDescent="0.35">
      <c r="A116" s="25">
        <v>115</v>
      </c>
      <c r="B116" s="25" t="s">
        <v>964</v>
      </c>
      <c r="C116" s="25" t="s">
        <v>331</v>
      </c>
      <c r="D116" s="25" t="s">
        <v>973</v>
      </c>
      <c r="E116" s="26">
        <f>VLOOKUP(C116,'Device Wise Uptime '!B:D,3,0)</f>
        <v>99.881751543209873</v>
      </c>
      <c r="F116" s="26">
        <f>VLOOKUP(C116,'Device Wise Uptime '!B:F,5,0)</f>
        <v>100</v>
      </c>
    </row>
    <row r="117" spans="1:6" x14ac:dyDescent="0.35">
      <c r="A117" s="25">
        <v>116</v>
      </c>
      <c r="B117" s="25" t="s">
        <v>964</v>
      </c>
      <c r="C117" s="25" t="s">
        <v>1294</v>
      </c>
      <c r="D117" s="25" t="s">
        <v>973</v>
      </c>
      <c r="E117" s="24">
        <v>100</v>
      </c>
      <c r="F117" s="24">
        <v>100</v>
      </c>
    </row>
    <row r="118" spans="1:6" x14ac:dyDescent="0.35">
      <c r="A118" s="25">
        <v>117</v>
      </c>
      <c r="B118" s="25" t="s">
        <v>964</v>
      </c>
      <c r="C118" s="25" t="s">
        <v>1293</v>
      </c>
      <c r="D118" s="25" t="s">
        <v>973</v>
      </c>
      <c r="E118" s="24">
        <v>100</v>
      </c>
      <c r="F118" s="24">
        <v>100</v>
      </c>
    </row>
    <row r="119" spans="1:6" x14ac:dyDescent="0.35">
      <c r="A119" s="25">
        <v>118</v>
      </c>
      <c r="B119" s="25" t="s">
        <v>964</v>
      </c>
      <c r="C119" s="25" t="s">
        <v>328</v>
      </c>
      <c r="D119" s="25" t="s">
        <v>973</v>
      </c>
      <c r="E119" s="26">
        <f>VLOOKUP(C119,'Device Wise Uptime '!B:D,3,0)</f>
        <v>99.890871913580241</v>
      </c>
      <c r="F119" s="26">
        <f>VLOOKUP(C119,'Device Wise Uptime '!B:F,5,0)</f>
        <v>100</v>
      </c>
    </row>
    <row r="120" spans="1:6" x14ac:dyDescent="0.35">
      <c r="A120" s="25">
        <v>119</v>
      </c>
      <c r="B120" s="25" t="s">
        <v>964</v>
      </c>
      <c r="C120" s="25" t="s">
        <v>284</v>
      </c>
      <c r="D120" s="25" t="s">
        <v>973</v>
      </c>
      <c r="E120" s="26">
        <f>VLOOKUP(C120,'Device Wise Uptime '!B:D,3,0)</f>
        <v>99.964103009259262</v>
      </c>
      <c r="F120" s="26">
        <f>VLOOKUP(C120,'Device Wise Uptime '!B:F,5,0)</f>
        <v>99.358956404320978</v>
      </c>
    </row>
    <row r="121" spans="1:6" x14ac:dyDescent="0.35">
      <c r="A121" s="25">
        <v>120</v>
      </c>
      <c r="B121" s="25" t="s">
        <v>964</v>
      </c>
      <c r="C121" s="25" t="s">
        <v>471</v>
      </c>
      <c r="D121" s="25" t="s">
        <v>973</v>
      </c>
      <c r="E121" s="26">
        <f>VLOOKUP(C121,'Device Wise Uptime '!B:D,3,0)</f>
        <v>99.883927469135799</v>
      </c>
      <c r="F121" s="26">
        <f>VLOOKUP(C121,'Device Wise Uptime '!B:F,5,0)</f>
        <v>100</v>
      </c>
    </row>
    <row r="122" spans="1:6" x14ac:dyDescent="0.35">
      <c r="A122" s="25">
        <v>121</v>
      </c>
      <c r="B122" s="25" t="s">
        <v>964</v>
      </c>
      <c r="C122" s="25" t="s">
        <v>724</v>
      </c>
      <c r="D122" s="25" t="s">
        <v>973</v>
      </c>
      <c r="E122" s="26">
        <f>VLOOKUP(C122,'Device Wise Uptime '!B:D,3,0)</f>
        <v>99.867955246913581</v>
      </c>
      <c r="F122" s="26">
        <f>VLOOKUP(C122,'Device Wise Uptime '!B:F,5,0)</f>
        <v>100</v>
      </c>
    </row>
    <row r="123" spans="1:6" x14ac:dyDescent="0.35">
      <c r="A123" s="25">
        <v>122</v>
      </c>
      <c r="B123" s="25" t="s">
        <v>964</v>
      </c>
      <c r="C123" s="25" t="s">
        <v>664</v>
      </c>
      <c r="D123" s="25" t="s">
        <v>973</v>
      </c>
      <c r="E123" s="26">
        <f>VLOOKUP(C123,'Device Wise Uptime '!B:D,3,0)</f>
        <v>99.989020061728397</v>
      </c>
      <c r="F123" s="26">
        <f>VLOOKUP(C123,'Device Wise Uptime '!B:F,5,0)</f>
        <v>99.991458333333327</v>
      </c>
    </row>
    <row r="124" spans="1:6" x14ac:dyDescent="0.35">
      <c r="A124" s="25">
        <v>123</v>
      </c>
      <c r="B124" s="25" t="s">
        <v>964</v>
      </c>
      <c r="C124" s="25" t="s">
        <v>1292</v>
      </c>
      <c r="D124" s="25" t="s">
        <v>973</v>
      </c>
      <c r="E124" s="24">
        <v>100</v>
      </c>
      <c r="F124" s="24">
        <v>100</v>
      </c>
    </row>
    <row r="125" spans="1:6" x14ac:dyDescent="0.35">
      <c r="A125" s="25">
        <v>124</v>
      </c>
      <c r="B125" s="25" t="s">
        <v>964</v>
      </c>
      <c r="C125" s="25" t="s">
        <v>1291</v>
      </c>
      <c r="D125" s="25" t="s">
        <v>973</v>
      </c>
      <c r="E125" s="24">
        <v>100</v>
      </c>
      <c r="F125" s="24">
        <v>100</v>
      </c>
    </row>
    <row r="126" spans="1:6" x14ac:dyDescent="0.35">
      <c r="A126" s="25">
        <v>125</v>
      </c>
      <c r="B126" s="25" t="s">
        <v>964</v>
      </c>
      <c r="C126" s="25" t="s">
        <v>1290</v>
      </c>
      <c r="D126" s="25" t="s">
        <v>973</v>
      </c>
      <c r="E126" s="24">
        <v>100</v>
      </c>
      <c r="F126" s="24">
        <v>100</v>
      </c>
    </row>
    <row r="127" spans="1:6" x14ac:dyDescent="0.35">
      <c r="A127" s="25">
        <v>126</v>
      </c>
      <c r="B127" s="25" t="s">
        <v>964</v>
      </c>
      <c r="C127" s="25" t="s">
        <v>381</v>
      </c>
      <c r="D127" s="25" t="s">
        <v>973</v>
      </c>
      <c r="E127" s="26">
        <f>VLOOKUP(C127,'Device Wise Uptime '!B:D,3,0)</f>
        <v>99.993554894179894</v>
      </c>
      <c r="F127" s="26">
        <f>VLOOKUP(C127,'Device Wise Uptime '!B:F,5,0)</f>
        <v>98.37997685185185</v>
      </c>
    </row>
    <row r="128" spans="1:6" x14ac:dyDescent="0.35">
      <c r="A128" s="25">
        <v>127</v>
      </c>
      <c r="B128" s="25" t="s">
        <v>964</v>
      </c>
      <c r="C128" s="25" t="s">
        <v>257</v>
      </c>
      <c r="D128" s="25" t="s">
        <v>973</v>
      </c>
      <c r="E128" s="26">
        <f>VLOOKUP(C128,'Device Wise Uptime '!B:D,3,0)</f>
        <v>99.990370370370371</v>
      </c>
      <c r="F128" s="26">
        <f>VLOOKUP(C128,'Device Wise Uptime '!B:F,5,0)</f>
        <v>99.990100308641971</v>
      </c>
    </row>
    <row r="129" spans="1:6" x14ac:dyDescent="0.35">
      <c r="A129" s="25">
        <v>128</v>
      </c>
      <c r="B129" s="25" t="s">
        <v>964</v>
      </c>
      <c r="C129" s="25" t="s">
        <v>1289</v>
      </c>
      <c r="D129" s="25" t="s">
        <v>973</v>
      </c>
      <c r="E129" s="24">
        <v>100</v>
      </c>
      <c r="F129" s="24">
        <v>100</v>
      </c>
    </row>
    <row r="130" spans="1:6" x14ac:dyDescent="0.35">
      <c r="A130" s="25">
        <v>129</v>
      </c>
      <c r="B130" s="25" t="s">
        <v>964</v>
      </c>
      <c r="C130" s="25" t="s">
        <v>1288</v>
      </c>
      <c r="D130" s="25" t="s">
        <v>973</v>
      </c>
      <c r="E130" s="24">
        <v>100</v>
      </c>
      <c r="F130" s="24">
        <v>100</v>
      </c>
    </row>
    <row r="131" spans="1:6" x14ac:dyDescent="0.35">
      <c r="A131" s="25">
        <v>130</v>
      </c>
      <c r="B131" s="25" t="s">
        <v>964</v>
      </c>
      <c r="C131" s="25" t="s">
        <v>1287</v>
      </c>
      <c r="D131" s="25" t="s">
        <v>973</v>
      </c>
      <c r="E131" s="24">
        <v>100</v>
      </c>
      <c r="F131" s="24">
        <v>100</v>
      </c>
    </row>
    <row r="132" spans="1:6" x14ac:dyDescent="0.35">
      <c r="A132" s="25">
        <v>131</v>
      </c>
      <c r="B132" s="25" t="s">
        <v>964</v>
      </c>
      <c r="C132" s="25" t="s">
        <v>1286</v>
      </c>
      <c r="D132" s="25" t="s">
        <v>973</v>
      </c>
      <c r="E132" s="24">
        <v>100</v>
      </c>
      <c r="F132" s="24">
        <v>100</v>
      </c>
    </row>
    <row r="133" spans="1:6" x14ac:dyDescent="0.35">
      <c r="A133" s="25">
        <v>132</v>
      </c>
      <c r="B133" s="25" t="s">
        <v>964</v>
      </c>
      <c r="C133" s="25" t="s">
        <v>1285</v>
      </c>
      <c r="D133" s="25" t="s">
        <v>973</v>
      </c>
      <c r="E133" s="24">
        <v>100</v>
      </c>
      <c r="F133" s="24">
        <v>100</v>
      </c>
    </row>
    <row r="134" spans="1:6" x14ac:dyDescent="0.35">
      <c r="A134" s="25">
        <v>133</v>
      </c>
      <c r="B134" s="25" t="s">
        <v>964</v>
      </c>
      <c r="C134" s="25" t="s">
        <v>1284</v>
      </c>
      <c r="D134" s="25" t="s">
        <v>973</v>
      </c>
      <c r="E134" s="24">
        <v>100</v>
      </c>
      <c r="F134" s="24">
        <v>100</v>
      </c>
    </row>
    <row r="135" spans="1:6" x14ac:dyDescent="0.35">
      <c r="A135" s="25">
        <v>134</v>
      </c>
      <c r="B135" s="25" t="s">
        <v>964</v>
      </c>
      <c r="C135" s="25" t="s">
        <v>83</v>
      </c>
      <c r="D135" s="25" t="s">
        <v>967</v>
      </c>
      <c r="E135" s="26">
        <f>VLOOKUP(C135,'Device Wise Uptime '!B:D,3,0)</f>
        <v>99.997276234567906</v>
      </c>
      <c r="F135" s="26">
        <f>VLOOKUP(C135,'Device Wise Uptime '!B:F,5,0)</f>
        <v>97.53813271604939</v>
      </c>
    </row>
    <row r="136" spans="1:6" x14ac:dyDescent="0.35">
      <c r="A136" s="25">
        <v>135</v>
      </c>
      <c r="B136" s="25" t="s">
        <v>964</v>
      </c>
      <c r="C136" s="25" t="s">
        <v>124</v>
      </c>
      <c r="D136" s="25" t="s">
        <v>967</v>
      </c>
      <c r="E136" s="26">
        <f>VLOOKUP(C136,'Device Wise Uptime '!B:D,3,0)</f>
        <v>99.99599922839505</v>
      </c>
      <c r="F136" s="26">
        <f>VLOOKUP(C136,'Device Wise Uptime '!B:F,5,0)</f>
        <v>98.187739197530874</v>
      </c>
    </row>
    <row r="137" spans="1:6" x14ac:dyDescent="0.35">
      <c r="A137" s="25">
        <v>136</v>
      </c>
      <c r="B137" s="25" t="s">
        <v>964</v>
      </c>
      <c r="C137" s="29" t="s">
        <v>1283</v>
      </c>
      <c r="D137" s="25" t="s">
        <v>967</v>
      </c>
      <c r="E137" s="24">
        <v>100</v>
      </c>
      <c r="F137" s="24">
        <v>100</v>
      </c>
    </row>
    <row r="138" spans="1:6" x14ac:dyDescent="0.35">
      <c r="A138" s="25">
        <v>137</v>
      </c>
      <c r="B138" s="25" t="s">
        <v>964</v>
      </c>
      <c r="C138" s="29" t="s">
        <v>1282</v>
      </c>
      <c r="D138" s="25" t="s">
        <v>967</v>
      </c>
      <c r="E138" s="24">
        <v>100</v>
      </c>
      <c r="F138" s="24">
        <v>100</v>
      </c>
    </row>
    <row r="139" spans="1:6" x14ac:dyDescent="0.35">
      <c r="A139" s="25">
        <v>138</v>
      </c>
      <c r="B139" s="25" t="s">
        <v>964</v>
      </c>
      <c r="C139" s="25" t="s">
        <v>899</v>
      </c>
      <c r="D139" s="25" t="s">
        <v>967</v>
      </c>
      <c r="E139" s="26">
        <f>VLOOKUP(C139,'Device Wise Uptime '!B:D,3,0)</f>
        <v>99.986087962962969</v>
      </c>
      <c r="F139" s="26">
        <f>VLOOKUP(C139,'Device Wise Uptime '!B:F,5,0)</f>
        <v>96.585208333333327</v>
      </c>
    </row>
    <row r="140" spans="1:6" x14ac:dyDescent="0.35">
      <c r="A140" s="25">
        <v>139</v>
      </c>
      <c r="B140" s="25" t="s">
        <v>964</v>
      </c>
      <c r="C140" s="25" t="s">
        <v>1281</v>
      </c>
      <c r="D140" s="25" t="s">
        <v>967</v>
      </c>
      <c r="E140" s="24">
        <v>100</v>
      </c>
      <c r="F140" s="24">
        <v>100</v>
      </c>
    </row>
    <row r="141" spans="1:6" x14ac:dyDescent="0.35">
      <c r="A141" s="25">
        <v>140</v>
      </c>
      <c r="B141" s="25" t="s">
        <v>964</v>
      </c>
      <c r="C141" s="25" t="s">
        <v>1280</v>
      </c>
      <c r="D141" s="25" t="s">
        <v>967</v>
      </c>
      <c r="E141" s="24">
        <v>100</v>
      </c>
      <c r="F141" s="24">
        <v>100</v>
      </c>
    </row>
    <row r="142" spans="1:6" x14ac:dyDescent="0.35">
      <c r="A142" s="25">
        <v>141</v>
      </c>
      <c r="B142" s="25" t="s">
        <v>964</v>
      </c>
      <c r="C142" s="25" t="s">
        <v>1279</v>
      </c>
      <c r="D142" s="25" t="s">
        <v>967</v>
      </c>
      <c r="E142" s="24">
        <v>100</v>
      </c>
      <c r="F142" s="24">
        <v>100</v>
      </c>
    </row>
    <row r="143" spans="1:6" x14ac:dyDescent="0.35">
      <c r="A143" s="25">
        <v>142</v>
      </c>
      <c r="B143" s="25" t="s">
        <v>964</v>
      </c>
      <c r="C143" s="25" t="s">
        <v>1278</v>
      </c>
      <c r="D143" s="25" t="s">
        <v>967</v>
      </c>
      <c r="E143" s="24">
        <v>100</v>
      </c>
      <c r="F143" s="24">
        <v>100</v>
      </c>
    </row>
    <row r="144" spans="1:6" x14ac:dyDescent="0.35">
      <c r="A144" s="25">
        <v>143</v>
      </c>
      <c r="B144" s="25" t="s">
        <v>964</v>
      </c>
      <c r="C144" s="25" t="s">
        <v>1277</v>
      </c>
      <c r="D144" s="25" t="s">
        <v>967</v>
      </c>
      <c r="E144" s="24">
        <v>100</v>
      </c>
      <c r="F144" s="24">
        <v>100</v>
      </c>
    </row>
    <row r="145" spans="1:6" x14ac:dyDescent="0.35">
      <c r="A145" s="25">
        <v>144</v>
      </c>
      <c r="B145" s="25" t="s">
        <v>964</v>
      </c>
      <c r="C145" s="25" t="s">
        <v>1276</v>
      </c>
      <c r="D145" s="25" t="s">
        <v>967</v>
      </c>
      <c r="E145" s="24">
        <v>100</v>
      </c>
      <c r="F145" s="24">
        <v>100</v>
      </c>
    </row>
    <row r="146" spans="1:6" x14ac:dyDescent="0.35">
      <c r="A146" s="25">
        <v>145</v>
      </c>
      <c r="B146" s="25" t="s">
        <v>964</v>
      </c>
      <c r="C146" s="25" t="s">
        <v>1275</v>
      </c>
      <c r="D146" s="25" t="s">
        <v>967</v>
      </c>
      <c r="E146" s="24">
        <v>100</v>
      </c>
      <c r="F146" s="24">
        <v>100</v>
      </c>
    </row>
    <row r="147" spans="1:6" x14ac:dyDescent="0.35">
      <c r="A147" s="25">
        <v>146</v>
      </c>
      <c r="B147" s="25" t="s">
        <v>964</v>
      </c>
      <c r="C147" s="25" t="s">
        <v>1274</v>
      </c>
      <c r="D147" s="25" t="s">
        <v>967</v>
      </c>
      <c r="E147" s="24">
        <v>100</v>
      </c>
      <c r="F147" s="24">
        <v>100</v>
      </c>
    </row>
    <row r="148" spans="1:6" x14ac:dyDescent="0.35">
      <c r="A148" s="25">
        <v>147</v>
      </c>
      <c r="B148" s="25" t="s">
        <v>964</v>
      </c>
      <c r="C148" s="25" t="s">
        <v>1273</v>
      </c>
      <c r="D148" s="25" t="s">
        <v>967</v>
      </c>
      <c r="E148" s="24">
        <v>100</v>
      </c>
      <c r="F148" s="24">
        <v>100</v>
      </c>
    </row>
    <row r="149" spans="1:6" x14ac:dyDescent="0.35">
      <c r="A149" s="25">
        <v>148</v>
      </c>
      <c r="B149" s="25" t="s">
        <v>964</v>
      </c>
      <c r="C149" s="25" t="s">
        <v>313</v>
      </c>
      <c r="D149" s="25" t="s">
        <v>967</v>
      </c>
      <c r="E149" s="26">
        <f>VLOOKUP(C149,'Device Wise Uptime '!B:D,3,0)</f>
        <v>100.53787037037037</v>
      </c>
      <c r="F149" s="26">
        <f>VLOOKUP(C149,'Device Wise Uptime '!B:F,5,0)</f>
        <v>94.207908950617281</v>
      </c>
    </row>
    <row r="150" spans="1:6" x14ac:dyDescent="0.35">
      <c r="A150" s="25">
        <v>149</v>
      </c>
      <c r="B150" s="25" t="s">
        <v>964</v>
      </c>
      <c r="C150" s="25" t="s">
        <v>1272</v>
      </c>
      <c r="D150" s="25" t="s">
        <v>967</v>
      </c>
      <c r="E150" s="24">
        <v>100</v>
      </c>
      <c r="F150" s="24">
        <v>100</v>
      </c>
    </row>
    <row r="151" spans="1:6" x14ac:dyDescent="0.35">
      <c r="A151" s="25">
        <v>150</v>
      </c>
      <c r="B151" s="25" t="s">
        <v>964</v>
      </c>
      <c r="C151" s="25" t="s">
        <v>943</v>
      </c>
      <c r="D151" s="25" t="s">
        <v>967</v>
      </c>
      <c r="E151" s="26">
        <f>VLOOKUP(C151,'Device Wise Uptime '!B:D,3,0)</f>
        <v>99.984236111111116</v>
      </c>
      <c r="F151" s="26">
        <f>VLOOKUP(C151,'Device Wise Uptime '!B:F,5,0)</f>
        <v>98.647646604938274</v>
      </c>
    </row>
    <row r="152" spans="1:6" x14ac:dyDescent="0.35">
      <c r="A152" s="25">
        <v>151</v>
      </c>
      <c r="B152" s="25" t="s">
        <v>964</v>
      </c>
      <c r="C152" s="25" t="s">
        <v>1271</v>
      </c>
      <c r="D152" s="25" t="s">
        <v>967</v>
      </c>
      <c r="E152" s="24">
        <v>100</v>
      </c>
      <c r="F152" s="24">
        <v>100</v>
      </c>
    </row>
    <row r="153" spans="1:6" x14ac:dyDescent="0.35">
      <c r="A153" s="25">
        <v>152</v>
      </c>
      <c r="B153" s="25" t="s">
        <v>964</v>
      </c>
      <c r="C153" s="25" t="s">
        <v>1270</v>
      </c>
      <c r="D153" s="25" t="s">
        <v>967</v>
      </c>
      <c r="E153" s="24">
        <v>100</v>
      </c>
      <c r="F153" s="24">
        <v>100</v>
      </c>
    </row>
    <row r="154" spans="1:6" x14ac:dyDescent="0.35">
      <c r="A154" s="25">
        <v>153</v>
      </c>
      <c r="B154" s="25" t="s">
        <v>964</v>
      </c>
      <c r="C154" s="25" t="s">
        <v>1269</v>
      </c>
      <c r="D154" s="25" t="s">
        <v>967</v>
      </c>
      <c r="E154" s="24">
        <v>100</v>
      </c>
      <c r="F154" s="24">
        <v>100</v>
      </c>
    </row>
    <row r="155" spans="1:6" x14ac:dyDescent="0.35">
      <c r="A155" s="25">
        <v>154</v>
      </c>
      <c r="B155" s="25" t="s">
        <v>964</v>
      </c>
      <c r="C155" s="25" t="s">
        <v>1268</v>
      </c>
      <c r="D155" s="25" t="s">
        <v>967</v>
      </c>
      <c r="E155" s="24">
        <v>100</v>
      </c>
      <c r="F155" s="24">
        <v>100</v>
      </c>
    </row>
    <row r="156" spans="1:6" x14ac:dyDescent="0.35">
      <c r="A156" s="25">
        <v>155</v>
      </c>
      <c r="B156" s="25" t="s">
        <v>964</v>
      </c>
      <c r="C156" s="25" t="s">
        <v>1267</v>
      </c>
      <c r="D156" s="25" t="s">
        <v>967</v>
      </c>
      <c r="E156" s="24">
        <v>100</v>
      </c>
      <c r="F156" s="24">
        <v>100</v>
      </c>
    </row>
    <row r="157" spans="1:6" x14ac:dyDescent="0.35">
      <c r="A157" s="25">
        <v>156</v>
      </c>
      <c r="B157" s="25" t="s">
        <v>964</v>
      </c>
      <c r="C157" s="25" t="s">
        <v>1266</v>
      </c>
      <c r="D157" s="25" t="s">
        <v>967</v>
      </c>
      <c r="E157" s="24">
        <v>100</v>
      </c>
      <c r="F157" s="24">
        <v>100</v>
      </c>
    </row>
    <row r="158" spans="1:6" x14ac:dyDescent="0.35">
      <c r="A158" s="25">
        <v>157</v>
      </c>
      <c r="B158" s="25" t="s">
        <v>964</v>
      </c>
      <c r="C158" s="25" t="s">
        <v>843</v>
      </c>
      <c r="D158" s="25" t="s">
        <v>967</v>
      </c>
      <c r="E158" s="26">
        <f>VLOOKUP(C158,'Device Wise Uptime '!B:D,3,0)</f>
        <v>99.973148148148155</v>
      </c>
      <c r="F158" s="26">
        <f>VLOOKUP(C158,'Device Wise Uptime '!B:F,5,0)</f>
        <v>92.498726851851856</v>
      </c>
    </row>
    <row r="159" spans="1:6" x14ac:dyDescent="0.35">
      <c r="A159" s="25">
        <v>158</v>
      </c>
      <c r="B159" s="25" t="s">
        <v>964</v>
      </c>
      <c r="C159" s="25" t="s">
        <v>1265</v>
      </c>
      <c r="D159" s="25" t="s">
        <v>967</v>
      </c>
      <c r="E159" s="24">
        <v>100</v>
      </c>
      <c r="F159" s="24">
        <v>100</v>
      </c>
    </row>
    <row r="160" spans="1:6" x14ac:dyDescent="0.35">
      <c r="A160" s="25">
        <v>159</v>
      </c>
      <c r="B160" s="25" t="s">
        <v>964</v>
      </c>
      <c r="C160" s="25" t="s">
        <v>1264</v>
      </c>
      <c r="D160" s="25" t="s">
        <v>967</v>
      </c>
      <c r="E160" s="24">
        <v>100</v>
      </c>
      <c r="F160" s="24">
        <v>100</v>
      </c>
    </row>
    <row r="161" spans="1:6" x14ac:dyDescent="0.35">
      <c r="A161" s="25">
        <v>160</v>
      </c>
      <c r="B161" s="25" t="s">
        <v>964</v>
      </c>
      <c r="C161" s="25" t="s">
        <v>323</v>
      </c>
      <c r="D161" s="25" t="s">
        <v>967</v>
      </c>
      <c r="E161" s="26">
        <f>VLOOKUP(C161,'Device Wise Uptime '!B:D,3,0)</f>
        <v>99.96672067901234</v>
      </c>
      <c r="F161" s="26">
        <f>VLOOKUP(C161,'Device Wise Uptime '!B:F,5,0)</f>
        <v>99.877762345679017</v>
      </c>
    </row>
    <row r="162" spans="1:6" x14ac:dyDescent="0.35">
      <c r="A162" s="25">
        <v>161</v>
      </c>
      <c r="B162" s="25" t="s">
        <v>964</v>
      </c>
      <c r="C162" s="25" t="s">
        <v>1263</v>
      </c>
      <c r="D162" s="25" t="s">
        <v>967</v>
      </c>
      <c r="E162" s="24">
        <v>100</v>
      </c>
      <c r="F162" s="24">
        <v>100</v>
      </c>
    </row>
    <row r="163" spans="1:6" x14ac:dyDescent="0.35">
      <c r="A163" s="25">
        <v>162</v>
      </c>
      <c r="B163" s="25" t="s">
        <v>964</v>
      </c>
      <c r="C163" s="25" t="s">
        <v>949</v>
      </c>
      <c r="D163" s="25" t="s">
        <v>967</v>
      </c>
      <c r="E163" s="26">
        <f>VLOOKUP(C163,'Device Wise Uptime '!B:D,3,0)</f>
        <v>99.831967592592591</v>
      </c>
      <c r="F163" s="26">
        <f>VLOOKUP(C163,'Device Wise Uptime '!B:F,5,0)</f>
        <v>92.439351851851853</v>
      </c>
    </row>
    <row r="164" spans="1:6" x14ac:dyDescent="0.35">
      <c r="A164" s="25">
        <v>163</v>
      </c>
      <c r="B164" s="25" t="s">
        <v>964</v>
      </c>
      <c r="C164" s="25" t="s">
        <v>948</v>
      </c>
      <c r="D164" s="25" t="s">
        <v>967</v>
      </c>
      <c r="E164" s="26">
        <f>VLOOKUP(C164,'Device Wise Uptime '!B:D,3,0)</f>
        <v>99.814467592592592</v>
      </c>
      <c r="F164" s="26">
        <f>VLOOKUP(C164,'Device Wise Uptime '!B:F,5,0)</f>
        <v>94.299266975308655</v>
      </c>
    </row>
    <row r="165" spans="1:6" x14ac:dyDescent="0.35">
      <c r="A165" s="25">
        <v>164</v>
      </c>
      <c r="B165" s="25" t="s">
        <v>964</v>
      </c>
      <c r="C165" s="25" t="s">
        <v>1262</v>
      </c>
      <c r="D165" s="25" t="s">
        <v>967</v>
      </c>
      <c r="E165" s="24">
        <v>100</v>
      </c>
      <c r="F165" s="24">
        <v>100</v>
      </c>
    </row>
    <row r="166" spans="1:6" x14ac:dyDescent="0.35">
      <c r="A166" s="25">
        <v>165</v>
      </c>
      <c r="B166" s="25" t="s">
        <v>964</v>
      </c>
      <c r="C166" s="25" t="s">
        <v>1261</v>
      </c>
      <c r="D166" s="25" t="s">
        <v>967</v>
      </c>
      <c r="E166" s="24">
        <v>100</v>
      </c>
      <c r="F166" s="24">
        <v>100</v>
      </c>
    </row>
    <row r="167" spans="1:6" x14ac:dyDescent="0.35">
      <c r="A167" s="25">
        <v>166</v>
      </c>
      <c r="B167" s="25" t="s">
        <v>964</v>
      </c>
      <c r="C167" s="25" t="s">
        <v>1260</v>
      </c>
      <c r="D167" s="25" t="s">
        <v>967</v>
      </c>
      <c r="E167" s="24">
        <v>100</v>
      </c>
      <c r="F167" s="24">
        <v>100</v>
      </c>
    </row>
    <row r="168" spans="1:6" x14ac:dyDescent="0.35">
      <c r="A168" s="25">
        <v>167</v>
      </c>
      <c r="B168" s="25" t="s">
        <v>964</v>
      </c>
      <c r="C168" s="25" t="s">
        <v>1259</v>
      </c>
      <c r="D168" s="25" t="s">
        <v>967</v>
      </c>
      <c r="E168" s="24">
        <v>100</v>
      </c>
      <c r="F168" s="24">
        <v>100</v>
      </c>
    </row>
    <row r="169" spans="1:6" x14ac:dyDescent="0.35">
      <c r="A169" s="25">
        <v>168</v>
      </c>
      <c r="B169" s="25" t="s">
        <v>964</v>
      </c>
      <c r="C169" s="29" t="s">
        <v>1258</v>
      </c>
      <c r="D169" s="25" t="s">
        <v>967</v>
      </c>
      <c r="E169" s="24">
        <v>100</v>
      </c>
      <c r="F169" s="24">
        <v>100</v>
      </c>
    </row>
    <row r="170" spans="1:6" x14ac:dyDescent="0.35">
      <c r="A170" s="25">
        <v>169</v>
      </c>
      <c r="B170" s="25" t="s">
        <v>964</v>
      </c>
      <c r="C170" s="29" t="s">
        <v>1257</v>
      </c>
      <c r="D170" s="25" t="s">
        <v>967</v>
      </c>
      <c r="E170" s="24">
        <v>100</v>
      </c>
      <c r="F170" s="24">
        <v>100</v>
      </c>
    </row>
    <row r="171" spans="1:6" x14ac:dyDescent="0.35">
      <c r="A171" s="25">
        <v>170</v>
      </c>
      <c r="B171" s="25" t="s">
        <v>964</v>
      </c>
      <c r="C171" s="25" t="s">
        <v>1256</v>
      </c>
      <c r="D171" s="25" t="s">
        <v>967</v>
      </c>
      <c r="E171" s="24">
        <v>100</v>
      </c>
      <c r="F171" s="24">
        <v>100</v>
      </c>
    </row>
    <row r="172" spans="1:6" x14ac:dyDescent="0.35">
      <c r="A172" s="25">
        <v>171</v>
      </c>
      <c r="B172" s="25" t="s">
        <v>964</v>
      </c>
      <c r="C172" s="25" t="s">
        <v>1255</v>
      </c>
      <c r="D172" s="25" t="s">
        <v>967</v>
      </c>
      <c r="E172" s="24">
        <v>100</v>
      </c>
      <c r="F172" s="24">
        <v>100</v>
      </c>
    </row>
    <row r="173" spans="1:6" x14ac:dyDescent="0.35">
      <c r="A173" s="25">
        <v>172</v>
      </c>
      <c r="B173" s="25" t="s">
        <v>965</v>
      </c>
      <c r="C173" s="25" t="s">
        <v>1254</v>
      </c>
      <c r="D173" s="25" t="s">
        <v>967</v>
      </c>
      <c r="E173" s="24">
        <v>100</v>
      </c>
      <c r="F173" s="24">
        <v>100</v>
      </c>
    </row>
    <row r="174" spans="1:6" x14ac:dyDescent="0.35">
      <c r="A174" s="25">
        <v>173</v>
      </c>
      <c r="B174" s="25" t="s">
        <v>965</v>
      </c>
      <c r="C174" s="25" t="s">
        <v>1253</v>
      </c>
      <c r="D174" s="25" t="s">
        <v>967</v>
      </c>
      <c r="E174" s="24">
        <v>100</v>
      </c>
      <c r="F174" s="24">
        <v>100</v>
      </c>
    </row>
    <row r="175" spans="1:6" x14ac:dyDescent="0.35">
      <c r="A175" s="25">
        <v>174</v>
      </c>
      <c r="B175" s="25" t="s">
        <v>965</v>
      </c>
      <c r="C175" s="25" t="s">
        <v>1252</v>
      </c>
      <c r="D175" s="25" t="s">
        <v>967</v>
      </c>
      <c r="E175" s="24">
        <v>100</v>
      </c>
      <c r="F175" s="24">
        <v>100</v>
      </c>
    </row>
    <row r="176" spans="1:6" x14ac:dyDescent="0.35">
      <c r="A176" s="25">
        <v>175</v>
      </c>
      <c r="B176" s="25" t="s">
        <v>965</v>
      </c>
      <c r="C176" s="25" t="s">
        <v>1251</v>
      </c>
      <c r="D176" s="25" t="s">
        <v>967</v>
      </c>
      <c r="E176" s="24">
        <v>100</v>
      </c>
      <c r="F176" s="24">
        <v>100</v>
      </c>
    </row>
    <row r="177" spans="1:6" x14ac:dyDescent="0.35">
      <c r="A177" s="25">
        <v>176</v>
      </c>
      <c r="B177" s="25" t="s">
        <v>965</v>
      </c>
      <c r="C177" s="25" t="s">
        <v>1250</v>
      </c>
      <c r="D177" s="25" t="s">
        <v>1235</v>
      </c>
      <c r="E177" s="24">
        <v>100</v>
      </c>
      <c r="F177" s="24">
        <v>100</v>
      </c>
    </row>
    <row r="178" spans="1:6" x14ac:dyDescent="0.35">
      <c r="A178" s="25">
        <v>177</v>
      </c>
      <c r="B178" s="25" t="s">
        <v>965</v>
      </c>
      <c r="C178" s="25" t="s">
        <v>1249</v>
      </c>
      <c r="D178" s="25" t="s">
        <v>967</v>
      </c>
      <c r="E178" s="24">
        <v>100</v>
      </c>
      <c r="F178" s="24">
        <v>100</v>
      </c>
    </row>
    <row r="179" spans="1:6" x14ac:dyDescent="0.35">
      <c r="A179" s="25">
        <v>178</v>
      </c>
      <c r="B179" s="25" t="s">
        <v>965</v>
      </c>
      <c r="C179" s="25" t="s">
        <v>1248</v>
      </c>
      <c r="D179" s="25" t="s">
        <v>967</v>
      </c>
      <c r="E179" s="24">
        <v>100</v>
      </c>
      <c r="F179" s="24">
        <v>100</v>
      </c>
    </row>
    <row r="180" spans="1:6" x14ac:dyDescent="0.35">
      <c r="A180" s="25">
        <v>179</v>
      </c>
      <c r="B180" s="25" t="s">
        <v>965</v>
      </c>
      <c r="C180" s="25" t="s">
        <v>1247</v>
      </c>
      <c r="D180" s="25" t="s">
        <v>967</v>
      </c>
      <c r="E180" s="24">
        <v>100</v>
      </c>
      <c r="F180" s="24">
        <v>100</v>
      </c>
    </row>
    <row r="181" spans="1:6" x14ac:dyDescent="0.35">
      <c r="A181" s="25">
        <v>180</v>
      </c>
      <c r="B181" s="25" t="s">
        <v>965</v>
      </c>
      <c r="C181" s="25" t="s">
        <v>1246</v>
      </c>
      <c r="D181" s="25" t="s">
        <v>967</v>
      </c>
      <c r="E181" s="24">
        <v>100</v>
      </c>
      <c r="F181" s="24">
        <v>100</v>
      </c>
    </row>
    <row r="182" spans="1:6" x14ac:dyDescent="0.35">
      <c r="A182" s="25">
        <v>181</v>
      </c>
      <c r="B182" s="25" t="s">
        <v>965</v>
      </c>
      <c r="C182" s="25" t="s">
        <v>1245</v>
      </c>
      <c r="D182" s="25" t="s">
        <v>967</v>
      </c>
      <c r="E182" s="24">
        <v>100</v>
      </c>
      <c r="F182" s="24">
        <v>100</v>
      </c>
    </row>
    <row r="183" spans="1:6" x14ac:dyDescent="0.35">
      <c r="A183" s="25">
        <v>182</v>
      </c>
      <c r="B183" s="25" t="s">
        <v>965</v>
      </c>
      <c r="C183" s="25" t="s">
        <v>1244</v>
      </c>
      <c r="D183" s="25" t="s">
        <v>967</v>
      </c>
      <c r="E183" s="24">
        <v>100</v>
      </c>
      <c r="F183" s="24">
        <v>100</v>
      </c>
    </row>
    <row r="184" spans="1:6" x14ac:dyDescent="0.35">
      <c r="A184" s="25">
        <v>183</v>
      </c>
      <c r="B184" s="25" t="s">
        <v>965</v>
      </c>
      <c r="C184" s="25" t="s">
        <v>1243</v>
      </c>
      <c r="D184" s="25" t="s">
        <v>967</v>
      </c>
      <c r="E184" s="24">
        <v>100</v>
      </c>
      <c r="F184" s="24">
        <v>100</v>
      </c>
    </row>
    <row r="185" spans="1:6" x14ac:dyDescent="0.35">
      <c r="A185" s="25">
        <v>184</v>
      </c>
      <c r="B185" s="25" t="s">
        <v>965</v>
      </c>
      <c r="C185" s="25" t="s">
        <v>1242</v>
      </c>
      <c r="D185" s="25" t="s">
        <v>1240</v>
      </c>
      <c r="E185" s="24">
        <v>100</v>
      </c>
      <c r="F185" s="24">
        <v>100</v>
      </c>
    </row>
    <row r="186" spans="1:6" x14ac:dyDescent="0.35">
      <c r="A186" s="25">
        <v>185</v>
      </c>
      <c r="B186" s="25" t="s">
        <v>965</v>
      </c>
      <c r="C186" s="25" t="s">
        <v>1241</v>
      </c>
      <c r="D186" s="25" t="s">
        <v>1240</v>
      </c>
      <c r="E186" s="24">
        <v>100</v>
      </c>
      <c r="F186" s="24">
        <v>100</v>
      </c>
    </row>
    <row r="187" spans="1:6" x14ac:dyDescent="0.35">
      <c r="A187" s="25">
        <v>186</v>
      </c>
      <c r="B187" s="25" t="s">
        <v>965</v>
      </c>
      <c r="C187" s="25" t="s">
        <v>1239</v>
      </c>
      <c r="D187" s="25" t="s">
        <v>1237</v>
      </c>
      <c r="E187" s="24">
        <v>100</v>
      </c>
      <c r="F187" s="24">
        <v>100</v>
      </c>
    </row>
    <row r="188" spans="1:6" x14ac:dyDescent="0.35">
      <c r="A188" s="25">
        <v>187</v>
      </c>
      <c r="B188" s="25" t="s">
        <v>965</v>
      </c>
      <c r="C188" s="25" t="s">
        <v>1238</v>
      </c>
      <c r="D188" s="25" t="s">
        <v>1237</v>
      </c>
      <c r="E188" s="24">
        <v>100</v>
      </c>
      <c r="F188" s="24">
        <v>100</v>
      </c>
    </row>
    <row r="189" spans="1:6" x14ac:dyDescent="0.35">
      <c r="A189" s="25">
        <v>188</v>
      </c>
      <c r="B189" s="25" t="s">
        <v>965</v>
      </c>
      <c r="C189" s="25" t="s">
        <v>1236</v>
      </c>
      <c r="D189" s="25" t="s">
        <v>1235</v>
      </c>
      <c r="E189" s="24">
        <v>100</v>
      </c>
      <c r="F189" s="24">
        <v>100</v>
      </c>
    </row>
    <row r="190" spans="1:6" x14ac:dyDescent="0.35">
      <c r="A190" s="25">
        <v>189</v>
      </c>
      <c r="B190" s="25" t="s">
        <v>965</v>
      </c>
      <c r="C190" s="25" t="s">
        <v>1234</v>
      </c>
      <c r="D190" s="25" t="s">
        <v>973</v>
      </c>
      <c r="E190" s="24">
        <v>100</v>
      </c>
      <c r="F190" s="24">
        <v>100</v>
      </c>
    </row>
    <row r="191" spans="1:6" x14ac:dyDescent="0.35">
      <c r="A191" s="25">
        <v>190</v>
      </c>
      <c r="B191" s="25" t="s">
        <v>965</v>
      </c>
      <c r="C191" s="25" t="s">
        <v>1233</v>
      </c>
      <c r="D191" s="25" t="s">
        <v>973</v>
      </c>
      <c r="E191" s="24">
        <v>100</v>
      </c>
      <c r="F191" s="24">
        <v>100</v>
      </c>
    </row>
    <row r="192" spans="1:6" x14ac:dyDescent="0.35">
      <c r="A192" s="25">
        <v>191</v>
      </c>
      <c r="B192" s="25" t="s">
        <v>965</v>
      </c>
      <c r="C192" s="25" t="s">
        <v>1232</v>
      </c>
      <c r="D192" s="25" t="s">
        <v>973</v>
      </c>
      <c r="E192" s="24">
        <v>100</v>
      </c>
      <c r="F192" s="24">
        <v>100</v>
      </c>
    </row>
    <row r="193" spans="1:6" x14ac:dyDescent="0.35">
      <c r="A193" s="25">
        <v>192</v>
      </c>
      <c r="B193" s="25" t="s">
        <v>965</v>
      </c>
      <c r="C193" s="25" t="s">
        <v>1231</v>
      </c>
      <c r="D193" s="25" t="s">
        <v>973</v>
      </c>
      <c r="E193" s="24">
        <v>100</v>
      </c>
      <c r="F193" s="24">
        <v>100</v>
      </c>
    </row>
    <row r="194" spans="1:6" x14ac:dyDescent="0.35">
      <c r="A194" s="25">
        <v>193</v>
      </c>
      <c r="B194" s="25" t="s">
        <v>965</v>
      </c>
      <c r="C194" s="25" t="s">
        <v>1230</v>
      </c>
      <c r="D194" s="25" t="s">
        <v>973</v>
      </c>
      <c r="E194" s="24">
        <v>100</v>
      </c>
      <c r="F194" s="24">
        <v>100</v>
      </c>
    </row>
    <row r="195" spans="1:6" x14ac:dyDescent="0.35">
      <c r="A195" s="25">
        <v>194</v>
      </c>
      <c r="B195" s="25" t="s">
        <v>965</v>
      </c>
      <c r="C195" s="25" t="s">
        <v>1229</v>
      </c>
      <c r="D195" s="25" t="s">
        <v>973</v>
      </c>
      <c r="E195" s="24">
        <v>100</v>
      </c>
      <c r="F195" s="24">
        <v>100</v>
      </c>
    </row>
    <row r="196" spans="1:6" x14ac:dyDescent="0.35">
      <c r="A196" s="25">
        <v>195</v>
      </c>
      <c r="B196" s="25" t="s">
        <v>965</v>
      </c>
      <c r="C196" s="25" t="s">
        <v>1228</v>
      </c>
      <c r="D196" s="25" t="s">
        <v>973</v>
      </c>
      <c r="E196" s="24">
        <v>100</v>
      </c>
      <c r="F196" s="24">
        <v>100</v>
      </c>
    </row>
    <row r="197" spans="1:6" x14ac:dyDescent="0.35">
      <c r="A197" s="25">
        <v>196</v>
      </c>
      <c r="B197" s="25" t="s">
        <v>965</v>
      </c>
      <c r="C197" s="25" t="s">
        <v>1227</v>
      </c>
      <c r="D197" s="25" t="s">
        <v>973</v>
      </c>
      <c r="E197" s="24">
        <v>100</v>
      </c>
      <c r="F197" s="24">
        <v>100</v>
      </c>
    </row>
    <row r="198" spans="1:6" x14ac:dyDescent="0.35">
      <c r="A198" s="25">
        <v>197</v>
      </c>
      <c r="B198" s="25" t="s">
        <v>965</v>
      </c>
      <c r="C198" s="25" t="s">
        <v>1226</v>
      </c>
      <c r="D198" s="25" t="s">
        <v>973</v>
      </c>
      <c r="E198" s="24">
        <v>100</v>
      </c>
      <c r="F198" s="24">
        <v>100</v>
      </c>
    </row>
    <row r="199" spans="1:6" x14ac:dyDescent="0.35">
      <c r="A199" s="25">
        <v>198</v>
      </c>
      <c r="B199" s="25" t="s">
        <v>965</v>
      </c>
      <c r="C199" s="25" t="s">
        <v>1225</v>
      </c>
      <c r="D199" s="25" t="s">
        <v>973</v>
      </c>
      <c r="E199" s="24">
        <v>100</v>
      </c>
      <c r="F199" s="24">
        <v>100</v>
      </c>
    </row>
    <row r="200" spans="1:6" x14ac:dyDescent="0.35">
      <c r="A200" s="25">
        <v>199</v>
      </c>
      <c r="B200" s="25" t="s">
        <v>965</v>
      </c>
      <c r="C200" s="25" t="s">
        <v>852</v>
      </c>
      <c r="D200" s="25" t="s">
        <v>973</v>
      </c>
      <c r="E200" s="26">
        <f>VLOOKUP(C200,'Device Wise Uptime '!B:D,3,0)</f>
        <v>99.977260802469132</v>
      </c>
      <c r="F200" s="26">
        <f>VLOOKUP(C200,'Device Wise Uptime '!B:F,5,0)</f>
        <v>95.772299382716042</v>
      </c>
    </row>
    <row r="201" spans="1:6" x14ac:dyDescent="0.35">
      <c r="A201" s="25">
        <v>200</v>
      </c>
      <c r="B201" s="25" t="s">
        <v>965</v>
      </c>
      <c r="C201" s="25" t="s">
        <v>1224</v>
      </c>
      <c r="D201" s="25" t="s">
        <v>973</v>
      </c>
      <c r="E201" s="24">
        <v>100</v>
      </c>
      <c r="F201" s="24">
        <v>100</v>
      </c>
    </row>
    <row r="202" spans="1:6" x14ac:dyDescent="0.35">
      <c r="A202" s="25">
        <v>201</v>
      </c>
      <c r="B202" s="25" t="s">
        <v>965</v>
      </c>
      <c r="C202" s="25" t="s">
        <v>1223</v>
      </c>
      <c r="D202" s="25" t="s">
        <v>973</v>
      </c>
      <c r="E202" s="24">
        <v>100</v>
      </c>
      <c r="F202" s="24">
        <v>100</v>
      </c>
    </row>
    <row r="203" spans="1:6" x14ac:dyDescent="0.35">
      <c r="A203" s="25">
        <v>202</v>
      </c>
      <c r="B203" s="25" t="s">
        <v>965</v>
      </c>
      <c r="C203" s="25" t="s">
        <v>1222</v>
      </c>
      <c r="D203" s="25" t="s">
        <v>973</v>
      </c>
      <c r="E203" s="24">
        <v>100</v>
      </c>
      <c r="F203" s="24">
        <v>100</v>
      </c>
    </row>
    <row r="204" spans="1:6" x14ac:dyDescent="0.35">
      <c r="A204" s="25">
        <v>203</v>
      </c>
      <c r="B204" s="25" t="s">
        <v>965</v>
      </c>
      <c r="C204" s="25" t="s">
        <v>1221</v>
      </c>
      <c r="D204" s="25" t="s">
        <v>973</v>
      </c>
      <c r="E204" s="24">
        <v>100</v>
      </c>
      <c r="F204" s="24">
        <v>100</v>
      </c>
    </row>
    <row r="205" spans="1:6" x14ac:dyDescent="0.35">
      <c r="A205" s="25">
        <v>204</v>
      </c>
      <c r="B205" s="25" t="s">
        <v>965</v>
      </c>
      <c r="C205" s="25" t="s">
        <v>1220</v>
      </c>
      <c r="D205" s="25" t="s">
        <v>973</v>
      </c>
      <c r="E205" s="24">
        <v>100</v>
      </c>
      <c r="F205" s="24">
        <v>100</v>
      </c>
    </row>
    <row r="206" spans="1:6" x14ac:dyDescent="0.35">
      <c r="A206" s="25">
        <v>205</v>
      </c>
      <c r="B206" s="25" t="s">
        <v>965</v>
      </c>
      <c r="C206" s="25" t="s">
        <v>1219</v>
      </c>
      <c r="D206" s="25" t="s">
        <v>973</v>
      </c>
      <c r="E206" s="24">
        <v>100</v>
      </c>
      <c r="F206" s="24">
        <v>100</v>
      </c>
    </row>
    <row r="207" spans="1:6" x14ac:dyDescent="0.35">
      <c r="A207" s="25">
        <v>206</v>
      </c>
      <c r="B207" s="25" t="s">
        <v>965</v>
      </c>
      <c r="C207" s="25" t="s">
        <v>1218</v>
      </c>
      <c r="D207" s="25" t="s">
        <v>973</v>
      </c>
      <c r="E207" s="24">
        <v>100</v>
      </c>
      <c r="F207" s="24">
        <v>100</v>
      </c>
    </row>
    <row r="208" spans="1:6" x14ac:dyDescent="0.35">
      <c r="A208" s="25">
        <v>207</v>
      </c>
      <c r="B208" s="25" t="s">
        <v>965</v>
      </c>
      <c r="C208" s="25" t="s">
        <v>1217</v>
      </c>
      <c r="D208" s="25" t="s">
        <v>973</v>
      </c>
      <c r="E208" s="24">
        <v>100</v>
      </c>
      <c r="F208" s="24">
        <v>100</v>
      </c>
    </row>
    <row r="209" spans="1:6" x14ac:dyDescent="0.35">
      <c r="A209" s="25">
        <v>208</v>
      </c>
      <c r="B209" s="25" t="s">
        <v>965</v>
      </c>
      <c r="C209" s="25" t="s">
        <v>1216</v>
      </c>
      <c r="D209" s="25" t="s">
        <v>973</v>
      </c>
      <c r="E209" s="24">
        <v>100</v>
      </c>
      <c r="F209" s="24">
        <v>100</v>
      </c>
    </row>
    <row r="210" spans="1:6" x14ac:dyDescent="0.35">
      <c r="A210" s="25">
        <v>209</v>
      </c>
      <c r="B210" s="25" t="s">
        <v>965</v>
      </c>
      <c r="C210" s="25" t="s">
        <v>1215</v>
      </c>
      <c r="D210" s="25" t="s">
        <v>973</v>
      </c>
      <c r="E210" s="24">
        <v>100</v>
      </c>
      <c r="F210" s="24">
        <v>100</v>
      </c>
    </row>
    <row r="211" spans="1:6" x14ac:dyDescent="0.35">
      <c r="A211" s="25">
        <v>210</v>
      </c>
      <c r="B211" s="25" t="s">
        <v>965</v>
      </c>
      <c r="C211" s="25" t="s">
        <v>1214</v>
      </c>
      <c r="D211" s="25" t="s">
        <v>973</v>
      </c>
      <c r="E211" s="24">
        <v>100</v>
      </c>
      <c r="F211" s="24">
        <v>100</v>
      </c>
    </row>
    <row r="212" spans="1:6" x14ac:dyDescent="0.35">
      <c r="A212" s="25">
        <v>211</v>
      </c>
      <c r="B212" s="25" t="s">
        <v>965</v>
      </c>
      <c r="C212" s="25" t="s">
        <v>1213</v>
      </c>
      <c r="D212" s="25" t="s">
        <v>973</v>
      </c>
      <c r="E212" s="24">
        <v>100</v>
      </c>
      <c r="F212" s="24">
        <v>100</v>
      </c>
    </row>
    <row r="213" spans="1:6" x14ac:dyDescent="0.35">
      <c r="A213" s="25">
        <v>212</v>
      </c>
      <c r="B213" s="25" t="s">
        <v>965</v>
      </c>
      <c r="C213" s="25" t="s">
        <v>1212</v>
      </c>
      <c r="D213" s="25" t="s">
        <v>973</v>
      </c>
      <c r="E213" s="24">
        <v>100</v>
      </c>
      <c r="F213" s="24">
        <v>100</v>
      </c>
    </row>
    <row r="214" spans="1:6" x14ac:dyDescent="0.35">
      <c r="A214" s="25">
        <v>213</v>
      </c>
      <c r="B214" s="25" t="s">
        <v>965</v>
      </c>
      <c r="C214" s="25" t="s">
        <v>1211</v>
      </c>
      <c r="D214" s="25" t="s">
        <v>973</v>
      </c>
      <c r="E214" s="24">
        <v>100</v>
      </c>
      <c r="F214" s="24">
        <v>100</v>
      </c>
    </row>
    <row r="215" spans="1:6" x14ac:dyDescent="0.35">
      <c r="A215" s="25">
        <v>214</v>
      </c>
      <c r="B215" s="25" t="s">
        <v>965</v>
      </c>
      <c r="C215" s="25" t="s">
        <v>1210</v>
      </c>
      <c r="D215" s="25" t="s">
        <v>973</v>
      </c>
      <c r="E215" s="24">
        <v>100</v>
      </c>
      <c r="F215" s="24">
        <v>100</v>
      </c>
    </row>
    <row r="216" spans="1:6" x14ac:dyDescent="0.35">
      <c r="A216" s="25">
        <v>215</v>
      </c>
      <c r="B216" s="25" t="s">
        <v>965</v>
      </c>
      <c r="C216" s="25" t="s">
        <v>1209</v>
      </c>
      <c r="D216" s="25" t="s">
        <v>973</v>
      </c>
      <c r="E216" s="24">
        <v>100</v>
      </c>
      <c r="F216" s="24">
        <v>100</v>
      </c>
    </row>
    <row r="217" spans="1:6" x14ac:dyDescent="0.35">
      <c r="A217" s="25">
        <v>216</v>
      </c>
      <c r="B217" s="25" t="s">
        <v>965</v>
      </c>
      <c r="C217" s="25" t="s">
        <v>1208</v>
      </c>
      <c r="D217" s="25" t="s">
        <v>973</v>
      </c>
      <c r="E217" s="24">
        <v>100</v>
      </c>
      <c r="F217" s="24">
        <v>100</v>
      </c>
    </row>
    <row r="218" spans="1:6" x14ac:dyDescent="0.35">
      <c r="A218" s="25">
        <v>217</v>
      </c>
      <c r="B218" s="25" t="s">
        <v>965</v>
      </c>
      <c r="C218" s="25" t="s">
        <v>1207</v>
      </c>
      <c r="D218" s="25" t="s">
        <v>973</v>
      </c>
      <c r="E218" s="24">
        <v>100</v>
      </c>
      <c r="F218" s="24">
        <v>100</v>
      </c>
    </row>
    <row r="219" spans="1:6" x14ac:dyDescent="0.35">
      <c r="A219" s="25">
        <v>218</v>
      </c>
      <c r="B219" s="25" t="s">
        <v>965</v>
      </c>
      <c r="C219" s="25" t="s">
        <v>1206</v>
      </c>
      <c r="D219" s="25" t="s">
        <v>973</v>
      </c>
      <c r="E219" s="24">
        <v>100</v>
      </c>
      <c r="F219" s="24">
        <v>100</v>
      </c>
    </row>
    <row r="220" spans="1:6" x14ac:dyDescent="0.35">
      <c r="A220" s="25">
        <v>219</v>
      </c>
      <c r="B220" s="25" t="s">
        <v>965</v>
      </c>
      <c r="C220" s="25" t="s">
        <v>1205</v>
      </c>
      <c r="D220" s="25" t="s">
        <v>973</v>
      </c>
      <c r="E220" s="24">
        <v>100</v>
      </c>
      <c r="F220" s="24">
        <v>100</v>
      </c>
    </row>
    <row r="221" spans="1:6" x14ac:dyDescent="0.35">
      <c r="A221" s="25">
        <v>220</v>
      </c>
      <c r="B221" s="25" t="s">
        <v>965</v>
      </c>
      <c r="C221" s="25" t="s">
        <v>1204</v>
      </c>
      <c r="D221" s="25" t="s">
        <v>973</v>
      </c>
      <c r="E221" s="24">
        <v>100</v>
      </c>
      <c r="F221" s="24">
        <v>100</v>
      </c>
    </row>
    <row r="222" spans="1:6" x14ac:dyDescent="0.35">
      <c r="A222" s="25">
        <v>221</v>
      </c>
      <c r="B222" s="25" t="s">
        <v>965</v>
      </c>
      <c r="C222" s="25" t="s">
        <v>1203</v>
      </c>
      <c r="D222" s="25" t="s">
        <v>973</v>
      </c>
      <c r="E222" s="24">
        <v>100</v>
      </c>
      <c r="F222" s="24">
        <v>100</v>
      </c>
    </row>
    <row r="223" spans="1:6" x14ac:dyDescent="0.35">
      <c r="A223" s="25">
        <v>222</v>
      </c>
      <c r="B223" s="25" t="s">
        <v>965</v>
      </c>
      <c r="C223" s="25" t="s">
        <v>1202</v>
      </c>
      <c r="D223" s="25" t="s">
        <v>973</v>
      </c>
      <c r="E223" s="24">
        <v>100</v>
      </c>
      <c r="F223" s="24">
        <v>100</v>
      </c>
    </row>
    <row r="224" spans="1:6" x14ac:dyDescent="0.35">
      <c r="A224" s="25">
        <v>223</v>
      </c>
      <c r="B224" s="25" t="s">
        <v>965</v>
      </c>
      <c r="C224" s="25" t="s">
        <v>1201</v>
      </c>
      <c r="D224" s="25" t="s">
        <v>973</v>
      </c>
      <c r="E224" s="24">
        <v>100</v>
      </c>
      <c r="F224" s="24">
        <v>100</v>
      </c>
    </row>
    <row r="225" spans="1:6" x14ac:dyDescent="0.35">
      <c r="A225" s="25">
        <v>224</v>
      </c>
      <c r="B225" s="25" t="s">
        <v>965</v>
      </c>
      <c r="C225" s="25" t="s">
        <v>1200</v>
      </c>
      <c r="D225" s="25" t="s">
        <v>973</v>
      </c>
      <c r="E225" s="24">
        <v>100</v>
      </c>
      <c r="F225" s="24">
        <v>100</v>
      </c>
    </row>
    <row r="226" spans="1:6" x14ac:dyDescent="0.35">
      <c r="A226" s="25">
        <v>225</v>
      </c>
      <c r="B226" s="25" t="s">
        <v>965</v>
      </c>
      <c r="C226" s="25" t="s">
        <v>1199</v>
      </c>
      <c r="D226" s="25" t="s">
        <v>973</v>
      </c>
      <c r="E226" s="24">
        <v>100</v>
      </c>
      <c r="F226" s="24">
        <v>100</v>
      </c>
    </row>
    <row r="227" spans="1:6" x14ac:dyDescent="0.35">
      <c r="A227" s="25">
        <v>226</v>
      </c>
      <c r="B227" s="25" t="s">
        <v>965</v>
      </c>
      <c r="C227" s="25" t="s">
        <v>1198</v>
      </c>
      <c r="D227" s="25" t="s">
        <v>973</v>
      </c>
      <c r="E227" s="24">
        <v>100</v>
      </c>
      <c r="F227" s="24">
        <v>100</v>
      </c>
    </row>
    <row r="228" spans="1:6" x14ac:dyDescent="0.35">
      <c r="A228" s="25">
        <v>227</v>
      </c>
      <c r="B228" s="25" t="s">
        <v>965</v>
      </c>
      <c r="C228" s="25" t="s">
        <v>1197</v>
      </c>
      <c r="D228" s="25" t="s">
        <v>973</v>
      </c>
      <c r="E228" s="24">
        <v>100</v>
      </c>
      <c r="F228" s="24">
        <v>100</v>
      </c>
    </row>
    <row r="229" spans="1:6" x14ac:dyDescent="0.35">
      <c r="A229" s="25">
        <v>228</v>
      </c>
      <c r="B229" s="25" t="s">
        <v>965</v>
      </c>
      <c r="C229" s="25" t="s">
        <v>1196</v>
      </c>
      <c r="D229" s="25" t="s">
        <v>973</v>
      </c>
      <c r="E229" s="24">
        <v>100</v>
      </c>
      <c r="F229" s="24">
        <v>100</v>
      </c>
    </row>
    <row r="230" spans="1:6" x14ac:dyDescent="0.35">
      <c r="A230" s="25">
        <v>229</v>
      </c>
      <c r="B230" s="25" t="s">
        <v>965</v>
      </c>
      <c r="C230" s="25" t="s">
        <v>1195</v>
      </c>
      <c r="D230" s="25" t="s">
        <v>967</v>
      </c>
      <c r="E230" s="24">
        <v>100</v>
      </c>
      <c r="F230" s="24">
        <v>100</v>
      </c>
    </row>
    <row r="231" spans="1:6" x14ac:dyDescent="0.35">
      <c r="A231" s="25">
        <v>230</v>
      </c>
      <c r="B231" s="25" t="s">
        <v>965</v>
      </c>
      <c r="C231" s="25" t="s">
        <v>1194</v>
      </c>
      <c r="D231" s="25" t="s">
        <v>967</v>
      </c>
      <c r="E231" s="24">
        <v>100</v>
      </c>
      <c r="F231" s="24">
        <v>100</v>
      </c>
    </row>
    <row r="232" spans="1:6" x14ac:dyDescent="0.35">
      <c r="A232" s="25">
        <v>231</v>
      </c>
      <c r="B232" s="25" t="s">
        <v>965</v>
      </c>
      <c r="C232" s="25" t="s">
        <v>1193</v>
      </c>
      <c r="D232" s="25" t="s">
        <v>967</v>
      </c>
      <c r="E232" s="24">
        <v>100</v>
      </c>
      <c r="F232" s="24">
        <v>100</v>
      </c>
    </row>
    <row r="233" spans="1:6" x14ac:dyDescent="0.35">
      <c r="A233" s="25">
        <v>232</v>
      </c>
      <c r="B233" s="25" t="s">
        <v>965</v>
      </c>
      <c r="C233" s="25" t="s">
        <v>1192</v>
      </c>
      <c r="D233" s="25" t="s">
        <v>967</v>
      </c>
      <c r="E233" s="24">
        <v>100</v>
      </c>
      <c r="F233" s="24">
        <v>100</v>
      </c>
    </row>
    <row r="234" spans="1:6" x14ac:dyDescent="0.35">
      <c r="A234" s="25">
        <v>233</v>
      </c>
      <c r="B234" s="25" t="s">
        <v>965</v>
      </c>
      <c r="C234" s="25" t="s">
        <v>1191</v>
      </c>
      <c r="D234" s="25" t="s">
        <v>967</v>
      </c>
      <c r="E234" s="24">
        <v>100</v>
      </c>
      <c r="F234" s="24">
        <v>100</v>
      </c>
    </row>
    <row r="235" spans="1:6" x14ac:dyDescent="0.35">
      <c r="A235" s="25">
        <v>234</v>
      </c>
      <c r="B235" s="25" t="s">
        <v>965</v>
      </c>
      <c r="C235" s="25" t="s">
        <v>1190</v>
      </c>
      <c r="D235" s="25" t="s">
        <v>967</v>
      </c>
      <c r="E235" s="24">
        <v>100</v>
      </c>
      <c r="F235" s="24">
        <v>100</v>
      </c>
    </row>
    <row r="236" spans="1:6" x14ac:dyDescent="0.35">
      <c r="A236" s="25">
        <v>235</v>
      </c>
      <c r="B236" s="25" t="s">
        <v>965</v>
      </c>
      <c r="C236" s="25" t="s">
        <v>1189</v>
      </c>
      <c r="D236" s="25" t="s">
        <v>967</v>
      </c>
      <c r="E236" s="24">
        <v>100</v>
      </c>
      <c r="F236" s="24">
        <v>100</v>
      </c>
    </row>
    <row r="237" spans="1:6" x14ac:dyDescent="0.35">
      <c r="A237" s="25">
        <v>236</v>
      </c>
      <c r="B237" s="25" t="s">
        <v>965</v>
      </c>
      <c r="C237" s="25" t="s">
        <v>1188</v>
      </c>
      <c r="D237" s="25" t="s">
        <v>967</v>
      </c>
      <c r="E237" s="24">
        <v>100</v>
      </c>
      <c r="F237" s="24">
        <v>100</v>
      </c>
    </row>
    <row r="238" spans="1:6" x14ac:dyDescent="0.35">
      <c r="A238" s="25">
        <v>237</v>
      </c>
      <c r="B238" s="25" t="s">
        <v>965</v>
      </c>
      <c r="C238" s="25" t="s">
        <v>1187</v>
      </c>
      <c r="D238" s="25" t="s">
        <v>967</v>
      </c>
      <c r="E238" s="24">
        <v>100</v>
      </c>
      <c r="F238" s="24">
        <v>100</v>
      </c>
    </row>
    <row r="239" spans="1:6" x14ac:dyDescent="0.35">
      <c r="A239" s="25">
        <v>238</v>
      </c>
      <c r="B239" s="25" t="s">
        <v>965</v>
      </c>
      <c r="C239" s="25" t="s">
        <v>1186</v>
      </c>
      <c r="D239" s="25" t="s">
        <v>967</v>
      </c>
      <c r="E239" s="24">
        <v>100</v>
      </c>
      <c r="F239" s="24">
        <v>100</v>
      </c>
    </row>
    <row r="240" spans="1:6" x14ac:dyDescent="0.35">
      <c r="A240" s="25">
        <v>239</v>
      </c>
      <c r="B240" s="25" t="s">
        <v>965</v>
      </c>
      <c r="C240" s="25" t="s">
        <v>1185</v>
      </c>
      <c r="D240" s="25" t="s">
        <v>967</v>
      </c>
      <c r="E240" s="24">
        <v>100</v>
      </c>
      <c r="F240" s="24">
        <v>100</v>
      </c>
    </row>
    <row r="241" spans="1:6" x14ac:dyDescent="0.35">
      <c r="A241" s="25">
        <v>240</v>
      </c>
      <c r="B241" s="25" t="s">
        <v>965</v>
      </c>
      <c r="C241" s="25" t="s">
        <v>1184</v>
      </c>
      <c r="D241" s="25" t="s">
        <v>967</v>
      </c>
      <c r="E241" s="24">
        <v>100</v>
      </c>
      <c r="F241" s="24">
        <v>100</v>
      </c>
    </row>
    <row r="242" spans="1:6" x14ac:dyDescent="0.35">
      <c r="A242" s="25">
        <v>241</v>
      </c>
      <c r="B242" s="25" t="s">
        <v>965</v>
      </c>
      <c r="C242" s="25" t="s">
        <v>1183</v>
      </c>
      <c r="D242" s="25" t="s">
        <v>967</v>
      </c>
      <c r="E242" s="24">
        <v>100</v>
      </c>
      <c r="F242" s="24">
        <v>100</v>
      </c>
    </row>
    <row r="243" spans="1:6" x14ac:dyDescent="0.35">
      <c r="A243" s="25">
        <v>242</v>
      </c>
      <c r="B243" s="25" t="s">
        <v>965</v>
      </c>
      <c r="C243" s="25" t="s">
        <v>1182</v>
      </c>
      <c r="D243" s="25" t="s">
        <v>967</v>
      </c>
      <c r="E243" s="24">
        <v>100</v>
      </c>
      <c r="F243" s="24">
        <v>100</v>
      </c>
    </row>
    <row r="244" spans="1:6" x14ac:dyDescent="0.35">
      <c r="A244" s="25">
        <v>243</v>
      </c>
      <c r="B244" s="25" t="s">
        <v>965</v>
      </c>
      <c r="C244" s="25" t="s">
        <v>1181</v>
      </c>
      <c r="D244" s="25" t="s">
        <v>967</v>
      </c>
      <c r="E244" s="24">
        <v>100</v>
      </c>
      <c r="F244" s="24">
        <v>100</v>
      </c>
    </row>
    <row r="245" spans="1:6" x14ac:dyDescent="0.35">
      <c r="A245" s="25">
        <v>244</v>
      </c>
      <c r="B245" s="25" t="s">
        <v>965</v>
      </c>
      <c r="C245" s="25" t="s">
        <v>1180</v>
      </c>
      <c r="D245" s="25" t="s">
        <v>967</v>
      </c>
      <c r="E245" s="24">
        <v>100</v>
      </c>
      <c r="F245" s="24">
        <v>100</v>
      </c>
    </row>
    <row r="246" spans="1:6" x14ac:dyDescent="0.35">
      <c r="A246" s="25">
        <v>245</v>
      </c>
      <c r="B246" s="25" t="s">
        <v>965</v>
      </c>
      <c r="C246" s="25" t="s">
        <v>1179</v>
      </c>
      <c r="D246" s="25" t="s">
        <v>967</v>
      </c>
      <c r="E246" s="24">
        <v>100</v>
      </c>
      <c r="F246" s="24">
        <v>100</v>
      </c>
    </row>
    <row r="247" spans="1:6" x14ac:dyDescent="0.35">
      <c r="A247" s="25">
        <v>246</v>
      </c>
      <c r="B247" s="25" t="s">
        <v>965</v>
      </c>
      <c r="C247" s="25" t="s">
        <v>1178</v>
      </c>
      <c r="D247" s="25" t="s">
        <v>967</v>
      </c>
      <c r="E247" s="24">
        <v>100</v>
      </c>
      <c r="F247" s="24">
        <v>100</v>
      </c>
    </row>
    <row r="248" spans="1:6" x14ac:dyDescent="0.35">
      <c r="A248" s="25">
        <v>247</v>
      </c>
      <c r="B248" s="25" t="s">
        <v>965</v>
      </c>
      <c r="C248" s="25" t="s">
        <v>1177</v>
      </c>
      <c r="D248" s="25" t="s">
        <v>967</v>
      </c>
      <c r="E248" s="24">
        <v>100</v>
      </c>
      <c r="F248" s="24">
        <v>100</v>
      </c>
    </row>
    <row r="249" spans="1:6" x14ac:dyDescent="0.35">
      <c r="A249" s="25">
        <v>248</v>
      </c>
      <c r="B249" s="25" t="s">
        <v>965</v>
      </c>
      <c r="C249" s="25" t="s">
        <v>1176</v>
      </c>
      <c r="D249" s="25" t="s">
        <v>967</v>
      </c>
      <c r="E249" s="24">
        <v>100</v>
      </c>
      <c r="F249" s="24">
        <v>100</v>
      </c>
    </row>
    <row r="250" spans="1:6" x14ac:dyDescent="0.35">
      <c r="A250" s="25">
        <v>249</v>
      </c>
      <c r="B250" s="25" t="s">
        <v>965</v>
      </c>
      <c r="C250" s="25" t="s">
        <v>1175</v>
      </c>
      <c r="D250" s="25" t="s">
        <v>967</v>
      </c>
      <c r="E250" s="24">
        <v>100</v>
      </c>
      <c r="F250" s="24">
        <v>100</v>
      </c>
    </row>
    <row r="251" spans="1:6" x14ac:dyDescent="0.35">
      <c r="A251" s="25">
        <v>250</v>
      </c>
      <c r="B251" s="25" t="s">
        <v>965</v>
      </c>
      <c r="C251" s="25" t="s">
        <v>1174</v>
      </c>
      <c r="D251" s="25" t="s">
        <v>967</v>
      </c>
      <c r="E251" s="24">
        <v>100</v>
      </c>
      <c r="F251" s="24">
        <v>100</v>
      </c>
    </row>
    <row r="252" spans="1:6" x14ac:dyDescent="0.35">
      <c r="A252" s="25">
        <v>251</v>
      </c>
      <c r="B252" s="25" t="s">
        <v>965</v>
      </c>
      <c r="C252" s="25" t="s">
        <v>1173</v>
      </c>
      <c r="D252" s="25" t="s">
        <v>967</v>
      </c>
      <c r="E252" s="24">
        <v>100</v>
      </c>
      <c r="F252" s="24">
        <v>100</v>
      </c>
    </row>
    <row r="253" spans="1:6" x14ac:dyDescent="0.35">
      <c r="A253" s="25">
        <v>252</v>
      </c>
      <c r="B253" s="25" t="s">
        <v>965</v>
      </c>
      <c r="C253" s="25" t="s">
        <v>1172</v>
      </c>
      <c r="D253" s="25" t="s">
        <v>967</v>
      </c>
      <c r="E253" s="24">
        <v>100</v>
      </c>
      <c r="F253" s="24">
        <v>100</v>
      </c>
    </row>
    <row r="254" spans="1:6" x14ac:dyDescent="0.35">
      <c r="A254" s="25">
        <v>253</v>
      </c>
      <c r="B254" s="25" t="s">
        <v>966</v>
      </c>
      <c r="C254" s="25" t="s">
        <v>950</v>
      </c>
      <c r="D254" s="25" t="s">
        <v>967</v>
      </c>
      <c r="E254" s="26">
        <f>VLOOKUP(C254,'Device Wise Uptime '!B:D,3,0)</f>
        <v>92.050617283950615</v>
      </c>
      <c r="F254" s="26">
        <f>VLOOKUP(C254,'Device Wise Uptime '!B:F,5,0)</f>
        <v>100</v>
      </c>
    </row>
    <row r="255" spans="1:6" x14ac:dyDescent="0.35">
      <c r="A255" s="25">
        <v>254</v>
      </c>
      <c r="B255" s="25" t="s">
        <v>966</v>
      </c>
      <c r="C255" s="25" t="s">
        <v>487</v>
      </c>
      <c r="D255" s="25" t="s">
        <v>967</v>
      </c>
      <c r="E255" s="26">
        <f>VLOOKUP(C255,'Device Wise Uptime '!B:D,3,0)</f>
        <v>99.992376543209872</v>
      </c>
      <c r="F255" s="26">
        <f>VLOOKUP(C255,'Device Wise Uptime '!B:F,5,0)</f>
        <v>93.778564814814814</v>
      </c>
    </row>
    <row r="256" spans="1:6" x14ac:dyDescent="0.35">
      <c r="A256" s="25">
        <v>255</v>
      </c>
      <c r="B256" s="25" t="s">
        <v>966</v>
      </c>
      <c r="C256" s="25" t="s">
        <v>1171</v>
      </c>
      <c r="D256" s="25" t="s">
        <v>967</v>
      </c>
      <c r="E256" s="24">
        <v>100</v>
      </c>
      <c r="F256" s="24">
        <v>100</v>
      </c>
    </row>
    <row r="257" spans="1:6" x14ac:dyDescent="0.35">
      <c r="A257" s="25">
        <v>256</v>
      </c>
      <c r="B257" s="25" t="s">
        <v>966</v>
      </c>
      <c r="C257" s="25" t="s">
        <v>1170</v>
      </c>
      <c r="D257" s="25" t="s">
        <v>967</v>
      </c>
      <c r="E257" s="24">
        <v>100</v>
      </c>
      <c r="F257" s="24">
        <v>100</v>
      </c>
    </row>
    <row r="258" spans="1:6" x14ac:dyDescent="0.35">
      <c r="A258" s="25">
        <v>257</v>
      </c>
      <c r="B258" s="25" t="s">
        <v>966</v>
      </c>
      <c r="C258" s="25" t="s">
        <v>1169</v>
      </c>
      <c r="D258" s="25" t="s">
        <v>967</v>
      </c>
      <c r="E258" s="24">
        <v>100</v>
      </c>
      <c r="F258" s="24">
        <v>100</v>
      </c>
    </row>
    <row r="259" spans="1:6" x14ac:dyDescent="0.35">
      <c r="A259" s="25">
        <v>258</v>
      </c>
      <c r="B259" s="25" t="s">
        <v>966</v>
      </c>
      <c r="C259" s="25" t="s">
        <v>1168</v>
      </c>
      <c r="D259" s="25" t="s">
        <v>967</v>
      </c>
      <c r="E259" s="24">
        <v>100</v>
      </c>
      <c r="F259" s="24">
        <v>100</v>
      </c>
    </row>
    <row r="260" spans="1:6" x14ac:dyDescent="0.35">
      <c r="A260" s="25">
        <v>259</v>
      </c>
      <c r="B260" s="25" t="s">
        <v>966</v>
      </c>
      <c r="C260" s="25" t="s">
        <v>1167</v>
      </c>
      <c r="D260" s="25" t="s">
        <v>967</v>
      </c>
      <c r="E260" s="24">
        <v>100</v>
      </c>
      <c r="F260" s="24">
        <v>100</v>
      </c>
    </row>
    <row r="261" spans="1:6" x14ac:dyDescent="0.35">
      <c r="A261" s="25">
        <v>260</v>
      </c>
      <c r="B261" s="25" t="s">
        <v>966</v>
      </c>
      <c r="C261" s="25" t="s">
        <v>1166</v>
      </c>
      <c r="D261" s="25" t="s">
        <v>967</v>
      </c>
      <c r="E261" s="24">
        <v>100</v>
      </c>
      <c r="F261" s="24">
        <v>100</v>
      </c>
    </row>
    <row r="262" spans="1:6" x14ac:dyDescent="0.35">
      <c r="A262" s="25">
        <v>261</v>
      </c>
      <c r="B262" s="25" t="s">
        <v>966</v>
      </c>
      <c r="C262" s="25" t="s">
        <v>1165</v>
      </c>
      <c r="D262" s="25" t="s">
        <v>967</v>
      </c>
      <c r="E262" s="24">
        <v>100</v>
      </c>
      <c r="F262" s="24">
        <v>100</v>
      </c>
    </row>
    <row r="263" spans="1:6" x14ac:dyDescent="0.35">
      <c r="A263" s="25">
        <v>262</v>
      </c>
      <c r="B263" s="25" t="s">
        <v>966</v>
      </c>
      <c r="C263" s="25" t="s">
        <v>191</v>
      </c>
      <c r="D263" s="25" t="s">
        <v>967</v>
      </c>
      <c r="E263" s="26">
        <f>VLOOKUP(C263,'Device Wise Uptime '!B:D,3,0)</f>
        <v>99.991226851851849</v>
      </c>
      <c r="F263" s="26">
        <f>VLOOKUP(C263,'Device Wise Uptime '!B:F,5,0)</f>
        <v>99.860478395061719</v>
      </c>
    </row>
    <row r="264" spans="1:6" x14ac:dyDescent="0.35">
      <c r="A264" s="25">
        <v>263</v>
      </c>
      <c r="B264" s="25" t="s">
        <v>966</v>
      </c>
      <c r="C264" s="25" t="s">
        <v>80</v>
      </c>
      <c r="D264" s="25" t="s">
        <v>967</v>
      </c>
      <c r="E264" s="26">
        <f>VLOOKUP(C264,'Device Wise Uptime '!B:D,3,0)</f>
        <v>99.993209876543204</v>
      </c>
      <c r="F264" s="26">
        <f>VLOOKUP(C264,'Device Wise Uptime '!B:F,5,0)</f>
        <v>99.955038580246907</v>
      </c>
    </row>
    <row r="265" spans="1:6" x14ac:dyDescent="0.35">
      <c r="A265" s="25">
        <v>264</v>
      </c>
      <c r="B265" s="25" t="s">
        <v>966</v>
      </c>
      <c r="C265" s="25" t="s">
        <v>1164</v>
      </c>
      <c r="D265" s="25" t="s">
        <v>967</v>
      </c>
      <c r="E265" s="24">
        <v>100</v>
      </c>
      <c r="F265" s="24">
        <v>100</v>
      </c>
    </row>
    <row r="266" spans="1:6" x14ac:dyDescent="0.35">
      <c r="A266" s="25">
        <v>265</v>
      </c>
      <c r="B266" s="25" t="s">
        <v>966</v>
      </c>
      <c r="C266" s="25" t="s">
        <v>136</v>
      </c>
      <c r="D266" s="25" t="s">
        <v>967</v>
      </c>
      <c r="E266" s="26">
        <f>VLOOKUP(C266,'Device Wise Uptime '!B:D,3,0)</f>
        <v>99.99284722222221</v>
      </c>
      <c r="F266" s="26">
        <f>VLOOKUP(C266,'Device Wise Uptime '!B:F,5,0)</f>
        <v>99.770293209876542</v>
      </c>
    </row>
    <row r="267" spans="1:6" x14ac:dyDescent="0.35">
      <c r="A267" s="25">
        <v>266</v>
      </c>
      <c r="B267" s="25" t="s">
        <v>966</v>
      </c>
      <c r="C267" s="25" t="s">
        <v>277</v>
      </c>
      <c r="D267" s="25" t="s">
        <v>967</v>
      </c>
      <c r="E267" s="26">
        <f>VLOOKUP(C267,'Device Wise Uptime '!B:D,3,0)</f>
        <v>99.987368827160495</v>
      </c>
      <c r="F267" s="26">
        <f>VLOOKUP(C267,'Device Wise Uptime '!B:F,5,0)</f>
        <v>89.26886574074075</v>
      </c>
    </row>
    <row r="268" spans="1:6" x14ac:dyDescent="0.35">
      <c r="A268" s="25">
        <v>267</v>
      </c>
      <c r="B268" s="25" t="s">
        <v>966</v>
      </c>
      <c r="C268" s="25" t="s">
        <v>947</v>
      </c>
      <c r="D268" s="25" t="s">
        <v>967</v>
      </c>
      <c r="E268" s="26">
        <f>VLOOKUP(C268,'Device Wise Uptime '!B:D,3,0)</f>
        <v>99.989567901234565</v>
      </c>
      <c r="F268" s="26">
        <f>VLOOKUP(C268,'Device Wise Uptime '!B:F,5,0)</f>
        <v>96.658063271604945</v>
      </c>
    </row>
    <row r="269" spans="1:6" x14ac:dyDescent="0.35">
      <c r="A269" s="25">
        <v>268</v>
      </c>
      <c r="B269" s="25" t="s">
        <v>966</v>
      </c>
      <c r="C269" s="25" t="s">
        <v>1163</v>
      </c>
      <c r="D269" s="25" t="s">
        <v>967</v>
      </c>
      <c r="E269" s="24">
        <v>100</v>
      </c>
      <c r="F269" s="24">
        <v>100</v>
      </c>
    </row>
    <row r="270" spans="1:6" x14ac:dyDescent="0.35">
      <c r="A270" s="25">
        <v>269</v>
      </c>
      <c r="B270" s="25" t="s">
        <v>966</v>
      </c>
      <c r="C270" s="25" t="s">
        <v>1162</v>
      </c>
      <c r="D270" s="25" t="s">
        <v>967</v>
      </c>
      <c r="E270" s="24">
        <v>100</v>
      </c>
      <c r="F270" s="24">
        <v>100</v>
      </c>
    </row>
    <row r="271" spans="1:6" x14ac:dyDescent="0.35">
      <c r="A271" s="25">
        <v>270</v>
      </c>
      <c r="B271" s="25" t="s">
        <v>966</v>
      </c>
      <c r="C271" s="25" t="s">
        <v>1161</v>
      </c>
      <c r="D271" s="25" t="s">
        <v>967</v>
      </c>
      <c r="E271" s="24">
        <v>100</v>
      </c>
      <c r="F271" s="24">
        <v>100</v>
      </c>
    </row>
    <row r="272" spans="1:6" x14ac:dyDescent="0.35">
      <c r="A272" s="25">
        <v>271</v>
      </c>
      <c r="B272" s="25" t="s">
        <v>966</v>
      </c>
      <c r="C272" s="25" t="s">
        <v>87</v>
      </c>
      <c r="D272" s="25" t="s">
        <v>967</v>
      </c>
      <c r="E272" s="26">
        <f>VLOOKUP(C272,'Device Wise Uptime '!B:D,3,0)</f>
        <v>99.992932098765422</v>
      </c>
      <c r="F272" s="26">
        <f>VLOOKUP(C272,'Device Wise Uptime '!B:F,5,0)</f>
        <v>99.200646219135805</v>
      </c>
    </row>
    <row r="273" spans="1:6" x14ac:dyDescent="0.35">
      <c r="A273" s="25">
        <v>272</v>
      </c>
      <c r="B273" s="25" t="s">
        <v>966</v>
      </c>
      <c r="C273" s="25" t="s">
        <v>68</v>
      </c>
      <c r="D273" s="25" t="s">
        <v>967</v>
      </c>
      <c r="E273" s="26">
        <f>VLOOKUP(C273,'Device Wise Uptime '!B:D,3,0)</f>
        <v>99.993942901234561</v>
      </c>
      <c r="F273" s="26">
        <f>VLOOKUP(C273,'Device Wise Uptime '!B:F,5,0)</f>
        <v>99.414969135802465</v>
      </c>
    </row>
    <row r="274" spans="1:6" x14ac:dyDescent="0.35">
      <c r="A274" s="25">
        <v>273</v>
      </c>
      <c r="B274" s="28" t="s">
        <v>966</v>
      </c>
      <c r="C274" s="28" t="s">
        <v>1160</v>
      </c>
      <c r="D274" s="28" t="s">
        <v>967</v>
      </c>
      <c r="E274" s="24">
        <v>100</v>
      </c>
      <c r="F274" s="24">
        <v>100</v>
      </c>
    </row>
    <row r="275" spans="1:6" x14ac:dyDescent="0.35">
      <c r="A275" s="25">
        <v>274</v>
      </c>
      <c r="B275" s="25" t="s">
        <v>966</v>
      </c>
      <c r="C275" s="25" t="s">
        <v>146</v>
      </c>
      <c r="D275" s="25" t="s">
        <v>967</v>
      </c>
      <c r="E275" s="26">
        <f>VLOOKUP(C275,'Device Wise Uptime '!B:D,3,0)</f>
        <v>99.995115740740744</v>
      </c>
      <c r="F275" s="26">
        <f>VLOOKUP(C275,'Device Wise Uptime '!B:F,5,0)</f>
        <v>99.656504629629623</v>
      </c>
    </row>
    <row r="276" spans="1:6" x14ac:dyDescent="0.35">
      <c r="A276" s="25">
        <v>275</v>
      </c>
      <c r="B276" s="25" t="s">
        <v>966</v>
      </c>
      <c r="C276" s="25" t="s">
        <v>1159</v>
      </c>
      <c r="D276" s="25" t="s">
        <v>967</v>
      </c>
      <c r="E276" s="24">
        <v>100</v>
      </c>
      <c r="F276" s="24">
        <v>100</v>
      </c>
    </row>
    <row r="277" spans="1:6" x14ac:dyDescent="0.35">
      <c r="A277" s="25">
        <v>276</v>
      </c>
      <c r="B277" s="25" t="s">
        <v>966</v>
      </c>
      <c r="C277" s="25" t="s">
        <v>1158</v>
      </c>
      <c r="D277" s="25" t="s">
        <v>967</v>
      </c>
      <c r="E277" s="24">
        <v>100</v>
      </c>
      <c r="F277" s="24">
        <v>100</v>
      </c>
    </row>
    <row r="278" spans="1:6" x14ac:dyDescent="0.35">
      <c r="A278" s="25">
        <v>277</v>
      </c>
      <c r="B278" s="25" t="s">
        <v>966</v>
      </c>
      <c r="C278" s="25" t="s">
        <v>62</v>
      </c>
      <c r="D278" s="25" t="s">
        <v>967</v>
      </c>
      <c r="E278" s="26">
        <f>VLOOKUP(C278,'Device Wise Uptime '!B:D,3,0)</f>
        <v>99.994675925925932</v>
      </c>
      <c r="F278" s="26">
        <f>VLOOKUP(C278,'Device Wise Uptime '!B:F,5,0)</f>
        <v>99.243348765432103</v>
      </c>
    </row>
    <row r="279" spans="1:6" x14ac:dyDescent="0.35">
      <c r="A279" s="25">
        <v>278</v>
      </c>
      <c r="B279" s="25" t="s">
        <v>966</v>
      </c>
      <c r="C279" s="25" t="s">
        <v>1157</v>
      </c>
      <c r="D279" s="25" t="s">
        <v>967</v>
      </c>
      <c r="E279" s="24">
        <v>100</v>
      </c>
      <c r="F279" s="24">
        <v>100</v>
      </c>
    </row>
    <row r="280" spans="1:6" x14ac:dyDescent="0.35">
      <c r="A280" s="25">
        <v>279</v>
      </c>
      <c r="B280" s="25" t="s">
        <v>966</v>
      </c>
      <c r="C280" s="25" t="s">
        <v>1156</v>
      </c>
      <c r="D280" s="25" t="s">
        <v>967</v>
      </c>
      <c r="E280" s="24">
        <v>100</v>
      </c>
      <c r="F280" s="24">
        <v>100</v>
      </c>
    </row>
    <row r="281" spans="1:6" x14ac:dyDescent="0.35">
      <c r="A281" s="25">
        <v>280</v>
      </c>
      <c r="B281" s="25" t="s">
        <v>966</v>
      </c>
      <c r="C281" s="25" t="s">
        <v>176</v>
      </c>
      <c r="D281" s="25" t="s">
        <v>967</v>
      </c>
      <c r="E281" s="26">
        <f>VLOOKUP(C281,'Device Wise Uptime '!B:D,3,0)</f>
        <v>99.989405864197536</v>
      </c>
      <c r="F281" s="26">
        <f>VLOOKUP(C281,'Device Wise Uptime '!B:F,5,0)</f>
        <v>99.659390432098775</v>
      </c>
    </row>
    <row r="282" spans="1:6" x14ac:dyDescent="0.35">
      <c r="A282" s="25">
        <v>281</v>
      </c>
      <c r="B282" s="25" t="s">
        <v>966</v>
      </c>
      <c r="C282" s="25" t="s">
        <v>143</v>
      </c>
      <c r="D282" s="25" t="s">
        <v>967</v>
      </c>
      <c r="E282" s="26">
        <f>VLOOKUP(C282,'Device Wise Uptime '!B:D,3,0)</f>
        <v>99.989004629629633</v>
      </c>
      <c r="F282" s="26">
        <f>VLOOKUP(C282,'Device Wise Uptime '!B:F,5,0)</f>
        <v>99.938672839506168</v>
      </c>
    </row>
    <row r="283" spans="1:6" x14ac:dyDescent="0.35">
      <c r="A283" s="25">
        <v>282</v>
      </c>
      <c r="B283" s="25" t="s">
        <v>966</v>
      </c>
      <c r="C283" s="25" t="s">
        <v>1155</v>
      </c>
      <c r="D283" s="25" t="s">
        <v>967</v>
      </c>
      <c r="E283" s="24">
        <v>100</v>
      </c>
      <c r="F283" s="24">
        <v>100</v>
      </c>
    </row>
    <row r="284" spans="1:6" x14ac:dyDescent="0.35">
      <c r="A284" s="25">
        <v>283</v>
      </c>
      <c r="B284" s="25" t="s">
        <v>966</v>
      </c>
      <c r="C284" s="25" t="s">
        <v>92</v>
      </c>
      <c r="D284" s="25" t="s">
        <v>967</v>
      </c>
      <c r="E284" s="26">
        <f>VLOOKUP(C284,'Device Wise Uptime '!B:D,3,0)</f>
        <v>99.991890432098756</v>
      </c>
      <c r="F284" s="26">
        <f>VLOOKUP(C284,'Device Wise Uptime '!B:F,5,0)</f>
        <v>98.729656635802471</v>
      </c>
    </row>
    <row r="285" spans="1:6" x14ac:dyDescent="0.35">
      <c r="A285" s="25">
        <v>284</v>
      </c>
      <c r="B285" s="25" t="s">
        <v>966</v>
      </c>
      <c r="C285" s="25" t="s">
        <v>72</v>
      </c>
      <c r="D285" s="25" t="s">
        <v>967</v>
      </c>
      <c r="E285" s="26">
        <f>VLOOKUP(C285,'Device Wise Uptime '!B:D,3,0)</f>
        <v>99.995806327160494</v>
      </c>
      <c r="F285" s="26">
        <f>VLOOKUP(C285,'Device Wise Uptime '!B:F,5,0)</f>
        <v>98.728244598765428</v>
      </c>
    </row>
    <row r="286" spans="1:6" x14ac:dyDescent="0.35">
      <c r="A286" s="25">
        <v>285</v>
      </c>
      <c r="B286" s="25" t="s">
        <v>966</v>
      </c>
      <c r="C286" s="25" t="s">
        <v>120</v>
      </c>
      <c r="D286" s="25" t="s">
        <v>967</v>
      </c>
      <c r="E286" s="26">
        <f>VLOOKUP(C286,'Device Wise Uptime '!B:D,3,0)</f>
        <v>99.993429783950617</v>
      </c>
      <c r="F286" s="26">
        <f>VLOOKUP(C286,'Device Wise Uptime '!B:F,5,0)</f>
        <v>99.412924382716056</v>
      </c>
    </row>
    <row r="287" spans="1:6" x14ac:dyDescent="0.35">
      <c r="A287" s="25">
        <v>286</v>
      </c>
      <c r="B287" s="25" t="s">
        <v>966</v>
      </c>
      <c r="C287" s="25" t="s">
        <v>1154</v>
      </c>
      <c r="D287" s="25" t="s">
        <v>967</v>
      </c>
      <c r="E287" s="24">
        <v>100</v>
      </c>
      <c r="F287" s="24">
        <v>100</v>
      </c>
    </row>
    <row r="288" spans="1:6" x14ac:dyDescent="0.35">
      <c r="A288" s="25">
        <v>287</v>
      </c>
      <c r="B288" s="25" t="s">
        <v>966</v>
      </c>
      <c r="C288" s="25" t="s">
        <v>139</v>
      </c>
      <c r="D288" s="25" t="s">
        <v>967</v>
      </c>
      <c r="E288" s="26">
        <f>VLOOKUP(C288,'Device Wise Uptime '!B:D,3,0)</f>
        <v>99.995408950617275</v>
      </c>
      <c r="F288" s="26">
        <f>VLOOKUP(C288,'Device Wise Uptime '!B:F,5,0)</f>
        <v>99.943881172839511</v>
      </c>
    </row>
    <row r="289" spans="1:6" x14ac:dyDescent="0.35">
      <c r="A289" s="25">
        <v>288</v>
      </c>
      <c r="B289" s="25" t="s">
        <v>966</v>
      </c>
      <c r="C289" s="25" t="s">
        <v>1153</v>
      </c>
      <c r="D289" s="25" t="s">
        <v>967</v>
      </c>
      <c r="E289" s="24">
        <v>100</v>
      </c>
      <c r="F289" s="24">
        <v>100</v>
      </c>
    </row>
    <row r="290" spans="1:6" x14ac:dyDescent="0.35">
      <c r="A290" s="25">
        <v>289</v>
      </c>
      <c r="B290" s="25" t="s">
        <v>966</v>
      </c>
      <c r="C290" s="25" t="s">
        <v>172</v>
      </c>
      <c r="D290" s="25" t="s">
        <v>967</v>
      </c>
      <c r="E290" s="26">
        <f>VLOOKUP(C290,'Device Wise Uptime '!B:D,3,0)</f>
        <v>99.99463734567901</v>
      </c>
      <c r="F290" s="26">
        <f>VLOOKUP(C290,'Device Wise Uptime '!B:F,5,0)</f>
        <v>99.245578703703714</v>
      </c>
    </row>
    <row r="291" spans="1:6" x14ac:dyDescent="0.35">
      <c r="A291" s="25">
        <v>290</v>
      </c>
      <c r="B291" s="25" t="s">
        <v>966</v>
      </c>
      <c r="C291" s="25" t="s">
        <v>150</v>
      </c>
      <c r="D291" s="25" t="s">
        <v>967</v>
      </c>
      <c r="E291" s="26">
        <f>VLOOKUP(C291,'Device Wise Uptime '!B:D,3,0)</f>
        <v>99.991412037037037</v>
      </c>
      <c r="F291" s="26">
        <f>VLOOKUP(C291,'Device Wise Uptime '!B:F,5,0)</f>
        <v>99.654297839506185</v>
      </c>
    </row>
    <row r="292" spans="1:6" x14ac:dyDescent="0.35">
      <c r="A292" s="25">
        <v>291</v>
      </c>
      <c r="B292" s="28" t="s">
        <v>966</v>
      </c>
      <c r="C292" s="28" t="s">
        <v>1152</v>
      </c>
      <c r="D292" s="28" t="s">
        <v>967</v>
      </c>
      <c r="E292" s="24">
        <v>100</v>
      </c>
      <c r="F292" s="24">
        <v>100</v>
      </c>
    </row>
    <row r="293" spans="1:6" x14ac:dyDescent="0.35">
      <c r="A293" s="25">
        <v>292</v>
      </c>
      <c r="B293" s="25" t="s">
        <v>966</v>
      </c>
      <c r="C293" s="25" t="s">
        <v>1151</v>
      </c>
      <c r="D293" s="25" t="s">
        <v>967</v>
      </c>
      <c r="E293" s="24">
        <v>100</v>
      </c>
      <c r="F293" s="24">
        <v>100</v>
      </c>
    </row>
    <row r="294" spans="1:6" x14ac:dyDescent="0.35">
      <c r="A294" s="25">
        <v>293</v>
      </c>
      <c r="B294" s="25" t="s">
        <v>966</v>
      </c>
      <c r="C294" s="25" t="s">
        <v>166</v>
      </c>
      <c r="D294" s="25" t="s">
        <v>967</v>
      </c>
      <c r="E294" s="26">
        <f>VLOOKUP(C294,'Device Wise Uptime '!B:D,3,0)</f>
        <v>99.995196759259258</v>
      </c>
      <c r="F294" s="26">
        <f>VLOOKUP(C294,'Device Wise Uptime '!B:F,5,0)</f>
        <v>75.047114197530874</v>
      </c>
    </row>
    <row r="295" spans="1:6" x14ac:dyDescent="0.35">
      <c r="A295" s="25">
        <v>294</v>
      </c>
      <c r="B295" s="25" t="s">
        <v>966</v>
      </c>
      <c r="C295" s="25" t="s">
        <v>946</v>
      </c>
      <c r="D295" s="25" t="s">
        <v>967</v>
      </c>
      <c r="E295" s="26">
        <f>VLOOKUP(C295,'Device Wise Uptime '!B:D,3,0)</f>
        <v>99.992145061728394</v>
      </c>
      <c r="F295" s="26">
        <f>VLOOKUP(C295,'Device Wise Uptime '!B:F,5,0)</f>
        <v>100</v>
      </c>
    </row>
    <row r="296" spans="1:6" x14ac:dyDescent="0.35">
      <c r="A296" s="25">
        <v>295</v>
      </c>
      <c r="B296" s="25" t="s">
        <v>966</v>
      </c>
      <c r="C296" s="25" t="s">
        <v>1150</v>
      </c>
      <c r="D296" s="25" t="s">
        <v>967</v>
      </c>
      <c r="E296" s="24">
        <v>100</v>
      </c>
      <c r="F296" s="24">
        <v>100</v>
      </c>
    </row>
    <row r="297" spans="1:6" x14ac:dyDescent="0.35">
      <c r="A297" s="25">
        <v>296</v>
      </c>
      <c r="B297" s="25" t="s">
        <v>966</v>
      </c>
      <c r="C297" s="25" t="s">
        <v>1149</v>
      </c>
      <c r="D297" s="25" t="s">
        <v>967</v>
      </c>
      <c r="E297" s="24">
        <v>100</v>
      </c>
      <c r="F297" s="24">
        <v>100</v>
      </c>
    </row>
    <row r="298" spans="1:6" x14ac:dyDescent="0.35">
      <c r="A298" s="25">
        <v>297</v>
      </c>
      <c r="B298" s="25" t="s">
        <v>966</v>
      </c>
      <c r="C298" s="25" t="s">
        <v>76</v>
      </c>
      <c r="D298" s="25" t="s">
        <v>967</v>
      </c>
      <c r="E298" s="26">
        <f>VLOOKUP(C298,'Device Wise Uptime '!B:D,3,0)</f>
        <v>99.990788966049379</v>
      </c>
      <c r="F298" s="26">
        <f>VLOOKUP(C298,'Device Wise Uptime '!B:F,5,0)</f>
        <v>99.981361882716044</v>
      </c>
    </row>
    <row r="299" spans="1:6" x14ac:dyDescent="0.35">
      <c r="A299" s="25">
        <v>298</v>
      </c>
      <c r="B299" s="25" t="s">
        <v>966</v>
      </c>
      <c r="C299" s="25" t="s">
        <v>161</v>
      </c>
      <c r="D299" s="25" t="s">
        <v>967</v>
      </c>
      <c r="E299" s="26">
        <f>VLOOKUP(C299,'Device Wise Uptime '!B:D,3,0)</f>
        <v>99.990843621399179</v>
      </c>
      <c r="F299" s="26">
        <f>VLOOKUP(C299,'Device Wise Uptime '!B:F,5,0)</f>
        <v>99.97505144032921</v>
      </c>
    </row>
    <row r="300" spans="1:6" x14ac:dyDescent="0.35">
      <c r="A300" s="25">
        <v>299</v>
      </c>
      <c r="B300" s="25" t="s">
        <v>966</v>
      </c>
      <c r="C300" s="25" t="s">
        <v>1148</v>
      </c>
      <c r="D300" s="25" t="s">
        <v>967</v>
      </c>
      <c r="E300" s="24">
        <v>100</v>
      </c>
      <c r="F300" s="24">
        <v>100</v>
      </c>
    </row>
    <row r="301" spans="1:6" x14ac:dyDescent="0.35">
      <c r="A301" s="25">
        <v>300</v>
      </c>
      <c r="B301" s="25" t="s">
        <v>966</v>
      </c>
      <c r="C301" s="25" t="s">
        <v>169</v>
      </c>
      <c r="D301" s="25" t="s">
        <v>967</v>
      </c>
      <c r="E301" s="26">
        <f>VLOOKUP(C301,'Device Wise Uptime '!B:D,3,0)</f>
        <v>99.993711419753097</v>
      </c>
      <c r="F301" s="26">
        <f>VLOOKUP(C301,'Device Wise Uptime '!B:F,5,0)</f>
        <v>99.655709876543213</v>
      </c>
    </row>
    <row r="302" spans="1:6" x14ac:dyDescent="0.35">
      <c r="A302" s="25">
        <v>301</v>
      </c>
      <c r="B302" s="25" t="s">
        <v>966</v>
      </c>
      <c r="C302" s="25" t="s">
        <v>1147</v>
      </c>
      <c r="D302" s="25" t="s">
        <v>967</v>
      </c>
      <c r="E302" s="24">
        <v>100</v>
      </c>
      <c r="F302" s="24">
        <v>100</v>
      </c>
    </row>
    <row r="303" spans="1:6" x14ac:dyDescent="0.35">
      <c r="A303" s="25">
        <v>302</v>
      </c>
      <c r="B303" s="25" t="s">
        <v>966</v>
      </c>
      <c r="C303" s="25" t="s">
        <v>1146</v>
      </c>
      <c r="D303" s="25" t="s">
        <v>967</v>
      </c>
      <c r="E303" s="24">
        <v>100</v>
      </c>
      <c r="F303" s="24">
        <v>100</v>
      </c>
    </row>
    <row r="304" spans="1:6" x14ac:dyDescent="0.35">
      <c r="A304" s="25">
        <v>303</v>
      </c>
      <c r="B304" s="25" t="s">
        <v>966</v>
      </c>
      <c r="C304" s="25" t="s">
        <v>1145</v>
      </c>
      <c r="D304" s="25" t="s">
        <v>967</v>
      </c>
      <c r="E304" s="24">
        <v>100</v>
      </c>
      <c r="F304" s="24">
        <v>100</v>
      </c>
    </row>
    <row r="305" spans="1:6" x14ac:dyDescent="0.35">
      <c r="A305" s="25">
        <v>304</v>
      </c>
      <c r="B305" s="25" t="s">
        <v>966</v>
      </c>
      <c r="C305" s="25" t="s">
        <v>1144</v>
      </c>
      <c r="D305" s="25" t="s">
        <v>967</v>
      </c>
      <c r="E305" s="24">
        <v>100</v>
      </c>
      <c r="F305" s="24">
        <v>100</v>
      </c>
    </row>
    <row r="306" spans="1:6" x14ac:dyDescent="0.35">
      <c r="A306" s="25">
        <v>305</v>
      </c>
      <c r="B306" s="25" t="s">
        <v>966</v>
      </c>
      <c r="C306" s="25" t="s">
        <v>1143</v>
      </c>
      <c r="D306" s="25" t="s">
        <v>967</v>
      </c>
      <c r="E306" s="24">
        <v>100</v>
      </c>
      <c r="F306" s="24">
        <v>100</v>
      </c>
    </row>
    <row r="307" spans="1:6" x14ac:dyDescent="0.35">
      <c r="A307" s="25">
        <v>306</v>
      </c>
      <c r="B307" s="25" t="s">
        <v>966</v>
      </c>
      <c r="C307" s="25" t="s">
        <v>1142</v>
      </c>
      <c r="D307" s="25" t="s">
        <v>967</v>
      </c>
      <c r="E307" s="24">
        <v>100</v>
      </c>
      <c r="F307" s="24">
        <v>100</v>
      </c>
    </row>
    <row r="308" spans="1:6" x14ac:dyDescent="0.35">
      <c r="A308" s="25">
        <v>307</v>
      </c>
      <c r="B308" s="25" t="s">
        <v>966</v>
      </c>
      <c r="C308" s="25" t="s">
        <v>1141</v>
      </c>
      <c r="D308" s="25" t="s">
        <v>967</v>
      </c>
      <c r="E308" s="24">
        <v>100</v>
      </c>
      <c r="F308" s="24">
        <v>100</v>
      </c>
    </row>
    <row r="309" spans="1:6" x14ac:dyDescent="0.35">
      <c r="A309" s="25">
        <v>308</v>
      </c>
      <c r="B309" s="25" t="s">
        <v>966</v>
      </c>
      <c r="C309" s="25" t="s">
        <v>1140</v>
      </c>
      <c r="D309" s="25" t="s">
        <v>967</v>
      </c>
      <c r="E309" s="24">
        <v>100</v>
      </c>
      <c r="F309" s="24">
        <v>100</v>
      </c>
    </row>
    <row r="310" spans="1:6" x14ac:dyDescent="0.35">
      <c r="A310" s="25">
        <v>309</v>
      </c>
      <c r="B310" s="25" t="s">
        <v>966</v>
      </c>
      <c r="C310" s="25" t="s">
        <v>188</v>
      </c>
      <c r="D310" s="25" t="s">
        <v>967</v>
      </c>
      <c r="E310" s="26">
        <f>VLOOKUP(C310,'Device Wise Uptime '!B:D,3,0)</f>
        <v>99.994004629629629</v>
      </c>
      <c r="F310" s="26">
        <f>VLOOKUP(C310,'Device Wise Uptime '!B:F,5,0)</f>
        <v>99.373086419753093</v>
      </c>
    </row>
    <row r="311" spans="1:6" x14ac:dyDescent="0.35">
      <c r="A311" s="25">
        <v>310</v>
      </c>
      <c r="B311" s="25" t="s">
        <v>966</v>
      </c>
      <c r="C311" s="25" t="s">
        <v>1139</v>
      </c>
      <c r="D311" s="25" t="s">
        <v>967</v>
      </c>
      <c r="E311" s="24">
        <v>100</v>
      </c>
      <c r="F311" s="24">
        <v>100</v>
      </c>
    </row>
    <row r="312" spans="1:6" x14ac:dyDescent="0.35">
      <c r="A312" s="25">
        <v>311</v>
      </c>
      <c r="B312" s="25" t="s">
        <v>966</v>
      </c>
      <c r="C312" s="25" t="s">
        <v>1138</v>
      </c>
      <c r="D312" s="25" t="s">
        <v>967</v>
      </c>
      <c r="E312" s="24">
        <v>100</v>
      </c>
      <c r="F312" s="24">
        <v>100</v>
      </c>
    </row>
    <row r="313" spans="1:6" x14ac:dyDescent="0.35">
      <c r="A313" s="25">
        <v>312</v>
      </c>
      <c r="B313" s="25" t="s">
        <v>966</v>
      </c>
      <c r="C313" s="25" t="s">
        <v>57</v>
      </c>
      <c r="D313" s="25" t="s">
        <v>967</v>
      </c>
      <c r="E313" s="26">
        <f>VLOOKUP(C313,'Device Wise Uptime '!B:D,3,0)</f>
        <v>99.994675925925932</v>
      </c>
      <c r="F313" s="26">
        <f>VLOOKUP(C313,'Device Wise Uptime '!B:F,5,0)</f>
        <v>99.37335648148148</v>
      </c>
    </row>
    <row r="314" spans="1:6" x14ac:dyDescent="0.35">
      <c r="A314" s="25">
        <v>313</v>
      </c>
      <c r="B314" s="25" t="s">
        <v>966</v>
      </c>
      <c r="C314" s="25" t="s">
        <v>1137</v>
      </c>
      <c r="D314" s="25" t="s">
        <v>973</v>
      </c>
      <c r="E314" s="24">
        <v>100</v>
      </c>
      <c r="F314" s="24">
        <v>100</v>
      </c>
    </row>
    <row r="315" spans="1:6" x14ac:dyDescent="0.35">
      <c r="A315" s="25">
        <v>314</v>
      </c>
      <c r="B315" s="25" t="s">
        <v>966</v>
      </c>
      <c r="C315" s="25" t="s">
        <v>1136</v>
      </c>
      <c r="D315" s="25" t="s">
        <v>973</v>
      </c>
      <c r="E315" s="24">
        <v>100</v>
      </c>
      <c r="F315" s="24">
        <v>100</v>
      </c>
    </row>
    <row r="316" spans="1:6" x14ac:dyDescent="0.35">
      <c r="A316" s="25">
        <v>315</v>
      </c>
      <c r="B316" s="25" t="s">
        <v>966</v>
      </c>
      <c r="C316" s="25" t="s">
        <v>1135</v>
      </c>
      <c r="D316" s="25" t="s">
        <v>973</v>
      </c>
      <c r="E316" s="24">
        <v>100</v>
      </c>
      <c r="F316" s="24">
        <v>100</v>
      </c>
    </row>
    <row r="317" spans="1:6" x14ac:dyDescent="0.35">
      <c r="A317" s="25">
        <v>316</v>
      </c>
      <c r="B317" s="25" t="s">
        <v>966</v>
      </c>
      <c r="C317" s="25" t="s">
        <v>1134</v>
      </c>
      <c r="D317" s="25" t="s">
        <v>973</v>
      </c>
      <c r="E317" s="24">
        <v>100</v>
      </c>
      <c r="F317" s="24">
        <v>100</v>
      </c>
    </row>
    <row r="318" spans="1:6" x14ac:dyDescent="0.35">
      <c r="A318" s="25">
        <v>317</v>
      </c>
      <c r="B318" s="25" t="s">
        <v>966</v>
      </c>
      <c r="C318" s="25" t="s">
        <v>1133</v>
      </c>
      <c r="D318" s="25" t="s">
        <v>973</v>
      </c>
      <c r="E318" s="24">
        <v>100</v>
      </c>
      <c r="F318" s="24">
        <v>100</v>
      </c>
    </row>
    <row r="319" spans="1:6" x14ac:dyDescent="0.35">
      <c r="A319" s="25">
        <v>318</v>
      </c>
      <c r="B319" s="25" t="s">
        <v>966</v>
      </c>
      <c r="C319" s="25" t="s">
        <v>1132</v>
      </c>
      <c r="D319" s="25" t="s">
        <v>973</v>
      </c>
      <c r="E319" s="24">
        <v>100</v>
      </c>
      <c r="F319" s="24">
        <v>100</v>
      </c>
    </row>
    <row r="320" spans="1:6" x14ac:dyDescent="0.35">
      <c r="A320" s="25">
        <v>319</v>
      </c>
      <c r="B320" s="25" t="s">
        <v>966</v>
      </c>
      <c r="C320" s="25" t="s">
        <v>1131</v>
      </c>
      <c r="D320" s="25" t="s">
        <v>973</v>
      </c>
      <c r="E320" s="24">
        <v>100</v>
      </c>
      <c r="F320" s="24">
        <v>100</v>
      </c>
    </row>
    <row r="321" spans="1:6" x14ac:dyDescent="0.35">
      <c r="A321" s="25">
        <v>320</v>
      </c>
      <c r="B321" s="25" t="s">
        <v>966</v>
      </c>
      <c r="C321" s="25" t="s">
        <v>300</v>
      </c>
      <c r="D321" s="25" t="s">
        <v>973</v>
      </c>
      <c r="E321" s="26">
        <f>VLOOKUP(C321,'Device Wise Uptime '!B:D,3,0)</f>
        <v>99.991913580246916</v>
      </c>
      <c r="F321" s="26">
        <f>VLOOKUP(C321,'Device Wise Uptime '!B:F,5,0)</f>
        <v>99.251412037037028</v>
      </c>
    </row>
    <row r="322" spans="1:6" x14ac:dyDescent="0.35">
      <c r="A322" s="25">
        <v>321</v>
      </c>
      <c r="B322" s="25" t="s">
        <v>966</v>
      </c>
      <c r="C322" s="25" t="s">
        <v>1130</v>
      </c>
      <c r="D322" s="25" t="s">
        <v>973</v>
      </c>
      <c r="E322" s="24">
        <v>100</v>
      </c>
      <c r="F322" s="24">
        <v>100</v>
      </c>
    </row>
    <row r="323" spans="1:6" x14ac:dyDescent="0.35">
      <c r="A323" s="25">
        <v>322</v>
      </c>
      <c r="B323" s="25" t="s">
        <v>966</v>
      </c>
      <c r="C323" s="25" t="s">
        <v>1129</v>
      </c>
      <c r="D323" s="25" t="s">
        <v>973</v>
      </c>
      <c r="E323" s="24">
        <v>100</v>
      </c>
      <c r="F323" s="24">
        <v>100</v>
      </c>
    </row>
    <row r="324" spans="1:6" x14ac:dyDescent="0.35">
      <c r="A324" s="25">
        <v>323</v>
      </c>
      <c r="B324" s="25" t="s">
        <v>966</v>
      </c>
      <c r="C324" s="25" t="s">
        <v>1128</v>
      </c>
      <c r="D324" s="25" t="s">
        <v>973</v>
      </c>
      <c r="E324" s="24">
        <v>100</v>
      </c>
      <c r="F324" s="24">
        <v>100</v>
      </c>
    </row>
    <row r="325" spans="1:6" x14ac:dyDescent="0.35">
      <c r="A325" s="25">
        <v>324</v>
      </c>
      <c r="B325" s="25" t="s">
        <v>966</v>
      </c>
      <c r="C325" s="25" t="s">
        <v>1127</v>
      </c>
      <c r="D325" s="25" t="s">
        <v>973</v>
      </c>
      <c r="E325" s="24">
        <v>100</v>
      </c>
      <c r="F325" s="24">
        <v>100</v>
      </c>
    </row>
    <row r="326" spans="1:6" x14ac:dyDescent="0.35">
      <c r="A326" s="25">
        <v>325</v>
      </c>
      <c r="B326" s="25" t="s">
        <v>966</v>
      </c>
      <c r="C326" s="25" t="s">
        <v>1126</v>
      </c>
      <c r="D326" s="25" t="s">
        <v>973</v>
      </c>
      <c r="E326" s="24">
        <v>100</v>
      </c>
      <c r="F326" s="24">
        <v>100</v>
      </c>
    </row>
    <row r="327" spans="1:6" x14ac:dyDescent="0.35">
      <c r="A327" s="25">
        <v>326</v>
      </c>
      <c r="B327" s="25" t="s">
        <v>966</v>
      </c>
      <c r="C327" s="25" t="s">
        <v>1125</v>
      </c>
      <c r="D327" s="25" t="s">
        <v>973</v>
      </c>
      <c r="E327" s="24">
        <v>100</v>
      </c>
      <c r="F327" s="24">
        <v>100</v>
      </c>
    </row>
    <row r="328" spans="1:6" x14ac:dyDescent="0.35">
      <c r="A328" s="25">
        <v>327</v>
      </c>
      <c r="B328" s="25" t="s">
        <v>966</v>
      </c>
      <c r="C328" s="25" t="s">
        <v>1124</v>
      </c>
      <c r="D328" s="25" t="s">
        <v>973</v>
      </c>
      <c r="E328" s="24">
        <v>100</v>
      </c>
      <c r="F328" s="24">
        <v>100</v>
      </c>
    </row>
    <row r="329" spans="1:6" x14ac:dyDescent="0.35">
      <c r="A329" s="25">
        <v>328</v>
      </c>
      <c r="B329" s="25" t="s">
        <v>966</v>
      </c>
      <c r="C329" s="25" t="s">
        <v>1123</v>
      </c>
      <c r="D329" s="25" t="s">
        <v>973</v>
      </c>
      <c r="E329" s="24">
        <v>100</v>
      </c>
      <c r="F329" s="24">
        <v>100</v>
      </c>
    </row>
    <row r="330" spans="1:6" x14ac:dyDescent="0.35">
      <c r="A330" s="25">
        <v>329</v>
      </c>
      <c r="B330" s="25" t="s">
        <v>966</v>
      </c>
      <c r="C330" s="25" t="s">
        <v>1122</v>
      </c>
      <c r="D330" s="25" t="s">
        <v>973</v>
      </c>
      <c r="E330" s="24">
        <v>100</v>
      </c>
      <c r="F330" s="24">
        <v>100</v>
      </c>
    </row>
    <row r="331" spans="1:6" x14ac:dyDescent="0.35">
      <c r="A331" s="25">
        <v>330</v>
      </c>
      <c r="B331" s="25" t="s">
        <v>966</v>
      </c>
      <c r="C331" s="25" t="s">
        <v>1121</v>
      </c>
      <c r="D331" s="25" t="s">
        <v>973</v>
      </c>
      <c r="E331" s="24">
        <v>100</v>
      </c>
      <c r="F331" s="24">
        <v>100</v>
      </c>
    </row>
    <row r="332" spans="1:6" x14ac:dyDescent="0.35">
      <c r="A332" s="25">
        <v>331</v>
      </c>
      <c r="B332" s="25" t="s">
        <v>966</v>
      </c>
      <c r="C332" s="25" t="s">
        <v>372</v>
      </c>
      <c r="D332" s="25" t="s">
        <v>973</v>
      </c>
      <c r="E332" s="26">
        <f>VLOOKUP(C332,'Device Wise Uptime '!B:D,3,0)</f>
        <v>99.994413580246913</v>
      </c>
      <c r="F332" s="26">
        <f>VLOOKUP(C332,'Device Wise Uptime '!B:F,5,0)</f>
        <v>99.945852623456801</v>
      </c>
    </row>
    <row r="333" spans="1:6" x14ac:dyDescent="0.35">
      <c r="A333" s="25">
        <v>332</v>
      </c>
      <c r="B333" s="25" t="s">
        <v>966</v>
      </c>
      <c r="C333" s="25" t="s">
        <v>1120</v>
      </c>
      <c r="D333" s="25" t="s">
        <v>973</v>
      </c>
      <c r="E333" s="24">
        <v>100</v>
      </c>
      <c r="F333" s="24">
        <v>100</v>
      </c>
    </row>
    <row r="334" spans="1:6" x14ac:dyDescent="0.35">
      <c r="A334" s="25">
        <v>333</v>
      </c>
      <c r="B334" s="25" t="s">
        <v>966</v>
      </c>
      <c r="C334" s="25" t="s">
        <v>1119</v>
      </c>
      <c r="D334" s="25" t="s">
        <v>973</v>
      </c>
      <c r="E334" s="24">
        <v>100</v>
      </c>
      <c r="F334" s="24">
        <v>100</v>
      </c>
    </row>
    <row r="335" spans="1:6" x14ac:dyDescent="0.35">
      <c r="A335" s="25">
        <v>334</v>
      </c>
      <c r="B335" s="25" t="s">
        <v>966</v>
      </c>
      <c r="C335" s="25" t="s">
        <v>1118</v>
      </c>
      <c r="D335" s="25" t="s">
        <v>973</v>
      </c>
      <c r="E335" s="24">
        <v>100</v>
      </c>
      <c r="F335" s="24">
        <v>100</v>
      </c>
    </row>
    <row r="336" spans="1:6" x14ac:dyDescent="0.35">
      <c r="A336" s="25">
        <v>335</v>
      </c>
      <c r="B336" s="25" t="s">
        <v>966</v>
      </c>
      <c r="C336" s="25" t="s">
        <v>1117</v>
      </c>
      <c r="D336" s="25" t="s">
        <v>973</v>
      </c>
      <c r="E336" s="24">
        <v>100</v>
      </c>
      <c r="F336" s="24">
        <v>100</v>
      </c>
    </row>
    <row r="337" spans="1:6" x14ac:dyDescent="0.35">
      <c r="A337" s="25">
        <v>336</v>
      </c>
      <c r="B337" s="25" t="s">
        <v>966</v>
      </c>
      <c r="C337" s="25" t="s">
        <v>1116</v>
      </c>
      <c r="D337" s="25" t="s">
        <v>973</v>
      </c>
      <c r="E337" s="24">
        <v>100</v>
      </c>
      <c r="F337" s="24">
        <v>100</v>
      </c>
    </row>
    <row r="338" spans="1:6" x14ac:dyDescent="0.35">
      <c r="A338" s="25">
        <v>337</v>
      </c>
      <c r="B338" s="25" t="s">
        <v>966</v>
      </c>
      <c r="C338" s="25" t="s">
        <v>484</v>
      </c>
      <c r="D338" s="25" t="s">
        <v>973</v>
      </c>
      <c r="E338" s="26">
        <f>VLOOKUP(C338,'Device Wise Uptime '!B:D,3,0)</f>
        <v>99.991705246913583</v>
      </c>
      <c r="F338" s="26">
        <f>VLOOKUP(C338,'Device Wise Uptime '!B:F,5,0)</f>
        <v>99.955987654320978</v>
      </c>
    </row>
    <row r="339" spans="1:6" x14ac:dyDescent="0.35">
      <c r="A339" s="25">
        <v>338</v>
      </c>
      <c r="B339" s="25" t="s">
        <v>966</v>
      </c>
      <c r="C339" s="25" t="s">
        <v>1115</v>
      </c>
      <c r="D339" s="25" t="s">
        <v>973</v>
      </c>
      <c r="E339" s="24">
        <v>100</v>
      </c>
      <c r="F339" s="24">
        <v>100</v>
      </c>
    </row>
    <row r="340" spans="1:6" x14ac:dyDescent="0.35">
      <c r="A340" s="25">
        <v>339</v>
      </c>
      <c r="B340" s="25" t="s">
        <v>966</v>
      </c>
      <c r="C340" s="25" t="s">
        <v>1114</v>
      </c>
      <c r="D340" s="25" t="s">
        <v>973</v>
      </c>
      <c r="E340" s="24">
        <v>100</v>
      </c>
      <c r="F340" s="24">
        <v>100</v>
      </c>
    </row>
    <row r="341" spans="1:6" x14ac:dyDescent="0.35">
      <c r="A341" s="25">
        <v>340</v>
      </c>
      <c r="B341" s="25" t="s">
        <v>966</v>
      </c>
      <c r="C341" s="25" t="s">
        <v>495</v>
      </c>
      <c r="D341" s="25" t="s">
        <v>973</v>
      </c>
      <c r="E341" s="26">
        <f>VLOOKUP(C341,'Device Wise Uptime '!B:D,3,0)</f>
        <v>99.993032407407412</v>
      </c>
      <c r="F341" s="26">
        <f>VLOOKUP(C341,'Device Wise Uptime '!B:F,5,0)</f>
        <v>99.995694444444439</v>
      </c>
    </row>
    <row r="342" spans="1:6" x14ac:dyDescent="0.35">
      <c r="A342" s="25">
        <v>341</v>
      </c>
      <c r="B342" s="25" t="s">
        <v>966</v>
      </c>
      <c r="C342" s="25" t="s">
        <v>738</v>
      </c>
      <c r="D342" s="25" t="s">
        <v>973</v>
      </c>
      <c r="E342" s="26">
        <f>VLOOKUP(C342,'Device Wise Uptime '!B:D,3,0)</f>
        <v>99.993765432098769</v>
      </c>
      <c r="F342" s="26">
        <f>VLOOKUP(C342,'Device Wise Uptime '!B:F,5,0)</f>
        <v>99.93590277777777</v>
      </c>
    </row>
    <row r="343" spans="1:6" x14ac:dyDescent="0.35">
      <c r="A343" s="25">
        <v>342</v>
      </c>
      <c r="B343" s="25" t="s">
        <v>966</v>
      </c>
      <c r="C343" s="25" t="s">
        <v>555</v>
      </c>
      <c r="D343" s="25" t="s">
        <v>973</v>
      </c>
      <c r="E343" s="26">
        <f>VLOOKUP(C343,'Device Wise Uptime '!B:D,3,0)</f>
        <v>99.994807098765435</v>
      </c>
      <c r="F343" s="26">
        <f>VLOOKUP(C343,'Device Wise Uptime '!B:F,5,0)</f>
        <v>90.534336419753075</v>
      </c>
    </row>
    <row r="344" spans="1:6" x14ac:dyDescent="0.35">
      <c r="A344" s="25">
        <v>343</v>
      </c>
      <c r="B344" s="25" t="s">
        <v>966</v>
      </c>
      <c r="C344" s="25" t="s">
        <v>1113</v>
      </c>
      <c r="D344" s="25" t="s">
        <v>973</v>
      </c>
      <c r="E344" s="24">
        <v>100</v>
      </c>
      <c r="F344" s="24">
        <v>100</v>
      </c>
    </row>
    <row r="345" spans="1:6" x14ac:dyDescent="0.35">
      <c r="A345" s="25">
        <v>344</v>
      </c>
      <c r="B345" s="25" t="s">
        <v>966</v>
      </c>
      <c r="C345" s="25" t="s">
        <v>509</v>
      </c>
      <c r="D345" s="25" t="s">
        <v>973</v>
      </c>
      <c r="E345" s="26">
        <f>VLOOKUP(C345,'Device Wise Uptime '!B:D,3,0)</f>
        <v>99.991689814814819</v>
      </c>
      <c r="F345" s="26">
        <f>VLOOKUP(C345,'Device Wise Uptime '!B:F,5,0)</f>
        <v>95.093348765432097</v>
      </c>
    </row>
    <row r="346" spans="1:6" x14ac:dyDescent="0.35">
      <c r="A346" s="25">
        <v>345</v>
      </c>
      <c r="B346" s="25" t="s">
        <v>966</v>
      </c>
      <c r="C346" s="25" t="s">
        <v>1112</v>
      </c>
      <c r="D346" s="25" t="s">
        <v>973</v>
      </c>
      <c r="E346" s="24">
        <v>100</v>
      </c>
      <c r="F346" s="24">
        <v>100</v>
      </c>
    </row>
    <row r="347" spans="1:6" x14ac:dyDescent="0.35">
      <c r="A347" s="25">
        <v>346</v>
      </c>
      <c r="B347" s="25" t="s">
        <v>966</v>
      </c>
      <c r="C347" s="25" t="s">
        <v>1111</v>
      </c>
      <c r="D347" s="25" t="s">
        <v>973</v>
      </c>
      <c r="E347" s="24">
        <v>100</v>
      </c>
      <c r="F347" s="24">
        <v>100</v>
      </c>
    </row>
    <row r="348" spans="1:6" x14ac:dyDescent="0.35">
      <c r="A348" s="25">
        <v>347</v>
      </c>
      <c r="B348" s="25" t="s">
        <v>966</v>
      </c>
      <c r="C348" s="25" t="s">
        <v>1110</v>
      </c>
      <c r="D348" s="25" t="s">
        <v>973</v>
      </c>
      <c r="E348" s="24">
        <v>100</v>
      </c>
      <c r="F348" s="24">
        <v>100</v>
      </c>
    </row>
    <row r="349" spans="1:6" x14ac:dyDescent="0.35">
      <c r="A349" s="25">
        <v>348</v>
      </c>
      <c r="B349" s="25" t="s">
        <v>966</v>
      </c>
      <c r="C349" s="25" t="s">
        <v>1109</v>
      </c>
      <c r="D349" s="25" t="s">
        <v>973</v>
      </c>
      <c r="E349" s="24">
        <v>100</v>
      </c>
      <c r="F349" s="24">
        <v>100</v>
      </c>
    </row>
    <row r="350" spans="1:6" x14ac:dyDescent="0.35">
      <c r="A350" s="25">
        <v>349</v>
      </c>
      <c r="B350" s="25" t="s">
        <v>966</v>
      </c>
      <c r="C350" s="25" t="s">
        <v>1108</v>
      </c>
      <c r="D350" s="25" t="s">
        <v>973</v>
      </c>
      <c r="E350" s="24">
        <v>100</v>
      </c>
      <c r="F350" s="24">
        <v>100</v>
      </c>
    </row>
    <row r="351" spans="1:6" x14ac:dyDescent="0.35">
      <c r="A351" s="25">
        <v>350</v>
      </c>
      <c r="B351" s="25" t="s">
        <v>966</v>
      </c>
      <c r="C351" s="25" t="s">
        <v>1107</v>
      </c>
      <c r="D351" s="25" t="s">
        <v>973</v>
      </c>
      <c r="E351" s="24">
        <v>100</v>
      </c>
      <c r="F351" s="24">
        <v>100</v>
      </c>
    </row>
    <row r="352" spans="1:6" x14ac:dyDescent="0.35">
      <c r="A352" s="25">
        <v>351</v>
      </c>
      <c r="B352" s="25" t="s">
        <v>966</v>
      </c>
      <c r="C352" s="25" t="s">
        <v>317</v>
      </c>
      <c r="D352" s="25" t="s">
        <v>973</v>
      </c>
      <c r="E352" s="26">
        <f>VLOOKUP(C352,'Device Wise Uptime '!B:D,3,0)</f>
        <v>99.986666666666665</v>
      </c>
      <c r="F352" s="26">
        <f>VLOOKUP(C352,'Device Wise Uptime '!B:F,5,0)</f>
        <v>99.655825617283938</v>
      </c>
    </row>
    <row r="353" spans="1:6" x14ac:dyDescent="0.35">
      <c r="A353" s="25">
        <v>352</v>
      </c>
      <c r="B353" s="25" t="s">
        <v>966</v>
      </c>
      <c r="C353" s="25" t="s">
        <v>658</v>
      </c>
      <c r="D353" s="25" t="s">
        <v>973</v>
      </c>
      <c r="E353" s="26">
        <f>VLOOKUP(C353,'Device Wise Uptime '!B:D,3,0)</f>
        <v>99.993996913580247</v>
      </c>
      <c r="F353" s="26">
        <f>VLOOKUP(C353,'Device Wise Uptime '!B:F,5,0)</f>
        <v>99.99212962962963</v>
      </c>
    </row>
    <row r="354" spans="1:6" x14ac:dyDescent="0.35">
      <c r="A354" s="25">
        <v>353</v>
      </c>
      <c r="B354" s="25" t="s">
        <v>966</v>
      </c>
      <c r="C354" s="25" t="s">
        <v>1106</v>
      </c>
      <c r="D354" s="25" t="s">
        <v>973</v>
      </c>
      <c r="E354" s="24">
        <v>100</v>
      </c>
      <c r="F354" s="24">
        <v>100</v>
      </c>
    </row>
    <row r="355" spans="1:6" x14ac:dyDescent="0.35">
      <c r="A355" s="25">
        <v>354</v>
      </c>
      <c r="B355" s="25" t="s">
        <v>966</v>
      </c>
      <c r="C355" s="25" t="s">
        <v>1105</v>
      </c>
      <c r="D355" s="25" t="s">
        <v>973</v>
      </c>
      <c r="E355" s="24">
        <v>100</v>
      </c>
      <c r="F355" s="24">
        <v>100</v>
      </c>
    </row>
    <row r="356" spans="1:6" x14ac:dyDescent="0.35">
      <c r="A356" s="25">
        <v>355</v>
      </c>
      <c r="B356" s="25" t="s">
        <v>966</v>
      </c>
      <c r="C356" s="25" t="s">
        <v>1104</v>
      </c>
      <c r="D356" s="25" t="s">
        <v>973</v>
      </c>
      <c r="E356" s="24">
        <v>100</v>
      </c>
      <c r="F356" s="24">
        <v>100</v>
      </c>
    </row>
    <row r="357" spans="1:6" x14ac:dyDescent="0.35">
      <c r="A357" s="25">
        <v>356</v>
      </c>
      <c r="B357" s="25" t="s">
        <v>966</v>
      </c>
      <c r="C357" s="25" t="s">
        <v>535</v>
      </c>
      <c r="D357" s="25" t="s">
        <v>973</v>
      </c>
      <c r="E357" s="26">
        <f>VLOOKUP(C357,'Device Wise Uptime '!B:D,3,0)</f>
        <v>99.996396604938269</v>
      </c>
      <c r="F357" s="26">
        <f>VLOOKUP(C357,'Device Wise Uptime '!B:F,5,0)</f>
        <v>99.93882716049383</v>
      </c>
    </row>
    <row r="358" spans="1:6" x14ac:dyDescent="0.35">
      <c r="A358" s="25">
        <v>357</v>
      </c>
      <c r="B358" s="25" t="s">
        <v>966</v>
      </c>
      <c r="C358" s="25" t="s">
        <v>1103</v>
      </c>
      <c r="D358" s="25" t="s">
        <v>973</v>
      </c>
      <c r="E358" s="24">
        <v>100</v>
      </c>
      <c r="F358" s="24">
        <v>100</v>
      </c>
    </row>
    <row r="359" spans="1:6" x14ac:dyDescent="0.35">
      <c r="A359" s="25">
        <v>358</v>
      </c>
      <c r="B359" s="25" t="s">
        <v>966</v>
      </c>
      <c r="C359" s="25" t="s">
        <v>1102</v>
      </c>
      <c r="D359" s="25" t="s">
        <v>973</v>
      </c>
      <c r="E359" s="24">
        <v>100</v>
      </c>
      <c r="F359" s="24">
        <v>100</v>
      </c>
    </row>
    <row r="360" spans="1:6" x14ac:dyDescent="0.35">
      <c r="A360" s="25">
        <v>359</v>
      </c>
      <c r="B360" s="25" t="s">
        <v>966</v>
      </c>
      <c r="C360" s="25" t="s">
        <v>1101</v>
      </c>
      <c r="D360" s="25" t="s">
        <v>973</v>
      </c>
      <c r="E360" s="24">
        <v>100</v>
      </c>
      <c r="F360" s="24">
        <v>100</v>
      </c>
    </row>
    <row r="361" spans="1:6" x14ac:dyDescent="0.35">
      <c r="A361" s="25">
        <v>360</v>
      </c>
      <c r="B361" s="25" t="s">
        <v>966</v>
      </c>
      <c r="C361" s="25" t="s">
        <v>1100</v>
      </c>
      <c r="D361" s="25" t="s">
        <v>973</v>
      </c>
      <c r="E361" s="24">
        <v>100</v>
      </c>
      <c r="F361" s="24">
        <v>100</v>
      </c>
    </row>
    <row r="362" spans="1:6" x14ac:dyDescent="0.35">
      <c r="A362" s="25">
        <v>361</v>
      </c>
      <c r="B362" s="25" t="s">
        <v>966</v>
      </c>
      <c r="C362" s="25" t="s">
        <v>661</v>
      </c>
      <c r="D362" s="25" t="s">
        <v>973</v>
      </c>
      <c r="E362" s="26">
        <f>VLOOKUP(C362,'Device Wise Uptime '!B:D,3,0)</f>
        <v>99.99490740740741</v>
      </c>
      <c r="F362" s="26">
        <f>VLOOKUP(C362,'Device Wise Uptime '!B:F,5,0)</f>
        <v>99.995393518518512</v>
      </c>
    </row>
    <row r="363" spans="1:6" x14ac:dyDescent="0.35">
      <c r="A363" s="25">
        <v>362</v>
      </c>
      <c r="B363" s="25" t="s">
        <v>966</v>
      </c>
      <c r="C363" s="25" t="s">
        <v>233</v>
      </c>
      <c r="D363" s="25" t="s">
        <v>973</v>
      </c>
      <c r="E363" s="26">
        <f>VLOOKUP(C363,'Device Wise Uptime '!B:D,3,0)</f>
        <v>99.99251543209877</v>
      </c>
      <c r="F363" s="26">
        <f>VLOOKUP(C363,'Device Wise Uptime '!B:F,5,0)</f>
        <v>96.018310185185186</v>
      </c>
    </row>
    <row r="364" spans="1:6" x14ac:dyDescent="0.35">
      <c r="A364" s="25">
        <v>363</v>
      </c>
      <c r="B364" s="25" t="s">
        <v>966</v>
      </c>
      <c r="C364" s="25" t="s">
        <v>1099</v>
      </c>
      <c r="D364" s="25" t="s">
        <v>973</v>
      </c>
      <c r="E364" s="24">
        <v>100</v>
      </c>
      <c r="F364" s="24">
        <v>100</v>
      </c>
    </row>
    <row r="365" spans="1:6" x14ac:dyDescent="0.35">
      <c r="A365" s="25">
        <v>364</v>
      </c>
      <c r="B365" s="25" t="s">
        <v>966</v>
      </c>
      <c r="C365" s="25" t="s">
        <v>1098</v>
      </c>
      <c r="D365" s="25" t="s">
        <v>973</v>
      </c>
      <c r="E365" s="24">
        <v>100</v>
      </c>
      <c r="F365" s="24">
        <v>100</v>
      </c>
    </row>
    <row r="366" spans="1:6" x14ac:dyDescent="0.35">
      <c r="A366" s="25">
        <v>365</v>
      </c>
      <c r="B366" s="25" t="s">
        <v>966</v>
      </c>
      <c r="C366" s="25" t="s">
        <v>203</v>
      </c>
      <c r="D366" s="25" t="s">
        <v>973</v>
      </c>
      <c r="E366" s="26">
        <f>VLOOKUP(C366,'Device Wise Uptime '!B:D,3,0)</f>
        <v>99.99350308641975</v>
      </c>
      <c r="F366" s="26">
        <f>VLOOKUP(C366,'Device Wise Uptime '!B:F,5,0)</f>
        <v>99.249050925925928</v>
      </c>
    </row>
    <row r="367" spans="1:6" x14ac:dyDescent="0.35">
      <c r="A367" s="25">
        <v>366</v>
      </c>
      <c r="B367" s="25" t="s">
        <v>966</v>
      </c>
      <c r="C367" s="25" t="s">
        <v>1097</v>
      </c>
      <c r="D367" s="25" t="s">
        <v>973</v>
      </c>
      <c r="E367" s="24">
        <v>100</v>
      </c>
      <c r="F367" s="24">
        <v>100</v>
      </c>
    </row>
    <row r="368" spans="1:6" x14ac:dyDescent="0.35">
      <c r="A368" s="25">
        <v>367</v>
      </c>
      <c r="B368" s="25" t="s">
        <v>966</v>
      </c>
      <c r="C368" s="25" t="s">
        <v>1096</v>
      </c>
      <c r="D368" s="25" t="s">
        <v>973</v>
      </c>
      <c r="E368" s="24">
        <v>100</v>
      </c>
      <c r="F368" s="24">
        <v>100</v>
      </c>
    </row>
    <row r="369" spans="1:6" x14ac:dyDescent="0.35">
      <c r="A369" s="25">
        <v>368</v>
      </c>
      <c r="B369" s="25" t="s">
        <v>966</v>
      </c>
      <c r="C369" s="25" t="s">
        <v>287</v>
      </c>
      <c r="D369" s="25" t="s">
        <v>973</v>
      </c>
      <c r="E369" s="26">
        <f>VLOOKUP(C369,'Device Wise Uptime '!B:D,3,0)</f>
        <v>99.991415895061721</v>
      </c>
      <c r="F369" s="26">
        <f>VLOOKUP(C369,'Device Wise Uptime '!B:F,5,0)</f>
        <v>99.95397762345678</v>
      </c>
    </row>
    <row r="370" spans="1:6" x14ac:dyDescent="0.35">
      <c r="A370" s="25">
        <v>369</v>
      </c>
      <c r="B370" s="25" t="s">
        <v>966</v>
      </c>
      <c r="C370" s="25" t="s">
        <v>814</v>
      </c>
      <c r="D370" s="25" t="s">
        <v>973</v>
      </c>
      <c r="E370" s="26">
        <f>VLOOKUP(C370,'Device Wise Uptime '!B:D,3,0)</f>
        <v>99.992785493827157</v>
      </c>
      <c r="F370" s="26">
        <f>VLOOKUP(C370,'Device Wise Uptime '!B:F,5,0)</f>
        <v>99.995817901234574</v>
      </c>
    </row>
    <row r="371" spans="1:6" x14ac:dyDescent="0.35">
      <c r="A371" s="25">
        <v>370</v>
      </c>
      <c r="B371" s="25" t="s">
        <v>966</v>
      </c>
      <c r="C371" s="25" t="s">
        <v>1095</v>
      </c>
      <c r="D371" s="25" t="s">
        <v>973</v>
      </c>
      <c r="E371" s="24">
        <v>100</v>
      </c>
      <c r="F371" s="24">
        <v>100</v>
      </c>
    </row>
    <row r="372" spans="1:6" x14ac:dyDescent="0.35">
      <c r="A372" s="25">
        <v>371</v>
      </c>
      <c r="B372" s="25" t="s">
        <v>966</v>
      </c>
      <c r="C372" s="25" t="s">
        <v>1094</v>
      </c>
      <c r="D372" s="25" t="s">
        <v>973</v>
      </c>
      <c r="E372" s="24">
        <v>100</v>
      </c>
      <c r="F372" s="24">
        <v>100</v>
      </c>
    </row>
    <row r="373" spans="1:6" x14ac:dyDescent="0.35">
      <c r="A373" s="25">
        <v>372</v>
      </c>
      <c r="B373" s="25" t="s">
        <v>966</v>
      </c>
      <c r="C373" s="25" t="s">
        <v>1093</v>
      </c>
      <c r="D373" s="25" t="s">
        <v>973</v>
      </c>
      <c r="E373" s="24">
        <v>100</v>
      </c>
      <c r="F373" s="24">
        <v>100</v>
      </c>
    </row>
    <row r="374" spans="1:6" x14ac:dyDescent="0.35">
      <c r="A374" s="25">
        <v>373</v>
      </c>
      <c r="B374" s="25" t="s">
        <v>966</v>
      </c>
      <c r="C374" s="25" t="s">
        <v>1092</v>
      </c>
      <c r="D374" s="25" t="s">
        <v>973</v>
      </c>
      <c r="E374" s="24">
        <v>100</v>
      </c>
      <c r="F374" s="24">
        <v>100</v>
      </c>
    </row>
    <row r="375" spans="1:6" x14ac:dyDescent="0.35">
      <c r="A375" s="25">
        <v>374</v>
      </c>
      <c r="B375" s="25" t="s">
        <v>966</v>
      </c>
      <c r="C375" s="25" t="s">
        <v>334</v>
      </c>
      <c r="D375" s="25" t="s">
        <v>973</v>
      </c>
      <c r="E375" s="26">
        <f>VLOOKUP(C375,'Device Wise Uptime '!B:D,3,0)</f>
        <v>99.98860339506173</v>
      </c>
      <c r="F375" s="26">
        <f>VLOOKUP(C375,'Device Wise Uptime '!B:F,5,0)</f>
        <v>99.655300925925928</v>
      </c>
    </row>
    <row r="376" spans="1:6" x14ac:dyDescent="0.35">
      <c r="A376" s="25">
        <v>375</v>
      </c>
      <c r="B376" s="25" t="s">
        <v>966</v>
      </c>
      <c r="C376" s="25" t="s">
        <v>1091</v>
      </c>
      <c r="D376" s="25" t="s">
        <v>973</v>
      </c>
      <c r="E376" s="24">
        <v>100</v>
      </c>
      <c r="F376" s="24">
        <v>100</v>
      </c>
    </row>
    <row r="377" spans="1:6" x14ac:dyDescent="0.35">
      <c r="A377" s="25">
        <v>376</v>
      </c>
      <c r="B377" s="25" t="s">
        <v>966</v>
      </c>
      <c r="C377" s="25" t="s">
        <v>573</v>
      </c>
      <c r="D377" s="25" t="s">
        <v>973</v>
      </c>
      <c r="E377" s="26">
        <f>VLOOKUP(C377,'Device Wise Uptime '!B:D,3,0)</f>
        <v>99.993996913580247</v>
      </c>
      <c r="F377" s="26">
        <f>VLOOKUP(C377,'Device Wise Uptime '!B:F,5,0)</f>
        <v>99.992168209876553</v>
      </c>
    </row>
    <row r="378" spans="1:6" x14ac:dyDescent="0.35">
      <c r="A378" s="25">
        <v>377</v>
      </c>
      <c r="B378" s="25" t="s">
        <v>966</v>
      </c>
      <c r="C378" s="25" t="s">
        <v>1090</v>
      </c>
      <c r="D378" s="25" t="s">
        <v>973</v>
      </c>
      <c r="E378" s="24">
        <v>100</v>
      </c>
      <c r="F378" s="24">
        <v>100</v>
      </c>
    </row>
    <row r="379" spans="1:6" x14ac:dyDescent="0.35">
      <c r="A379" s="25">
        <v>378</v>
      </c>
      <c r="B379" s="25" t="s">
        <v>966</v>
      </c>
      <c r="C379" s="25" t="s">
        <v>297</v>
      </c>
      <c r="D379" s="25" t="s">
        <v>973</v>
      </c>
      <c r="E379" s="26">
        <f>VLOOKUP(C379,'Device Wise Uptime '!B:D,3,0)</f>
        <v>99.996091820987658</v>
      </c>
      <c r="F379" s="26">
        <f>VLOOKUP(C379,'Device Wise Uptime '!B:F,5,0)</f>
        <v>94.169783950617273</v>
      </c>
    </row>
    <row r="380" spans="1:6" x14ac:dyDescent="0.35">
      <c r="A380" s="25">
        <v>379</v>
      </c>
      <c r="B380" s="25" t="s">
        <v>966</v>
      </c>
      <c r="C380" s="25" t="s">
        <v>1089</v>
      </c>
      <c r="D380" s="25" t="s">
        <v>973</v>
      </c>
      <c r="E380" s="24">
        <v>100</v>
      </c>
      <c r="F380" s="24">
        <v>100</v>
      </c>
    </row>
    <row r="381" spans="1:6" x14ac:dyDescent="0.35">
      <c r="A381" s="25">
        <v>380</v>
      </c>
      <c r="B381" s="25" t="s">
        <v>966</v>
      </c>
      <c r="C381" s="25" t="s">
        <v>1088</v>
      </c>
      <c r="D381" s="25" t="s">
        <v>973</v>
      </c>
      <c r="E381" s="24">
        <v>100</v>
      </c>
      <c r="F381" s="24">
        <v>100</v>
      </c>
    </row>
    <row r="382" spans="1:6" x14ac:dyDescent="0.35">
      <c r="A382" s="25">
        <v>381</v>
      </c>
      <c r="B382" s="25" t="s">
        <v>966</v>
      </c>
      <c r="C382" s="25" t="s">
        <v>1087</v>
      </c>
      <c r="D382" s="25" t="s">
        <v>973</v>
      </c>
      <c r="E382" s="24">
        <v>100</v>
      </c>
      <c r="F382" s="24">
        <v>100</v>
      </c>
    </row>
    <row r="383" spans="1:6" x14ac:dyDescent="0.35">
      <c r="A383" s="25">
        <v>382</v>
      </c>
      <c r="B383" s="25" t="s">
        <v>966</v>
      </c>
      <c r="C383" s="25" t="s">
        <v>1086</v>
      </c>
      <c r="D383" s="25" t="s">
        <v>973</v>
      </c>
      <c r="E383" s="24">
        <v>100</v>
      </c>
      <c r="F383" s="24">
        <v>100</v>
      </c>
    </row>
    <row r="384" spans="1:6" x14ac:dyDescent="0.35">
      <c r="A384" s="25">
        <v>383</v>
      </c>
      <c r="B384" s="25" t="s">
        <v>966</v>
      </c>
      <c r="C384" s="25" t="s">
        <v>1085</v>
      </c>
      <c r="D384" s="25" t="s">
        <v>973</v>
      </c>
      <c r="E384" s="24">
        <v>100</v>
      </c>
      <c r="F384" s="24">
        <v>100</v>
      </c>
    </row>
    <row r="385" spans="1:6" x14ac:dyDescent="0.35">
      <c r="A385" s="25">
        <v>384</v>
      </c>
      <c r="B385" s="25" t="s">
        <v>966</v>
      </c>
      <c r="C385" s="25" t="s">
        <v>1084</v>
      </c>
      <c r="D385" s="25" t="s">
        <v>973</v>
      </c>
      <c r="E385" s="24">
        <v>100</v>
      </c>
      <c r="F385" s="24">
        <v>100</v>
      </c>
    </row>
    <row r="386" spans="1:6" x14ac:dyDescent="0.35">
      <c r="A386" s="25">
        <v>385</v>
      </c>
      <c r="B386" s="25" t="s">
        <v>966</v>
      </c>
      <c r="C386" s="25" t="s">
        <v>1083</v>
      </c>
      <c r="D386" s="25" t="s">
        <v>973</v>
      </c>
      <c r="E386" s="24">
        <v>100</v>
      </c>
      <c r="F386" s="24">
        <v>100</v>
      </c>
    </row>
    <row r="387" spans="1:6" x14ac:dyDescent="0.35">
      <c r="A387" s="25">
        <v>386</v>
      </c>
      <c r="B387" s="25" t="s">
        <v>966</v>
      </c>
      <c r="C387" s="25" t="s">
        <v>1082</v>
      </c>
      <c r="D387" s="25" t="s">
        <v>973</v>
      </c>
      <c r="E387" s="24">
        <v>100</v>
      </c>
      <c r="F387" s="24">
        <v>100</v>
      </c>
    </row>
    <row r="388" spans="1:6" x14ac:dyDescent="0.35">
      <c r="A388" s="25">
        <v>387</v>
      </c>
      <c r="B388" s="25" t="s">
        <v>966</v>
      </c>
      <c r="C388" s="25" t="s">
        <v>1081</v>
      </c>
      <c r="D388" s="25" t="s">
        <v>973</v>
      </c>
      <c r="E388" s="24">
        <v>100</v>
      </c>
      <c r="F388" s="24">
        <v>100</v>
      </c>
    </row>
    <row r="389" spans="1:6" x14ac:dyDescent="0.35">
      <c r="A389" s="25">
        <v>388</v>
      </c>
      <c r="B389" s="25" t="s">
        <v>966</v>
      </c>
      <c r="C389" s="25" t="s">
        <v>337</v>
      </c>
      <c r="D389" s="25" t="s">
        <v>973</v>
      </c>
      <c r="E389" s="26">
        <f>VLOOKUP(C389,'Device Wise Uptime '!B:D,3,0)</f>
        <v>99.994290123456793</v>
      </c>
      <c r="F389" s="26">
        <f>VLOOKUP(C389,'Device Wise Uptime '!B:F,5,0)</f>
        <v>99.245949074074076</v>
      </c>
    </row>
    <row r="390" spans="1:6" x14ac:dyDescent="0.35">
      <c r="A390" s="25">
        <v>389</v>
      </c>
      <c r="B390" s="25" t="s">
        <v>966</v>
      </c>
      <c r="C390" s="25" t="s">
        <v>1080</v>
      </c>
      <c r="D390" s="25" t="s">
        <v>973</v>
      </c>
      <c r="E390" s="24">
        <v>100</v>
      </c>
      <c r="F390" s="24">
        <v>100</v>
      </c>
    </row>
    <row r="391" spans="1:6" x14ac:dyDescent="0.35">
      <c r="A391" s="25">
        <v>390</v>
      </c>
      <c r="B391" s="25" t="s">
        <v>966</v>
      </c>
      <c r="C391" s="25" t="s">
        <v>1079</v>
      </c>
      <c r="D391" s="25" t="s">
        <v>973</v>
      </c>
      <c r="E391" s="24">
        <v>100</v>
      </c>
      <c r="F391" s="24">
        <v>100</v>
      </c>
    </row>
    <row r="392" spans="1:6" x14ac:dyDescent="0.35">
      <c r="A392" s="25">
        <v>391</v>
      </c>
      <c r="B392" s="25" t="s">
        <v>966</v>
      </c>
      <c r="C392" s="25" t="s">
        <v>1078</v>
      </c>
      <c r="D392" s="25" t="s">
        <v>973</v>
      </c>
      <c r="E392" s="24">
        <v>100</v>
      </c>
      <c r="F392" s="24">
        <v>100</v>
      </c>
    </row>
    <row r="393" spans="1:6" x14ac:dyDescent="0.35">
      <c r="A393" s="25">
        <v>392</v>
      </c>
      <c r="B393" s="25" t="s">
        <v>966</v>
      </c>
      <c r="C393" s="25" t="s">
        <v>1077</v>
      </c>
      <c r="D393" s="25" t="s">
        <v>973</v>
      </c>
      <c r="E393" s="24">
        <v>100</v>
      </c>
      <c r="F393" s="24">
        <v>100</v>
      </c>
    </row>
    <row r="394" spans="1:6" x14ac:dyDescent="0.35">
      <c r="A394" s="25">
        <v>393</v>
      </c>
      <c r="B394" s="25" t="s">
        <v>966</v>
      </c>
      <c r="C394" s="25" t="s">
        <v>1076</v>
      </c>
      <c r="D394" s="25" t="s">
        <v>973</v>
      </c>
      <c r="E394" s="24">
        <v>100</v>
      </c>
      <c r="F394" s="24">
        <v>100</v>
      </c>
    </row>
    <row r="395" spans="1:6" x14ac:dyDescent="0.35">
      <c r="A395" s="25">
        <v>394</v>
      </c>
      <c r="B395" s="25" t="s">
        <v>966</v>
      </c>
      <c r="C395" s="25" t="s">
        <v>1075</v>
      </c>
      <c r="D395" s="25" t="s">
        <v>973</v>
      </c>
      <c r="E395" s="24">
        <v>100</v>
      </c>
      <c r="F395" s="24">
        <v>100</v>
      </c>
    </row>
    <row r="396" spans="1:6" x14ac:dyDescent="0.35">
      <c r="A396" s="25">
        <v>395</v>
      </c>
      <c r="B396" s="25" t="s">
        <v>966</v>
      </c>
      <c r="C396" s="25" t="s">
        <v>501</v>
      </c>
      <c r="D396" s="25" t="s">
        <v>973</v>
      </c>
      <c r="E396" s="26">
        <f>VLOOKUP(C396,'Device Wise Uptime '!B:D,3,0)</f>
        <v>99.995655864197531</v>
      </c>
      <c r="F396" s="26">
        <f>VLOOKUP(C396,'Device Wise Uptime '!B:F,5,0)</f>
        <v>90.534930555555562</v>
      </c>
    </row>
    <row r="397" spans="1:6" x14ac:dyDescent="0.35">
      <c r="A397" s="25">
        <v>396</v>
      </c>
      <c r="B397" s="25" t="s">
        <v>966</v>
      </c>
      <c r="C397" s="25" t="s">
        <v>1074</v>
      </c>
      <c r="D397" s="25" t="s">
        <v>973</v>
      </c>
      <c r="E397" s="24">
        <v>100</v>
      </c>
      <c r="F397" s="24">
        <v>100</v>
      </c>
    </row>
    <row r="398" spans="1:6" x14ac:dyDescent="0.35">
      <c r="A398" s="25">
        <v>397</v>
      </c>
      <c r="B398" s="25" t="s">
        <v>966</v>
      </c>
      <c r="C398" s="25" t="s">
        <v>1073</v>
      </c>
      <c r="D398" s="25" t="s">
        <v>973</v>
      </c>
      <c r="E398" s="24">
        <v>100</v>
      </c>
      <c r="F398" s="24">
        <v>100</v>
      </c>
    </row>
    <row r="399" spans="1:6" x14ac:dyDescent="0.35">
      <c r="A399" s="25">
        <v>398</v>
      </c>
      <c r="B399" s="25" t="s">
        <v>966</v>
      </c>
      <c r="C399" s="25" t="s">
        <v>475</v>
      </c>
      <c r="D399" s="25" t="s">
        <v>973</v>
      </c>
      <c r="E399" s="26">
        <f>VLOOKUP(C399,'Device Wise Uptime '!B:D,3,0)</f>
        <v>99.993850308641967</v>
      </c>
      <c r="F399" s="26">
        <f>VLOOKUP(C399,'Device Wise Uptime '!B:F,5,0)</f>
        <v>99.935046296296306</v>
      </c>
    </row>
    <row r="400" spans="1:6" x14ac:dyDescent="0.35">
      <c r="A400" s="25">
        <v>399</v>
      </c>
      <c r="B400" s="25" t="s">
        <v>966</v>
      </c>
      <c r="C400" s="25" t="s">
        <v>1072</v>
      </c>
      <c r="D400" s="25" t="s">
        <v>973</v>
      </c>
      <c r="E400" s="24">
        <v>100</v>
      </c>
      <c r="F400" s="24">
        <v>100</v>
      </c>
    </row>
    <row r="401" spans="1:6" x14ac:dyDescent="0.35">
      <c r="A401" s="25">
        <v>400</v>
      </c>
      <c r="B401" s="25" t="s">
        <v>966</v>
      </c>
      <c r="C401" s="25" t="s">
        <v>513</v>
      </c>
      <c r="D401" s="25" t="s">
        <v>973</v>
      </c>
      <c r="E401" s="26">
        <f>VLOOKUP(C401,'Device Wise Uptime '!B:D,3,0)</f>
        <v>99.998171296296306</v>
      </c>
      <c r="F401" s="26">
        <f>VLOOKUP(C401,'Device Wise Uptime '!B:F,5,0)</f>
        <v>97.806712962962962</v>
      </c>
    </row>
    <row r="402" spans="1:6" x14ac:dyDescent="0.35">
      <c r="A402" s="25">
        <v>401</v>
      </c>
      <c r="B402" s="25" t="s">
        <v>966</v>
      </c>
      <c r="C402" s="25" t="s">
        <v>1071</v>
      </c>
      <c r="D402" s="25" t="s">
        <v>973</v>
      </c>
      <c r="E402" s="24">
        <v>100</v>
      </c>
      <c r="F402" s="24">
        <v>100</v>
      </c>
    </row>
    <row r="403" spans="1:6" x14ac:dyDescent="0.35">
      <c r="A403" s="25">
        <v>402</v>
      </c>
      <c r="B403" s="25" t="s">
        <v>966</v>
      </c>
      <c r="C403" s="25" t="s">
        <v>1070</v>
      </c>
      <c r="D403" s="25" t="s">
        <v>973</v>
      </c>
      <c r="E403" s="24">
        <v>100</v>
      </c>
      <c r="F403" s="24">
        <v>100</v>
      </c>
    </row>
    <row r="404" spans="1:6" x14ac:dyDescent="0.35">
      <c r="A404" s="25">
        <v>403</v>
      </c>
      <c r="B404" s="25" t="s">
        <v>966</v>
      </c>
      <c r="C404" s="27" t="s">
        <v>641</v>
      </c>
      <c r="D404" s="25" t="s">
        <v>973</v>
      </c>
      <c r="E404" s="26">
        <f>VLOOKUP(C404,'Device Wise Uptime '!B:D,3,0)</f>
        <v>99.995756172839506</v>
      </c>
      <c r="F404" s="26">
        <f>VLOOKUP(C404,'Device Wise Uptime '!B:F,5,0)</f>
        <v>97.806080246913581</v>
      </c>
    </row>
    <row r="405" spans="1:6" x14ac:dyDescent="0.35">
      <c r="A405" s="25">
        <v>404</v>
      </c>
      <c r="B405" s="25" t="s">
        <v>966</v>
      </c>
      <c r="C405" s="27" t="s">
        <v>1069</v>
      </c>
      <c r="D405" s="25" t="s">
        <v>973</v>
      </c>
      <c r="E405" s="24">
        <v>100</v>
      </c>
      <c r="F405" s="24">
        <v>100</v>
      </c>
    </row>
    <row r="406" spans="1:6" x14ac:dyDescent="0.35">
      <c r="A406" s="25">
        <v>405</v>
      </c>
      <c r="B406" s="25" t="s">
        <v>966</v>
      </c>
      <c r="C406" s="25" t="s">
        <v>1068</v>
      </c>
      <c r="D406" s="25" t="s">
        <v>973</v>
      </c>
      <c r="E406" s="24">
        <v>100</v>
      </c>
      <c r="F406" s="24">
        <v>100</v>
      </c>
    </row>
    <row r="407" spans="1:6" x14ac:dyDescent="0.35">
      <c r="A407" s="25">
        <v>406</v>
      </c>
      <c r="B407" s="25" t="s">
        <v>966</v>
      </c>
      <c r="C407" s="25" t="s">
        <v>1067</v>
      </c>
      <c r="D407" s="25" t="s">
        <v>973</v>
      </c>
      <c r="E407" s="24">
        <v>100</v>
      </c>
      <c r="F407" s="24">
        <v>100</v>
      </c>
    </row>
    <row r="408" spans="1:6" x14ac:dyDescent="0.35">
      <c r="A408" s="25">
        <v>407</v>
      </c>
      <c r="B408" s="25" t="s">
        <v>966</v>
      </c>
      <c r="C408" s="25" t="s">
        <v>1066</v>
      </c>
      <c r="D408" s="25" t="s">
        <v>973</v>
      </c>
      <c r="E408" s="24">
        <v>100</v>
      </c>
      <c r="F408" s="24">
        <v>100</v>
      </c>
    </row>
    <row r="409" spans="1:6" x14ac:dyDescent="0.35">
      <c r="A409" s="25">
        <v>408</v>
      </c>
      <c r="B409" s="25" t="s">
        <v>966</v>
      </c>
      <c r="C409" s="25" t="s">
        <v>1065</v>
      </c>
      <c r="D409" s="25" t="s">
        <v>973</v>
      </c>
      <c r="E409" s="24">
        <v>100</v>
      </c>
      <c r="F409" s="24">
        <v>100</v>
      </c>
    </row>
    <row r="410" spans="1:6" x14ac:dyDescent="0.35">
      <c r="A410" s="25">
        <v>409</v>
      </c>
      <c r="B410" s="25" t="s">
        <v>966</v>
      </c>
      <c r="C410" s="25" t="s">
        <v>1064</v>
      </c>
      <c r="D410" s="25" t="s">
        <v>973</v>
      </c>
      <c r="E410" s="24">
        <v>100</v>
      </c>
      <c r="F410" s="24">
        <v>100</v>
      </c>
    </row>
    <row r="411" spans="1:6" x14ac:dyDescent="0.35">
      <c r="A411" s="25">
        <v>410</v>
      </c>
      <c r="B411" s="25" t="s">
        <v>966</v>
      </c>
      <c r="C411" s="25" t="s">
        <v>1063</v>
      </c>
      <c r="D411" s="25" t="s">
        <v>973</v>
      </c>
      <c r="E411" s="24">
        <v>100</v>
      </c>
      <c r="F411" s="24">
        <v>100</v>
      </c>
    </row>
    <row r="412" spans="1:6" x14ac:dyDescent="0.35">
      <c r="A412" s="25">
        <v>411</v>
      </c>
      <c r="B412" s="25" t="s">
        <v>966</v>
      </c>
      <c r="C412" s="25" t="s">
        <v>1062</v>
      </c>
      <c r="D412" s="25" t="s">
        <v>973</v>
      </c>
      <c r="E412" s="24">
        <v>100</v>
      </c>
      <c r="F412" s="24">
        <v>100</v>
      </c>
    </row>
    <row r="413" spans="1:6" x14ac:dyDescent="0.35">
      <c r="A413" s="25">
        <v>412</v>
      </c>
      <c r="B413" s="25" t="s">
        <v>966</v>
      </c>
      <c r="C413" s="25" t="s">
        <v>1061</v>
      </c>
      <c r="D413" s="25" t="s">
        <v>973</v>
      </c>
      <c r="E413" s="24">
        <v>100</v>
      </c>
      <c r="F413" s="24">
        <v>100</v>
      </c>
    </row>
    <row r="414" spans="1:6" x14ac:dyDescent="0.35">
      <c r="A414" s="25">
        <v>413</v>
      </c>
      <c r="B414" s="25" t="s">
        <v>966</v>
      </c>
      <c r="C414" s="25" t="s">
        <v>1060</v>
      </c>
      <c r="D414" s="25" t="s">
        <v>973</v>
      </c>
      <c r="E414" s="24">
        <v>100</v>
      </c>
      <c r="F414" s="24">
        <v>100</v>
      </c>
    </row>
    <row r="415" spans="1:6" x14ac:dyDescent="0.35">
      <c r="A415" s="25">
        <v>414</v>
      </c>
      <c r="B415" s="25" t="s">
        <v>966</v>
      </c>
      <c r="C415" s="25" t="s">
        <v>1059</v>
      </c>
      <c r="D415" s="25" t="s">
        <v>973</v>
      </c>
      <c r="E415" s="24">
        <v>100</v>
      </c>
      <c r="F415" s="24">
        <v>100</v>
      </c>
    </row>
    <row r="416" spans="1:6" x14ac:dyDescent="0.35">
      <c r="A416" s="25">
        <v>415</v>
      </c>
      <c r="B416" s="25" t="s">
        <v>966</v>
      </c>
      <c r="C416" s="25" t="s">
        <v>1058</v>
      </c>
      <c r="D416" s="25" t="s">
        <v>973</v>
      </c>
      <c r="E416" s="24">
        <v>100</v>
      </c>
      <c r="F416" s="24">
        <v>100</v>
      </c>
    </row>
    <row r="417" spans="1:6" x14ac:dyDescent="0.35">
      <c r="A417" s="25">
        <v>416</v>
      </c>
      <c r="B417" s="25" t="s">
        <v>966</v>
      </c>
      <c r="C417" s="25" t="s">
        <v>1057</v>
      </c>
      <c r="D417" s="25" t="s">
        <v>973</v>
      </c>
      <c r="E417" s="24">
        <v>100</v>
      </c>
      <c r="F417" s="24">
        <v>100</v>
      </c>
    </row>
    <row r="418" spans="1:6" x14ac:dyDescent="0.35">
      <c r="A418" s="25">
        <v>417</v>
      </c>
      <c r="B418" s="25" t="s">
        <v>966</v>
      </c>
      <c r="C418" s="25" t="s">
        <v>1056</v>
      </c>
      <c r="D418" s="25" t="s">
        <v>973</v>
      </c>
      <c r="E418" s="24">
        <v>100</v>
      </c>
      <c r="F418" s="24">
        <v>100</v>
      </c>
    </row>
    <row r="419" spans="1:6" x14ac:dyDescent="0.35">
      <c r="A419" s="25">
        <v>418</v>
      </c>
      <c r="B419" s="25" t="s">
        <v>966</v>
      </c>
      <c r="C419" s="25" t="s">
        <v>1055</v>
      </c>
      <c r="D419" s="25" t="s">
        <v>973</v>
      </c>
      <c r="E419" s="24">
        <v>100</v>
      </c>
      <c r="F419" s="24">
        <v>100</v>
      </c>
    </row>
    <row r="420" spans="1:6" x14ac:dyDescent="0.35">
      <c r="A420" s="25">
        <v>419</v>
      </c>
      <c r="B420" s="25" t="s">
        <v>966</v>
      </c>
      <c r="C420" s="25" t="s">
        <v>498</v>
      </c>
      <c r="D420" s="25" t="s">
        <v>973</v>
      </c>
      <c r="E420" s="26">
        <f>VLOOKUP(C420,'Device Wise Uptime '!B:D,3,0)</f>
        <v>99.994961419753096</v>
      </c>
      <c r="F420" s="26">
        <f>VLOOKUP(C420,'Device Wise Uptime '!B:F,5,0)</f>
        <v>99.37277777777777</v>
      </c>
    </row>
    <row r="421" spans="1:6" x14ac:dyDescent="0.35">
      <c r="A421" s="25">
        <v>420</v>
      </c>
      <c r="B421" s="25" t="s">
        <v>966</v>
      </c>
      <c r="C421" s="25" t="s">
        <v>1054</v>
      </c>
      <c r="D421" s="25" t="s">
        <v>973</v>
      </c>
      <c r="E421" s="24">
        <v>100</v>
      </c>
      <c r="F421" s="24">
        <v>100</v>
      </c>
    </row>
    <row r="422" spans="1:6" x14ac:dyDescent="0.35">
      <c r="A422" s="25">
        <v>421</v>
      </c>
      <c r="B422" s="25" t="s">
        <v>966</v>
      </c>
      <c r="C422" s="25" t="s">
        <v>1053</v>
      </c>
      <c r="D422" s="25" t="s">
        <v>973</v>
      </c>
      <c r="E422" s="24">
        <v>100</v>
      </c>
      <c r="F422" s="24">
        <v>100</v>
      </c>
    </row>
    <row r="423" spans="1:6" x14ac:dyDescent="0.35">
      <c r="A423" s="25">
        <v>422</v>
      </c>
      <c r="B423" s="25" t="s">
        <v>966</v>
      </c>
      <c r="C423" s="25" t="s">
        <v>1052</v>
      </c>
      <c r="D423" s="25" t="s">
        <v>973</v>
      </c>
      <c r="E423" s="24">
        <v>100</v>
      </c>
      <c r="F423" s="24">
        <v>100</v>
      </c>
    </row>
    <row r="424" spans="1:6" x14ac:dyDescent="0.35">
      <c r="A424" s="25">
        <v>423</v>
      </c>
      <c r="B424" s="25" t="s">
        <v>966</v>
      </c>
      <c r="C424" s="25" t="s">
        <v>1051</v>
      </c>
      <c r="D424" s="25" t="s">
        <v>973</v>
      </c>
      <c r="E424" s="24">
        <v>100</v>
      </c>
      <c r="F424" s="24">
        <v>100</v>
      </c>
    </row>
    <row r="425" spans="1:6" x14ac:dyDescent="0.35">
      <c r="A425" s="25">
        <v>424</v>
      </c>
      <c r="B425" s="25" t="s">
        <v>966</v>
      </c>
      <c r="C425" s="25" t="s">
        <v>345</v>
      </c>
      <c r="D425" s="25" t="s">
        <v>973</v>
      </c>
      <c r="E425" s="26">
        <f>VLOOKUP(C425,'Device Wise Uptime '!B:D,3,0)</f>
        <v>99.995659722222229</v>
      </c>
      <c r="F425" s="26">
        <f>VLOOKUP(C425,'Device Wise Uptime '!B:F,5,0)</f>
        <v>98.416381172839507</v>
      </c>
    </row>
    <row r="426" spans="1:6" x14ac:dyDescent="0.35">
      <c r="A426" s="25">
        <v>425</v>
      </c>
      <c r="B426" s="25" t="s">
        <v>966</v>
      </c>
      <c r="C426" s="25" t="s">
        <v>1050</v>
      </c>
      <c r="D426" s="25" t="s">
        <v>973</v>
      </c>
      <c r="E426" s="24">
        <v>100</v>
      </c>
      <c r="F426" s="24">
        <v>100</v>
      </c>
    </row>
    <row r="427" spans="1:6" x14ac:dyDescent="0.35">
      <c r="A427" s="25">
        <v>426</v>
      </c>
      <c r="B427" s="25" t="s">
        <v>966</v>
      </c>
      <c r="C427" s="25" t="s">
        <v>1049</v>
      </c>
      <c r="D427" s="25" t="s">
        <v>973</v>
      </c>
      <c r="E427" s="24">
        <v>100</v>
      </c>
      <c r="F427" s="24">
        <v>100</v>
      </c>
    </row>
    <row r="428" spans="1:6" x14ac:dyDescent="0.35">
      <c r="A428" s="25">
        <v>427</v>
      </c>
      <c r="B428" s="25" t="s">
        <v>966</v>
      </c>
      <c r="C428" s="25" t="s">
        <v>1048</v>
      </c>
      <c r="D428" s="25" t="s">
        <v>973</v>
      </c>
      <c r="E428" s="24">
        <v>100</v>
      </c>
      <c r="F428" s="24">
        <v>100</v>
      </c>
    </row>
    <row r="429" spans="1:6" x14ac:dyDescent="0.35">
      <c r="A429" s="25">
        <v>428</v>
      </c>
      <c r="B429" s="25" t="s">
        <v>966</v>
      </c>
      <c r="C429" s="25" t="s">
        <v>1047</v>
      </c>
      <c r="D429" s="25" t="s">
        <v>973</v>
      </c>
      <c r="E429" s="24">
        <v>100</v>
      </c>
      <c r="F429" s="24">
        <v>100</v>
      </c>
    </row>
    <row r="430" spans="1:6" x14ac:dyDescent="0.35">
      <c r="A430" s="25">
        <v>429</v>
      </c>
      <c r="B430" s="25" t="s">
        <v>966</v>
      </c>
      <c r="C430" s="25" t="s">
        <v>1046</v>
      </c>
      <c r="D430" s="25" t="s">
        <v>973</v>
      </c>
      <c r="E430" s="24">
        <v>100</v>
      </c>
      <c r="F430" s="24">
        <v>100</v>
      </c>
    </row>
    <row r="431" spans="1:6" x14ac:dyDescent="0.35">
      <c r="A431" s="25">
        <v>430</v>
      </c>
      <c r="B431" s="25" t="s">
        <v>966</v>
      </c>
      <c r="C431" s="25" t="s">
        <v>1045</v>
      </c>
      <c r="D431" s="25" t="s">
        <v>973</v>
      </c>
      <c r="E431" s="24">
        <v>100</v>
      </c>
      <c r="F431" s="24">
        <v>100</v>
      </c>
    </row>
    <row r="432" spans="1:6" x14ac:dyDescent="0.35">
      <c r="A432" s="25">
        <v>431</v>
      </c>
      <c r="B432" s="25" t="s">
        <v>966</v>
      </c>
      <c r="C432" s="25" t="s">
        <v>1044</v>
      </c>
      <c r="D432" s="25" t="s">
        <v>973</v>
      </c>
      <c r="E432" s="24">
        <v>100</v>
      </c>
      <c r="F432" s="24">
        <v>100</v>
      </c>
    </row>
    <row r="433" spans="1:6" x14ac:dyDescent="0.35">
      <c r="A433" s="25">
        <v>432</v>
      </c>
      <c r="B433" s="25" t="s">
        <v>966</v>
      </c>
      <c r="C433" s="25" t="s">
        <v>1043</v>
      </c>
      <c r="D433" s="25" t="s">
        <v>973</v>
      </c>
      <c r="E433" s="24">
        <v>100</v>
      </c>
      <c r="F433" s="24">
        <v>100</v>
      </c>
    </row>
    <row r="434" spans="1:6" x14ac:dyDescent="0.35">
      <c r="A434" s="25">
        <v>433</v>
      </c>
      <c r="B434" s="25" t="s">
        <v>966</v>
      </c>
      <c r="C434" s="25" t="s">
        <v>1042</v>
      </c>
      <c r="D434" s="25" t="s">
        <v>973</v>
      </c>
      <c r="E434" s="24">
        <v>100</v>
      </c>
      <c r="F434" s="24">
        <v>100</v>
      </c>
    </row>
    <row r="435" spans="1:6" x14ac:dyDescent="0.35">
      <c r="A435" s="25">
        <v>434</v>
      </c>
      <c r="B435" s="25" t="s">
        <v>966</v>
      </c>
      <c r="C435" s="25" t="s">
        <v>1041</v>
      </c>
      <c r="D435" s="25" t="s">
        <v>973</v>
      </c>
      <c r="E435" s="24">
        <v>100</v>
      </c>
      <c r="F435" s="24">
        <v>100</v>
      </c>
    </row>
  </sheetData>
  <conditionalFormatting sqref="C1:C1048576">
    <cfRule type="duplicateValues" dxfId="21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FB9F6-9B9A-448C-A1F6-B08C4DEE614B}">
  <dimension ref="A1:D185"/>
  <sheetViews>
    <sheetView zoomScale="85" zoomScaleNormal="85" workbookViewId="0"/>
  </sheetViews>
  <sheetFormatPr defaultRowHeight="14.5" x14ac:dyDescent="0.35"/>
  <cols>
    <col min="1" max="1" width="12.08984375" style="4" bestFit="1" customWidth="1"/>
    <col min="2" max="2" width="18.453125" style="4" bestFit="1" customWidth="1"/>
    <col min="3" max="3" width="36.26953125" style="4" bestFit="1" customWidth="1"/>
    <col min="4" max="4" width="31.08984375" style="4" bestFit="1" customWidth="1"/>
  </cols>
  <sheetData>
    <row r="1" spans="1:4" x14ac:dyDescent="0.35">
      <c r="C1" s="19" t="s">
        <v>1038</v>
      </c>
    </row>
    <row r="2" spans="1:4" x14ac:dyDescent="0.35">
      <c r="A2" s="19" t="s">
        <v>1334</v>
      </c>
      <c r="B2" s="19" t="s">
        <v>1333</v>
      </c>
      <c r="C2" s="4" t="s">
        <v>1337</v>
      </c>
      <c r="D2" s="4" t="s">
        <v>1338</v>
      </c>
    </row>
    <row r="3" spans="1:4" x14ac:dyDescent="0.35">
      <c r="A3" s="4" t="s">
        <v>966</v>
      </c>
      <c r="B3" s="4" t="s">
        <v>166</v>
      </c>
      <c r="C3" s="20">
        <v>99.995196759259258</v>
      </c>
      <c r="D3" s="20">
        <v>75.047114197530874</v>
      </c>
    </row>
    <row r="4" spans="1:4" x14ac:dyDescent="0.35">
      <c r="B4" s="4" t="s">
        <v>277</v>
      </c>
      <c r="C4" s="20">
        <v>99.987368827160495</v>
      </c>
      <c r="D4" s="20">
        <v>89.26886574074075</v>
      </c>
    </row>
    <row r="5" spans="1:4" x14ac:dyDescent="0.35">
      <c r="B5" s="4" t="s">
        <v>555</v>
      </c>
      <c r="C5" s="20">
        <v>99.994807098765435</v>
      </c>
      <c r="D5" s="20">
        <v>90.534336419753075</v>
      </c>
    </row>
    <row r="6" spans="1:4" x14ac:dyDescent="0.35">
      <c r="B6" s="4" t="s">
        <v>501</v>
      </c>
      <c r="C6" s="20">
        <v>99.995655864197531</v>
      </c>
      <c r="D6" s="20">
        <v>90.534930555555562</v>
      </c>
    </row>
    <row r="7" spans="1:4" x14ac:dyDescent="0.35">
      <c r="B7" s="4" t="s">
        <v>487</v>
      </c>
      <c r="C7" s="20">
        <v>99.992376543209872</v>
      </c>
      <c r="D7" s="20">
        <v>93.778564814814814</v>
      </c>
    </row>
    <row r="8" spans="1:4" x14ac:dyDescent="0.35">
      <c r="B8" s="4" t="s">
        <v>297</v>
      </c>
      <c r="C8" s="20">
        <v>99.996091820987658</v>
      </c>
      <c r="D8" s="20">
        <v>94.169783950617273</v>
      </c>
    </row>
    <row r="9" spans="1:4" x14ac:dyDescent="0.35">
      <c r="B9" s="4" t="s">
        <v>509</v>
      </c>
      <c r="C9" s="20">
        <v>99.991689814814819</v>
      </c>
      <c r="D9" s="20">
        <v>95.093348765432097</v>
      </c>
    </row>
    <row r="10" spans="1:4" x14ac:dyDescent="0.35">
      <c r="B10" s="4" t="s">
        <v>233</v>
      </c>
      <c r="C10" s="20">
        <v>99.99251543209877</v>
      </c>
      <c r="D10" s="20">
        <v>96.018310185185186</v>
      </c>
    </row>
    <row r="11" spans="1:4" x14ac:dyDescent="0.35">
      <c r="B11" s="4" t="s">
        <v>947</v>
      </c>
      <c r="C11" s="20">
        <v>99.989567901234565</v>
      </c>
      <c r="D11" s="20">
        <v>96.658063271604945</v>
      </c>
    </row>
    <row r="12" spans="1:4" x14ac:dyDescent="0.35">
      <c r="B12" s="4" t="s">
        <v>641</v>
      </c>
      <c r="C12" s="20">
        <v>99.995756172839506</v>
      </c>
      <c r="D12" s="20">
        <v>97.806080246913581</v>
      </c>
    </row>
    <row r="13" spans="1:4" x14ac:dyDescent="0.35">
      <c r="B13" s="4" t="s">
        <v>513</v>
      </c>
      <c r="C13" s="20">
        <v>99.998171296296306</v>
      </c>
      <c r="D13" s="20">
        <v>97.806712962962962</v>
      </c>
    </row>
    <row r="14" spans="1:4" x14ac:dyDescent="0.35">
      <c r="B14" s="4" t="s">
        <v>345</v>
      </c>
      <c r="C14" s="20">
        <v>99.995659722222229</v>
      </c>
      <c r="D14" s="20">
        <v>98.416381172839507</v>
      </c>
    </row>
    <row r="15" spans="1:4" x14ac:dyDescent="0.35">
      <c r="B15" s="4" t="s">
        <v>72</v>
      </c>
      <c r="C15" s="20">
        <v>99.995806327160494</v>
      </c>
      <c r="D15" s="20">
        <v>98.728244598765428</v>
      </c>
    </row>
    <row r="16" spans="1:4" x14ac:dyDescent="0.35">
      <c r="B16" s="4" t="s">
        <v>92</v>
      </c>
      <c r="C16" s="20">
        <v>99.991890432098756</v>
      </c>
      <c r="D16" s="20">
        <v>98.729656635802471</v>
      </c>
    </row>
    <row r="17" spans="2:4" x14ac:dyDescent="0.35">
      <c r="B17" s="4" t="s">
        <v>87</v>
      </c>
      <c r="C17" s="20">
        <v>99.992932098765422</v>
      </c>
      <c r="D17" s="20">
        <v>99.200646219135805</v>
      </c>
    </row>
    <row r="18" spans="2:4" x14ac:dyDescent="0.35">
      <c r="B18" s="4" t="s">
        <v>62</v>
      </c>
      <c r="C18" s="20">
        <v>99.994675925925932</v>
      </c>
      <c r="D18" s="20">
        <v>99.243348765432103</v>
      </c>
    </row>
    <row r="19" spans="2:4" x14ac:dyDescent="0.35">
      <c r="B19" s="4" t="s">
        <v>172</v>
      </c>
      <c r="C19" s="20">
        <v>99.99463734567901</v>
      </c>
      <c r="D19" s="20">
        <v>99.245578703703714</v>
      </c>
    </row>
    <row r="20" spans="2:4" x14ac:dyDescent="0.35">
      <c r="B20" s="4" t="s">
        <v>337</v>
      </c>
      <c r="C20" s="20">
        <v>99.994290123456793</v>
      </c>
      <c r="D20" s="20">
        <v>99.245949074074076</v>
      </c>
    </row>
    <row r="21" spans="2:4" x14ac:dyDescent="0.35">
      <c r="B21" s="4" t="s">
        <v>203</v>
      </c>
      <c r="C21" s="20">
        <v>99.99350308641975</v>
      </c>
      <c r="D21" s="20">
        <v>99.249050925925928</v>
      </c>
    </row>
    <row r="22" spans="2:4" x14ac:dyDescent="0.35">
      <c r="B22" s="4" t="s">
        <v>300</v>
      </c>
      <c r="C22" s="20">
        <v>99.991913580246916</v>
      </c>
      <c r="D22" s="20">
        <v>99.251412037037028</v>
      </c>
    </row>
    <row r="23" spans="2:4" x14ac:dyDescent="0.35">
      <c r="B23" s="4" t="s">
        <v>498</v>
      </c>
      <c r="C23" s="20">
        <v>99.994961419753096</v>
      </c>
      <c r="D23" s="20">
        <v>99.37277777777777</v>
      </c>
    </row>
    <row r="24" spans="2:4" x14ac:dyDescent="0.35">
      <c r="B24" s="4" t="s">
        <v>188</v>
      </c>
      <c r="C24" s="20">
        <v>99.994004629629629</v>
      </c>
      <c r="D24" s="20">
        <v>99.373086419753093</v>
      </c>
    </row>
    <row r="25" spans="2:4" x14ac:dyDescent="0.35">
      <c r="B25" s="4" t="s">
        <v>57</v>
      </c>
      <c r="C25" s="20">
        <v>99.994675925925932</v>
      </c>
      <c r="D25" s="20">
        <v>99.37335648148148</v>
      </c>
    </row>
    <row r="26" spans="2:4" x14ac:dyDescent="0.35">
      <c r="B26" s="4" t="s">
        <v>120</v>
      </c>
      <c r="C26" s="20">
        <v>99.993429783950617</v>
      </c>
      <c r="D26" s="20">
        <v>99.412924382716056</v>
      </c>
    </row>
    <row r="27" spans="2:4" x14ac:dyDescent="0.35">
      <c r="B27" s="4" t="s">
        <v>68</v>
      </c>
      <c r="C27" s="20">
        <v>99.993942901234561</v>
      </c>
      <c r="D27" s="20">
        <v>99.414969135802465</v>
      </c>
    </row>
    <row r="28" spans="2:4" x14ac:dyDescent="0.35">
      <c r="B28" s="4" t="s">
        <v>150</v>
      </c>
      <c r="C28" s="20">
        <v>99.991412037037037</v>
      </c>
      <c r="D28" s="20">
        <v>99.654297839506185</v>
      </c>
    </row>
    <row r="29" spans="2:4" x14ac:dyDescent="0.35">
      <c r="B29" s="4" t="s">
        <v>334</v>
      </c>
      <c r="C29" s="20">
        <v>99.98860339506173</v>
      </c>
      <c r="D29" s="20">
        <v>99.655300925925928</v>
      </c>
    </row>
    <row r="30" spans="2:4" x14ac:dyDescent="0.35">
      <c r="B30" s="4" t="s">
        <v>169</v>
      </c>
      <c r="C30" s="20">
        <v>99.993711419753097</v>
      </c>
      <c r="D30" s="20">
        <v>99.655709876543213</v>
      </c>
    </row>
    <row r="31" spans="2:4" x14ac:dyDescent="0.35">
      <c r="B31" s="4" t="s">
        <v>317</v>
      </c>
      <c r="C31" s="20">
        <v>99.986666666666665</v>
      </c>
      <c r="D31" s="20">
        <v>99.655825617283938</v>
      </c>
    </row>
    <row r="32" spans="2:4" x14ac:dyDescent="0.35">
      <c r="B32" s="4" t="s">
        <v>146</v>
      </c>
      <c r="C32" s="20">
        <v>99.995115740740744</v>
      </c>
      <c r="D32" s="20">
        <v>99.656504629629623</v>
      </c>
    </row>
    <row r="33" spans="2:4" x14ac:dyDescent="0.35">
      <c r="B33" s="4" t="s">
        <v>176</v>
      </c>
      <c r="C33" s="20">
        <v>99.989405864197536</v>
      </c>
      <c r="D33" s="20">
        <v>99.659390432098775</v>
      </c>
    </row>
    <row r="34" spans="2:4" x14ac:dyDescent="0.35">
      <c r="B34" s="4" t="s">
        <v>136</v>
      </c>
      <c r="C34" s="20">
        <v>99.99284722222221</v>
      </c>
      <c r="D34" s="20">
        <v>99.770293209876542</v>
      </c>
    </row>
    <row r="35" spans="2:4" x14ac:dyDescent="0.35">
      <c r="B35" s="4" t="s">
        <v>191</v>
      </c>
      <c r="C35" s="20">
        <v>99.991226851851849</v>
      </c>
      <c r="D35" s="20">
        <v>99.860478395061719</v>
      </c>
    </row>
    <row r="36" spans="2:4" x14ac:dyDescent="0.35">
      <c r="B36" s="4" t="s">
        <v>475</v>
      </c>
      <c r="C36" s="20">
        <v>99.993850308641967</v>
      </c>
      <c r="D36" s="20">
        <v>99.935046296296306</v>
      </c>
    </row>
    <row r="37" spans="2:4" x14ac:dyDescent="0.35">
      <c r="B37" s="4" t="s">
        <v>738</v>
      </c>
      <c r="C37" s="20">
        <v>99.993765432098769</v>
      </c>
      <c r="D37" s="20">
        <v>99.93590277777777</v>
      </c>
    </row>
    <row r="38" spans="2:4" x14ac:dyDescent="0.35">
      <c r="B38" s="4" t="s">
        <v>143</v>
      </c>
      <c r="C38" s="20">
        <v>99.989004629629633</v>
      </c>
      <c r="D38" s="20">
        <v>99.938672839506168</v>
      </c>
    </row>
    <row r="39" spans="2:4" x14ac:dyDescent="0.35">
      <c r="B39" s="4" t="s">
        <v>535</v>
      </c>
      <c r="C39" s="20">
        <v>99.996396604938269</v>
      </c>
      <c r="D39" s="20">
        <v>99.93882716049383</v>
      </c>
    </row>
    <row r="40" spans="2:4" x14ac:dyDescent="0.35">
      <c r="B40" s="4" t="s">
        <v>139</v>
      </c>
      <c r="C40" s="20">
        <v>99.995408950617275</v>
      </c>
      <c r="D40" s="20">
        <v>99.943881172839511</v>
      </c>
    </row>
    <row r="41" spans="2:4" x14ac:dyDescent="0.35">
      <c r="B41" s="4" t="s">
        <v>372</v>
      </c>
      <c r="C41" s="20">
        <v>99.994413580246913</v>
      </c>
      <c r="D41" s="20">
        <v>99.945852623456801</v>
      </c>
    </row>
    <row r="42" spans="2:4" x14ac:dyDescent="0.35">
      <c r="B42" s="4" t="s">
        <v>287</v>
      </c>
      <c r="C42" s="20">
        <v>99.991415895061721</v>
      </c>
      <c r="D42" s="20">
        <v>99.95397762345678</v>
      </c>
    </row>
    <row r="43" spans="2:4" x14ac:dyDescent="0.35">
      <c r="B43" s="4" t="s">
        <v>80</v>
      </c>
      <c r="C43" s="20">
        <v>99.993209876543204</v>
      </c>
      <c r="D43" s="20">
        <v>99.955038580246907</v>
      </c>
    </row>
    <row r="44" spans="2:4" x14ac:dyDescent="0.35">
      <c r="B44" s="4" t="s">
        <v>484</v>
      </c>
      <c r="C44" s="20">
        <v>99.991705246913583</v>
      </c>
      <c r="D44" s="20">
        <v>99.955987654320978</v>
      </c>
    </row>
    <row r="45" spans="2:4" x14ac:dyDescent="0.35">
      <c r="B45" s="4" t="s">
        <v>161</v>
      </c>
      <c r="C45" s="20">
        <v>99.990843621399179</v>
      </c>
      <c r="D45" s="20">
        <v>99.97505144032921</v>
      </c>
    </row>
    <row r="46" spans="2:4" x14ac:dyDescent="0.35">
      <c r="B46" s="4" t="s">
        <v>76</v>
      </c>
      <c r="C46" s="20">
        <v>99.990788966049379</v>
      </c>
      <c r="D46" s="20">
        <v>99.981361882716044</v>
      </c>
    </row>
    <row r="47" spans="2:4" x14ac:dyDescent="0.35">
      <c r="B47" s="4" t="s">
        <v>658</v>
      </c>
      <c r="C47" s="20">
        <v>99.993996913580247</v>
      </c>
      <c r="D47" s="20">
        <v>99.99212962962963</v>
      </c>
    </row>
    <row r="48" spans="2:4" x14ac:dyDescent="0.35">
      <c r="B48" s="4" t="s">
        <v>573</v>
      </c>
      <c r="C48" s="20">
        <v>99.993996913580247</v>
      </c>
      <c r="D48" s="20">
        <v>99.992168209876553</v>
      </c>
    </row>
    <row r="49" spans="2:4" x14ac:dyDescent="0.35">
      <c r="B49" s="4" t="s">
        <v>661</v>
      </c>
      <c r="C49" s="20">
        <v>99.99490740740741</v>
      </c>
      <c r="D49" s="20">
        <v>99.995393518518512</v>
      </c>
    </row>
    <row r="50" spans="2:4" x14ac:dyDescent="0.35">
      <c r="B50" s="4" t="s">
        <v>495</v>
      </c>
      <c r="C50" s="20">
        <v>99.993032407407412</v>
      </c>
      <c r="D50" s="20">
        <v>99.995694444444439</v>
      </c>
    </row>
    <row r="51" spans="2:4" x14ac:dyDescent="0.35">
      <c r="B51" s="4" t="s">
        <v>814</v>
      </c>
      <c r="C51" s="20">
        <v>99.992785493827157</v>
      </c>
      <c r="D51" s="20">
        <v>99.995817901234574</v>
      </c>
    </row>
    <row r="52" spans="2:4" x14ac:dyDescent="0.35">
      <c r="B52" s="4" t="s">
        <v>1111</v>
      </c>
      <c r="C52" s="20">
        <v>100</v>
      </c>
      <c r="D52" s="20">
        <v>100</v>
      </c>
    </row>
    <row r="53" spans="2:4" x14ac:dyDescent="0.35">
      <c r="B53" s="4" t="s">
        <v>1096</v>
      </c>
      <c r="C53" s="20">
        <v>100</v>
      </c>
      <c r="D53" s="20">
        <v>100</v>
      </c>
    </row>
    <row r="54" spans="2:4" x14ac:dyDescent="0.35">
      <c r="B54" s="4" t="s">
        <v>946</v>
      </c>
      <c r="C54" s="20">
        <v>99.992145061728394</v>
      </c>
      <c r="D54" s="20">
        <v>100</v>
      </c>
    </row>
    <row r="55" spans="2:4" x14ac:dyDescent="0.35">
      <c r="B55" s="4" t="s">
        <v>1144</v>
      </c>
      <c r="C55" s="20">
        <v>100</v>
      </c>
      <c r="D55" s="20">
        <v>100</v>
      </c>
    </row>
    <row r="56" spans="2:4" x14ac:dyDescent="0.35">
      <c r="B56" s="4" t="s">
        <v>1150</v>
      </c>
      <c r="C56" s="20">
        <v>100</v>
      </c>
      <c r="D56" s="20">
        <v>100</v>
      </c>
    </row>
    <row r="57" spans="2:4" x14ac:dyDescent="0.35">
      <c r="B57" s="4" t="s">
        <v>1142</v>
      </c>
      <c r="C57" s="20">
        <v>100</v>
      </c>
      <c r="D57" s="20">
        <v>100</v>
      </c>
    </row>
    <row r="58" spans="2:4" x14ac:dyDescent="0.35">
      <c r="B58" s="4" t="s">
        <v>1095</v>
      </c>
      <c r="C58" s="20">
        <v>100</v>
      </c>
      <c r="D58" s="20">
        <v>100</v>
      </c>
    </row>
    <row r="59" spans="2:4" x14ac:dyDescent="0.35">
      <c r="B59" s="4" t="s">
        <v>1140</v>
      </c>
      <c r="C59" s="20">
        <v>100</v>
      </c>
      <c r="D59" s="20">
        <v>100</v>
      </c>
    </row>
    <row r="60" spans="2:4" x14ac:dyDescent="0.35">
      <c r="B60" s="4" t="s">
        <v>1094</v>
      </c>
      <c r="C60" s="20">
        <v>100</v>
      </c>
      <c r="D60" s="20">
        <v>100</v>
      </c>
    </row>
    <row r="61" spans="2:4" x14ac:dyDescent="0.35">
      <c r="B61" s="4" t="s">
        <v>1139</v>
      </c>
      <c r="C61" s="20">
        <v>100</v>
      </c>
      <c r="D61" s="20">
        <v>100</v>
      </c>
    </row>
    <row r="62" spans="2:4" x14ac:dyDescent="0.35">
      <c r="B62" s="4" t="s">
        <v>1093</v>
      </c>
      <c r="C62" s="20">
        <v>100</v>
      </c>
      <c r="D62" s="20">
        <v>100</v>
      </c>
    </row>
    <row r="63" spans="2:4" x14ac:dyDescent="0.35">
      <c r="B63" s="4" t="s">
        <v>1163</v>
      </c>
      <c r="C63" s="20">
        <v>100</v>
      </c>
      <c r="D63" s="20">
        <v>100</v>
      </c>
    </row>
    <row r="64" spans="2:4" x14ac:dyDescent="0.35">
      <c r="B64" s="4" t="s">
        <v>1092</v>
      </c>
      <c r="C64" s="20">
        <v>100</v>
      </c>
      <c r="D64" s="20">
        <v>100</v>
      </c>
    </row>
    <row r="65" spans="2:4" x14ac:dyDescent="0.35">
      <c r="B65" s="4" t="s">
        <v>1136</v>
      </c>
      <c r="C65" s="20">
        <v>100</v>
      </c>
      <c r="D65" s="20">
        <v>100</v>
      </c>
    </row>
    <row r="66" spans="2:4" x14ac:dyDescent="0.35">
      <c r="B66" s="4" t="s">
        <v>1149</v>
      </c>
      <c r="C66" s="20">
        <v>100</v>
      </c>
      <c r="D66" s="20">
        <v>100</v>
      </c>
    </row>
    <row r="67" spans="2:4" x14ac:dyDescent="0.35">
      <c r="B67" s="4" t="s">
        <v>1134</v>
      </c>
      <c r="C67" s="20">
        <v>100</v>
      </c>
      <c r="D67" s="20">
        <v>100</v>
      </c>
    </row>
    <row r="68" spans="2:4" x14ac:dyDescent="0.35">
      <c r="B68" s="4" t="s">
        <v>1091</v>
      </c>
      <c r="C68" s="20">
        <v>100</v>
      </c>
      <c r="D68" s="20">
        <v>100</v>
      </c>
    </row>
    <row r="69" spans="2:4" x14ac:dyDescent="0.35">
      <c r="B69" s="4" t="s">
        <v>1132</v>
      </c>
      <c r="C69" s="20">
        <v>100</v>
      </c>
      <c r="D69" s="20">
        <v>100</v>
      </c>
    </row>
    <row r="70" spans="2:4" x14ac:dyDescent="0.35">
      <c r="B70" s="4" t="s">
        <v>1158</v>
      </c>
      <c r="C70" s="20">
        <v>100</v>
      </c>
      <c r="D70" s="20">
        <v>100</v>
      </c>
    </row>
    <row r="71" spans="2:4" x14ac:dyDescent="0.35">
      <c r="B71" s="4" t="s">
        <v>1162</v>
      </c>
      <c r="C71" s="20">
        <v>100</v>
      </c>
      <c r="D71" s="20">
        <v>100</v>
      </c>
    </row>
    <row r="72" spans="2:4" x14ac:dyDescent="0.35">
      <c r="B72" s="4" t="s">
        <v>1090</v>
      </c>
      <c r="C72" s="20">
        <v>100</v>
      </c>
      <c r="D72" s="20">
        <v>100</v>
      </c>
    </row>
    <row r="73" spans="2:4" x14ac:dyDescent="0.35">
      <c r="B73" s="4" t="s">
        <v>1129</v>
      </c>
      <c r="C73" s="20">
        <v>100</v>
      </c>
      <c r="D73" s="20">
        <v>100</v>
      </c>
    </row>
    <row r="74" spans="2:4" x14ac:dyDescent="0.35">
      <c r="B74" s="4" t="s">
        <v>1168</v>
      </c>
      <c r="C74" s="20">
        <v>100</v>
      </c>
      <c r="D74" s="20">
        <v>100</v>
      </c>
    </row>
    <row r="75" spans="2:4" x14ac:dyDescent="0.35">
      <c r="B75" s="4" t="s">
        <v>1127</v>
      </c>
      <c r="C75" s="20">
        <v>100</v>
      </c>
      <c r="D75" s="20">
        <v>100</v>
      </c>
    </row>
    <row r="76" spans="2:4" x14ac:dyDescent="0.35">
      <c r="B76" s="4" t="s">
        <v>1089</v>
      </c>
      <c r="C76" s="20">
        <v>100</v>
      </c>
      <c r="D76" s="20">
        <v>100</v>
      </c>
    </row>
    <row r="77" spans="2:4" x14ac:dyDescent="0.35">
      <c r="B77" s="4" t="s">
        <v>1125</v>
      </c>
      <c r="C77" s="20">
        <v>100</v>
      </c>
      <c r="D77" s="20">
        <v>100</v>
      </c>
    </row>
    <row r="78" spans="2:4" x14ac:dyDescent="0.35">
      <c r="B78" s="4" t="s">
        <v>1088</v>
      </c>
      <c r="C78" s="20">
        <v>100</v>
      </c>
      <c r="D78" s="20">
        <v>100</v>
      </c>
    </row>
    <row r="79" spans="2:4" x14ac:dyDescent="0.35">
      <c r="B79" s="4" t="s">
        <v>1124</v>
      </c>
      <c r="C79" s="20">
        <v>100</v>
      </c>
      <c r="D79" s="20">
        <v>100</v>
      </c>
    </row>
    <row r="80" spans="2:4" x14ac:dyDescent="0.35">
      <c r="B80" s="4" t="s">
        <v>1087</v>
      </c>
      <c r="C80" s="20">
        <v>100</v>
      </c>
      <c r="D80" s="20">
        <v>100</v>
      </c>
    </row>
    <row r="81" spans="2:4" x14ac:dyDescent="0.35">
      <c r="B81" s="4" t="s">
        <v>1122</v>
      </c>
      <c r="C81" s="20">
        <v>100</v>
      </c>
      <c r="D81" s="20">
        <v>100</v>
      </c>
    </row>
    <row r="82" spans="2:4" x14ac:dyDescent="0.35">
      <c r="B82" s="4" t="s">
        <v>1086</v>
      </c>
      <c r="C82" s="20">
        <v>100</v>
      </c>
      <c r="D82" s="20">
        <v>100</v>
      </c>
    </row>
    <row r="83" spans="2:4" x14ac:dyDescent="0.35">
      <c r="B83" s="4" t="s">
        <v>1161</v>
      </c>
      <c r="C83" s="20">
        <v>100</v>
      </c>
      <c r="D83" s="20">
        <v>100</v>
      </c>
    </row>
    <row r="84" spans="2:4" x14ac:dyDescent="0.35">
      <c r="B84" s="4" t="s">
        <v>1085</v>
      </c>
      <c r="C84" s="20">
        <v>100</v>
      </c>
      <c r="D84" s="20">
        <v>100</v>
      </c>
    </row>
    <row r="85" spans="2:4" x14ac:dyDescent="0.35">
      <c r="B85" s="4" t="s">
        <v>1119</v>
      </c>
      <c r="C85" s="20">
        <v>100</v>
      </c>
      <c r="D85" s="20">
        <v>100</v>
      </c>
    </row>
    <row r="86" spans="2:4" x14ac:dyDescent="0.35">
      <c r="B86" s="4" t="s">
        <v>1084</v>
      </c>
      <c r="C86" s="20">
        <v>100</v>
      </c>
      <c r="D86" s="20">
        <v>100</v>
      </c>
    </row>
    <row r="87" spans="2:4" x14ac:dyDescent="0.35">
      <c r="B87" s="4" t="s">
        <v>1117</v>
      </c>
      <c r="C87" s="20">
        <v>100</v>
      </c>
      <c r="D87" s="20">
        <v>100</v>
      </c>
    </row>
    <row r="88" spans="2:4" x14ac:dyDescent="0.35">
      <c r="B88" s="4" t="s">
        <v>1083</v>
      </c>
      <c r="C88" s="20">
        <v>100</v>
      </c>
      <c r="D88" s="20">
        <v>100</v>
      </c>
    </row>
    <row r="89" spans="2:4" x14ac:dyDescent="0.35">
      <c r="B89" s="4" t="s">
        <v>1164</v>
      </c>
      <c r="C89" s="20">
        <v>100</v>
      </c>
      <c r="D89" s="20">
        <v>100</v>
      </c>
    </row>
    <row r="90" spans="2:4" x14ac:dyDescent="0.35">
      <c r="B90" s="4" t="s">
        <v>1082</v>
      </c>
      <c r="C90" s="20">
        <v>100</v>
      </c>
      <c r="D90" s="20">
        <v>100</v>
      </c>
    </row>
    <row r="91" spans="2:4" x14ac:dyDescent="0.35">
      <c r="B91" s="4" t="s">
        <v>1114</v>
      </c>
      <c r="C91" s="20">
        <v>100</v>
      </c>
      <c r="D91" s="20">
        <v>100</v>
      </c>
    </row>
    <row r="92" spans="2:4" x14ac:dyDescent="0.35">
      <c r="B92" s="4" t="s">
        <v>1081</v>
      </c>
      <c r="C92" s="20">
        <v>100</v>
      </c>
      <c r="D92" s="20">
        <v>100</v>
      </c>
    </row>
    <row r="93" spans="2:4" x14ac:dyDescent="0.35">
      <c r="B93" s="4" t="s">
        <v>1154</v>
      </c>
      <c r="C93" s="20">
        <v>100</v>
      </c>
      <c r="D93" s="20">
        <v>100</v>
      </c>
    </row>
    <row r="94" spans="2:4" x14ac:dyDescent="0.35">
      <c r="B94" s="4" t="s">
        <v>1165</v>
      </c>
      <c r="C94" s="20">
        <v>100</v>
      </c>
      <c r="D94" s="20">
        <v>100</v>
      </c>
    </row>
    <row r="95" spans="2:4" x14ac:dyDescent="0.35">
      <c r="B95" s="4" t="s">
        <v>1113</v>
      </c>
      <c r="C95" s="20">
        <v>100</v>
      </c>
      <c r="D95" s="20">
        <v>100</v>
      </c>
    </row>
    <row r="96" spans="2:4" x14ac:dyDescent="0.35">
      <c r="B96" s="4" t="s">
        <v>1080</v>
      </c>
      <c r="C96" s="20">
        <v>100</v>
      </c>
      <c r="D96" s="20">
        <v>100</v>
      </c>
    </row>
    <row r="97" spans="2:4" x14ac:dyDescent="0.35">
      <c r="B97" s="4" t="s">
        <v>1112</v>
      </c>
      <c r="C97" s="20">
        <v>100</v>
      </c>
      <c r="D97" s="20">
        <v>100</v>
      </c>
    </row>
    <row r="98" spans="2:4" x14ac:dyDescent="0.35">
      <c r="B98" s="4" t="s">
        <v>1079</v>
      </c>
      <c r="C98" s="20">
        <v>100</v>
      </c>
      <c r="D98" s="20">
        <v>100</v>
      </c>
    </row>
    <row r="99" spans="2:4" x14ac:dyDescent="0.35">
      <c r="B99" s="4" t="s">
        <v>1110</v>
      </c>
      <c r="C99" s="20">
        <v>100</v>
      </c>
      <c r="D99" s="20">
        <v>100</v>
      </c>
    </row>
    <row r="100" spans="2:4" x14ac:dyDescent="0.35">
      <c r="B100" s="4" t="s">
        <v>1078</v>
      </c>
      <c r="C100" s="20">
        <v>100</v>
      </c>
      <c r="D100" s="20">
        <v>100</v>
      </c>
    </row>
    <row r="101" spans="2:4" x14ac:dyDescent="0.35">
      <c r="B101" s="4" t="s">
        <v>1108</v>
      </c>
      <c r="C101" s="20">
        <v>100</v>
      </c>
      <c r="D101" s="20">
        <v>100</v>
      </c>
    </row>
    <row r="102" spans="2:4" x14ac:dyDescent="0.35">
      <c r="B102" s="4" t="s">
        <v>1077</v>
      </c>
      <c r="C102" s="20">
        <v>100</v>
      </c>
      <c r="D102" s="20">
        <v>100</v>
      </c>
    </row>
    <row r="103" spans="2:4" x14ac:dyDescent="0.35">
      <c r="B103" s="4" t="s">
        <v>1152</v>
      </c>
      <c r="C103" s="20">
        <v>100</v>
      </c>
      <c r="D103" s="20">
        <v>100</v>
      </c>
    </row>
    <row r="104" spans="2:4" x14ac:dyDescent="0.35">
      <c r="B104" s="4" t="s">
        <v>1076</v>
      </c>
      <c r="C104" s="20">
        <v>100</v>
      </c>
      <c r="D104" s="20">
        <v>100</v>
      </c>
    </row>
    <row r="105" spans="2:4" x14ac:dyDescent="0.35">
      <c r="B105" s="4" t="s">
        <v>1106</v>
      </c>
      <c r="C105" s="20">
        <v>100</v>
      </c>
      <c r="D105" s="20">
        <v>100</v>
      </c>
    </row>
    <row r="106" spans="2:4" x14ac:dyDescent="0.35">
      <c r="B106" s="4" t="s">
        <v>1075</v>
      </c>
      <c r="C106" s="20">
        <v>100</v>
      </c>
      <c r="D106" s="20">
        <v>100</v>
      </c>
    </row>
    <row r="107" spans="2:4" x14ac:dyDescent="0.35">
      <c r="B107" s="4" t="s">
        <v>1104</v>
      </c>
      <c r="C107" s="20">
        <v>100</v>
      </c>
      <c r="D107" s="20">
        <v>100</v>
      </c>
    </row>
    <row r="108" spans="2:4" x14ac:dyDescent="0.35">
      <c r="B108" s="4" t="s">
        <v>1167</v>
      </c>
      <c r="C108" s="20">
        <v>100</v>
      </c>
      <c r="D108" s="20">
        <v>100</v>
      </c>
    </row>
    <row r="109" spans="2:4" x14ac:dyDescent="0.35">
      <c r="B109" s="4" t="s">
        <v>1103</v>
      </c>
      <c r="C109" s="20">
        <v>100</v>
      </c>
      <c r="D109" s="20">
        <v>100</v>
      </c>
    </row>
    <row r="110" spans="2:4" x14ac:dyDescent="0.35">
      <c r="B110" s="4" t="s">
        <v>1074</v>
      </c>
      <c r="C110" s="20">
        <v>100</v>
      </c>
      <c r="D110" s="20">
        <v>100</v>
      </c>
    </row>
    <row r="111" spans="2:4" x14ac:dyDescent="0.35">
      <c r="B111" s="4" t="s">
        <v>1101</v>
      </c>
      <c r="C111" s="20">
        <v>100</v>
      </c>
      <c r="D111" s="20">
        <v>100</v>
      </c>
    </row>
    <row r="112" spans="2:4" x14ac:dyDescent="0.35">
      <c r="B112" s="4" t="s">
        <v>1073</v>
      </c>
      <c r="C112" s="20">
        <v>100</v>
      </c>
      <c r="D112" s="20">
        <v>100</v>
      </c>
    </row>
    <row r="113" spans="2:4" x14ac:dyDescent="0.35">
      <c r="B113" s="4" t="s">
        <v>1159</v>
      </c>
      <c r="C113" s="20">
        <v>100</v>
      </c>
      <c r="D113" s="20">
        <v>100</v>
      </c>
    </row>
    <row r="114" spans="2:4" x14ac:dyDescent="0.35">
      <c r="B114" s="4" t="s">
        <v>1148</v>
      </c>
      <c r="C114" s="20">
        <v>100</v>
      </c>
      <c r="D114" s="20">
        <v>100</v>
      </c>
    </row>
    <row r="115" spans="2:4" x14ac:dyDescent="0.35">
      <c r="B115" s="4" t="s">
        <v>1099</v>
      </c>
      <c r="C115" s="20">
        <v>100</v>
      </c>
      <c r="D115" s="20">
        <v>100</v>
      </c>
    </row>
    <row r="116" spans="2:4" x14ac:dyDescent="0.35">
      <c r="B116" s="4" t="s">
        <v>1072</v>
      </c>
      <c r="C116" s="20">
        <v>100</v>
      </c>
      <c r="D116" s="20">
        <v>100</v>
      </c>
    </row>
    <row r="117" spans="2:4" x14ac:dyDescent="0.35">
      <c r="B117" s="4" t="s">
        <v>1171</v>
      </c>
      <c r="C117" s="20">
        <v>100</v>
      </c>
      <c r="D117" s="20">
        <v>100</v>
      </c>
    </row>
    <row r="118" spans="2:4" x14ac:dyDescent="0.35">
      <c r="B118" s="4" t="s">
        <v>1157</v>
      </c>
      <c r="C118" s="20">
        <v>100</v>
      </c>
      <c r="D118" s="20">
        <v>100</v>
      </c>
    </row>
    <row r="119" spans="2:4" x14ac:dyDescent="0.35">
      <c r="B119" s="4" t="s">
        <v>1145</v>
      </c>
      <c r="C119" s="20">
        <v>100</v>
      </c>
      <c r="D119" s="20">
        <v>100</v>
      </c>
    </row>
    <row r="120" spans="2:4" x14ac:dyDescent="0.35">
      <c r="B120" s="4" t="s">
        <v>1071</v>
      </c>
      <c r="C120" s="20">
        <v>100</v>
      </c>
      <c r="D120" s="20">
        <v>100</v>
      </c>
    </row>
    <row r="121" spans="2:4" x14ac:dyDescent="0.35">
      <c r="B121" s="4" t="s">
        <v>1141</v>
      </c>
      <c r="C121" s="20">
        <v>100</v>
      </c>
      <c r="D121" s="20">
        <v>100</v>
      </c>
    </row>
    <row r="122" spans="2:4" x14ac:dyDescent="0.35">
      <c r="B122" s="4" t="s">
        <v>1070</v>
      </c>
      <c r="C122" s="20">
        <v>100</v>
      </c>
      <c r="D122" s="20">
        <v>100</v>
      </c>
    </row>
    <row r="123" spans="2:4" x14ac:dyDescent="0.35">
      <c r="B123" s="4" t="s">
        <v>1138</v>
      </c>
      <c r="C123" s="20">
        <v>100</v>
      </c>
      <c r="D123" s="20">
        <v>100</v>
      </c>
    </row>
    <row r="124" spans="2:4" x14ac:dyDescent="0.35">
      <c r="B124" s="4" t="s">
        <v>1068</v>
      </c>
      <c r="C124" s="20">
        <v>100</v>
      </c>
      <c r="D124" s="20">
        <v>100</v>
      </c>
    </row>
    <row r="125" spans="2:4" x14ac:dyDescent="0.35">
      <c r="B125" s="4" t="s">
        <v>1135</v>
      </c>
      <c r="C125" s="20">
        <v>100</v>
      </c>
      <c r="D125" s="20">
        <v>100</v>
      </c>
    </row>
    <row r="126" spans="2:4" x14ac:dyDescent="0.35">
      <c r="B126" s="4" t="s">
        <v>1067</v>
      </c>
      <c r="C126" s="20">
        <v>100</v>
      </c>
      <c r="D126" s="20">
        <v>100</v>
      </c>
    </row>
    <row r="127" spans="2:4" x14ac:dyDescent="0.35">
      <c r="B127" s="4" t="s">
        <v>1131</v>
      </c>
      <c r="C127" s="20">
        <v>100</v>
      </c>
      <c r="D127" s="20">
        <v>100</v>
      </c>
    </row>
    <row r="128" spans="2:4" x14ac:dyDescent="0.35">
      <c r="B128" s="4" t="s">
        <v>1066</v>
      </c>
      <c r="C128" s="20">
        <v>100</v>
      </c>
      <c r="D128" s="20">
        <v>100</v>
      </c>
    </row>
    <row r="129" spans="2:4" x14ac:dyDescent="0.35">
      <c r="B129" s="4" t="s">
        <v>1128</v>
      </c>
      <c r="C129" s="20">
        <v>100</v>
      </c>
      <c r="D129" s="20">
        <v>100</v>
      </c>
    </row>
    <row r="130" spans="2:4" x14ac:dyDescent="0.35">
      <c r="B130" s="4" t="s">
        <v>1065</v>
      </c>
      <c r="C130" s="20">
        <v>100</v>
      </c>
      <c r="D130" s="20">
        <v>100</v>
      </c>
    </row>
    <row r="131" spans="2:4" x14ac:dyDescent="0.35">
      <c r="B131" s="4" t="s">
        <v>1155</v>
      </c>
      <c r="C131" s="20">
        <v>100</v>
      </c>
      <c r="D131" s="20">
        <v>100</v>
      </c>
    </row>
    <row r="132" spans="2:4" x14ac:dyDescent="0.35">
      <c r="B132" s="4" t="s">
        <v>1069</v>
      </c>
      <c r="C132" s="20">
        <v>100</v>
      </c>
      <c r="D132" s="20">
        <v>100</v>
      </c>
    </row>
    <row r="133" spans="2:4" x14ac:dyDescent="0.35">
      <c r="B133" s="4" t="s">
        <v>1121</v>
      </c>
      <c r="C133" s="20">
        <v>100</v>
      </c>
      <c r="D133" s="20">
        <v>100</v>
      </c>
    </row>
    <row r="134" spans="2:4" x14ac:dyDescent="0.35">
      <c r="B134" s="4" t="s">
        <v>1064</v>
      </c>
      <c r="C134" s="20">
        <v>100</v>
      </c>
      <c r="D134" s="20">
        <v>100</v>
      </c>
    </row>
    <row r="135" spans="2:4" x14ac:dyDescent="0.35">
      <c r="B135" s="4" t="s">
        <v>1118</v>
      </c>
      <c r="C135" s="20">
        <v>100</v>
      </c>
      <c r="D135" s="20">
        <v>100</v>
      </c>
    </row>
    <row r="136" spans="2:4" x14ac:dyDescent="0.35">
      <c r="B136" s="4" t="s">
        <v>1063</v>
      </c>
      <c r="C136" s="20">
        <v>100</v>
      </c>
      <c r="D136" s="20">
        <v>100</v>
      </c>
    </row>
    <row r="137" spans="2:4" x14ac:dyDescent="0.35">
      <c r="B137" s="4" t="s">
        <v>1115</v>
      </c>
      <c r="C137" s="20">
        <v>100</v>
      </c>
      <c r="D137" s="20">
        <v>100</v>
      </c>
    </row>
    <row r="138" spans="2:4" x14ac:dyDescent="0.35">
      <c r="B138" s="4" t="s">
        <v>1062</v>
      </c>
      <c r="C138" s="20">
        <v>100</v>
      </c>
      <c r="D138" s="20">
        <v>100</v>
      </c>
    </row>
    <row r="139" spans="2:4" x14ac:dyDescent="0.35">
      <c r="B139" s="4" t="s">
        <v>950</v>
      </c>
      <c r="C139" s="20">
        <v>92.050617283950615</v>
      </c>
      <c r="D139" s="20">
        <v>100</v>
      </c>
    </row>
    <row r="140" spans="2:4" x14ac:dyDescent="0.35">
      <c r="B140" s="4" t="s">
        <v>1061</v>
      </c>
      <c r="C140" s="20">
        <v>100</v>
      </c>
      <c r="D140" s="20">
        <v>100</v>
      </c>
    </row>
    <row r="141" spans="2:4" x14ac:dyDescent="0.35">
      <c r="B141" s="4" t="s">
        <v>1166</v>
      </c>
      <c r="C141" s="20">
        <v>100</v>
      </c>
      <c r="D141" s="20">
        <v>100</v>
      </c>
    </row>
    <row r="142" spans="2:4" x14ac:dyDescent="0.35">
      <c r="B142" s="4" t="s">
        <v>1060</v>
      </c>
      <c r="C142" s="20">
        <v>100</v>
      </c>
      <c r="D142" s="20">
        <v>100</v>
      </c>
    </row>
    <row r="143" spans="2:4" x14ac:dyDescent="0.35">
      <c r="B143" s="4" t="s">
        <v>1107</v>
      </c>
      <c r="C143" s="20">
        <v>100</v>
      </c>
      <c r="D143" s="20">
        <v>100</v>
      </c>
    </row>
    <row r="144" spans="2:4" x14ac:dyDescent="0.35">
      <c r="B144" s="4" t="s">
        <v>1059</v>
      </c>
      <c r="C144" s="20">
        <v>100</v>
      </c>
      <c r="D144" s="20">
        <v>100</v>
      </c>
    </row>
    <row r="145" spans="2:4" x14ac:dyDescent="0.35">
      <c r="B145" s="4" t="s">
        <v>1105</v>
      </c>
      <c r="C145" s="20">
        <v>100</v>
      </c>
      <c r="D145" s="20">
        <v>100</v>
      </c>
    </row>
    <row r="146" spans="2:4" x14ac:dyDescent="0.35">
      <c r="B146" s="4" t="s">
        <v>1058</v>
      </c>
      <c r="C146" s="20">
        <v>100</v>
      </c>
      <c r="D146" s="20">
        <v>100</v>
      </c>
    </row>
    <row r="147" spans="2:4" x14ac:dyDescent="0.35">
      <c r="B147" s="4" t="s">
        <v>1102</v>
      </c>
      <c r="C147" s="20">
        <v>100</v>
      </c>
      <c r="D147" s="20">
        <v>100</v>
      </c>
    </row>
    <row r="148" spans="2:4" x14ac:dyDescent="0.35">
      <c r="B148" s="4" t="s">
        <v>1057</v>
      </c>
      <c r="C148" s="20">
        <v>100</v>
      </c>
      <c r="D148" s="20">
        <v>100</v>
      </c>
    </row>
    <row r="149" spans="2:4" x14ac:dyDescent="0.35">
      <c r="B149" s="4" t="s">
        <v>1151</v>
      </c>
      <c r="C149" s="20">
        <v>100</v>
      </c>
      <c r="D149" s="20">
        <v>100</v>
      </c>
    </row>
    <row r="150" spans="2:4" x14ac:dyDescent="0.35">
      <c r="B150" s="4" t="s">
        <v>1056</v>
      </c>
      <c r="C150" s="20">
        <v>100</v>
      </c>
      <c r="D150" s="20">
        <v>100</v>
      </c>
    </row>
    <row r="151" spans="2:4" x14ac:dyDescent="0.35">
      <c r="B151" s="4" t="s">
        <v>1097</v>
      </c>
      <c r="C151" s="20">
        <v>100</v>
      </c>
      <c r="D151" s="20">
        <v>100</v>
      </c>
    </row>
    <row r="152" spans="2:4" x14ac:dyDescent="0.35">
      <c r="B152" s="4" t="s">
        <v>1055</v>
      </c>
      <c r="C152" s="20">
        <v>100</v>
      </c>
      <c r="D152" s="20">
        <v>100</v>
      </c>
    </row>
    <row r="153" spans="2:4" x14ac:dyDescent="0.35">
      <c r="B153" s="4" t="s">
        <v>1156</v>
      </c>
      <c r="C153" s="20">
        <v>100</v>
      </c>
      <c r="D153" s="20">
        <v>100</v>
      </c>
    </row>
    <row r="154" spans="2:4" x14ac:dyDescent="0.35">
      <c r="B154" s="4" t="s">
        <v>1147</v>
      </c>
      <c r="C154" s="20">
        <v>100</v>
      </c>
      <c r="D154" s="20">
        <v>100</v>
      </c>
    </row>
    <row r="155" spans="2:4" x14ac:dyDescent="0.35">
      <c r="B155" s="4" t="s">
        <v>1133</v>
      </c>
      <c r="C155" s="20">
        <v>100</v>
      </c>
      <c r="D155" s="20">
        <v>100</v>
      </c>
    </row>
    <row r="156" spans="2:4" x14ac:dyDescent="0.35">
      <c r="B156" s="4" t="s">
        <v>1054</v>
      </c>
      <c r="C156" s="20">
        <v>100</v>
      </c>
      <c r="D156" s="20">
        <v>100</v>
      </c>
    </row>
    <row r="157" spans="2:4" x14ac:dyDescent="0.35">
      <c r="B157" s="4" t="s">
        <v>1126</v>
      </c>
      <c r="C157" s="20">
        <v>100</v>
      </c>
      <c r="D157" s="20">
        <v>100</v>
      </c>
    </row>
    <row r="158" spans="2:4" x14ac:dyDescent="0.35">
      <c r="B158" s="4" t="s">
        <v>1053</v>
      </c>
      <c r="C158" s="20">
        <v>100</v>
      </c>
      <c r="D158" s="20">
        <v>100</v>
      </c>
    </row>
    <row r="159" spans="2:4" x14ac:dyDescent="0.35">
      <c r="B159" s="4" t="s">
        <v>1120</v>
      </c>
      <c r="C159" s="20">
        <v>100</v>
      </c>
      <c r="D159" s="20">
        <v>100</v>
      </c>
    </row>
    <row r="160" spans="2:4" x14ac:dyDescent="0.35">
      <c r="B160" s="4" t="s">
        <v>1052</v>
      </c>
      <c r="C160" s="20">
        <v>100</v>
      </c>
      <c r="D160" s="20">
        <v>100</v>
      </c>
    </row>
    <row r="161" spans="2:4" x14ac:dyDescent="0.35">
      <c r="B161" s="4" t="s">
        <v>1160</v>
      </c>
      <c r="C161" s="20">
        <v>100</v>
      </c>
      <c r="D161" s="20">
        <v>100</v>
      </c>
    </row>
    <row r="162" spans="2:4" x14ac:dyDescent="0.35">
      <c r="B162" s="4" t="s">
        <v>1051</v>
      </c>
      <c r="C162" s="20">
        <v>100</v>
      </c>
      <c r="D162" s="20">
        <v>100</v>
      </c>
    </row>
    <row r="163" spans="2:4" x14ac:dyDescent="0.35">
      <c r="B163" s="4" t="s">
        <v>1109</v>
      </c>
      <c r="C163" s="20">
        <v>100</v>
      </c>
      <c r="D163" s="20">
        <v>100</v>
      </c>
    </row>
    <row r="164" spans="2:4" x14ac:dyDescent="0.35">
      <c r="B164" s="4" t="s">
        <v>1146</v>
      </c>
      <c r="C164" s="20">
        <v>100</v>
      </c>
      <c r="D164" s="20">
        <v>100</v>
      </c>
    </row>
    <row r="165" spans="2:4" x14ac:dyDescent="0.35">
      <c r="B165" s="4" t="s">
        <v>1169</v>
      </c>
      <c r="C165" s="20">
        <v>100</v>
      </c>
      <c r="D165" s="20">
        <v>100</v>
      </c>
    </row>
    <row r="166" spans="2:4" x14ac:dyDescent="0.35">
      <c r="B166" s="4" t="s">
        <v>1050</v>
      </c>
      <c r="C166" s="20">
        <v>100</v>
      </c>
      <c r="D166" s="20">
        <v>100</v>
      </c>
    </row>
    <row r="167" spans="2:4" x14ac:dyDescent="0.35">
      <c r="B167" s="4" t="s">
        <v>1098</v>
      </c>
      <c r="C167" s="20">
        <v>100</v>
      </c>
      <c r="D167" s="20">
        <v>100</v>
      </c>
    </row>
    <row r="168" spans="2:4" x14ac:dyDescent="0.35">
      <c r="B168" s="4" t="s">
        <v>1049</v>
      </c>
      <c r="C168" s="20">
        <v>100</v>
      </c>
      <c r="D168" s="20">
        <v>100</v>
      </c>
    </row>
    <row r="169" spans="2:4" x14ac:dyDescent="0.35">
      <c r="B169" s="4" t="s">
        <v>1137</v>
      </c>
      <c r="C169" s="20">
        <v>100</v>
      </c>
      <c r="D169" s="20">
        <v>100</v>
      </c>
    </row>
    <row r="170" spans="2:4" x14ac:dyDescent="0.35">
      <c r="B170" s="4" t="s">
        <v>1048</v>
      </c>
      <c r="C170" s="20">
        <v>100</v>
      </c>
      <c r="D170" s="20">
        <v>100</v>
      </c>
    </row>
    <row r="171" spans="2:4" x14ac:dyDescent="0.35">
      <c r="B171" s="4" t="s">
        <v>1123</v>
      </c>
      <c r="C171" s="20">
        <v>100</v>
      </c>
      <c r="D171" s="20">
        <v>100</v>
      </c>
    </row>
    <row r="172" spans="2:4" x14ac:dyDescent="0.35">
      <c r="B172" s="4" t="s">
        <v>1047</v>
      </c>
      <c r="C172" s="20">
        <v>100</v>
      </c>
      <c r="D172" s="20">
        <v>100</v>
      </c>
    </row>
    <row r="173" spans="2:4" x14ac:dyDescent="0.35">
      <c r="B173" s="4" t="s">
        <v>1170</v>
      </c>
      <c r="C173" s="20">
        <v>100</v>
      </c>
      <c r="D173" s="20">
        <v>100</v>
      </c>
    </row>
    <row r="174" spans="2:4" x14ac:dyDescent="0.35">
      <c r="B174" s="4" t="s">
        <v>1046</v>
      </c>
      <c r="C174" s="20">
        <v>100</v>
      </c>
      <c r="D174" s="20">
        <v>100</v>
      </c>
    </row>
    <row r="175" spans="2:4" x14ac:dyDescent="0.35">
      <c r="B175" s="4" t="s">
        <v>1100</v>
      </c>
      <c r="C175" s="20">
        <v>100</v>
      </c>
      <c r="D175" s="20">
        <v>100</v>
      </c>
    </row>
    <row r="176" spans="2:4" x14ac:dyDescent="0.35">
      <c r="B176" s="4" t="s">
        <v>1045</v>
      </c>
      <c r="C176" s="20">
        <v>100</v>
      </c>
      <c r="D176" s="20">
        <v>100</v>
      </c>
    </row>
    <row r="177" spans="1:4" x14ac:dyDescent="0.35">
      <c r="B177" s="4" t="s">
        <v>1130</v>
      </c>
      <c r="C177" s="20">
        <v>100</v>
      </c>
      <c r="D177" s="20">
        <v>100</v>
      </c>
    </row>
    <row r="178" spans="1:4" x14ac:dyDescent="0.35">
      <c r="B178" s="4" t="s">
        <v>1044</v>
      </c>
      <c r="C178" s="20">
        <v>100</v>
      </c>
      <c r="D178" s="20">
        <v>100</v>
      </c>
    </row>
    <row r="179" spans="1:4" x14ac:dyDescent="0.35">
      <c r="B179" s="4" t="s">
        <v>1153</v>
      </c>
      <c r="C179" s="20">
        <v>100</v>
      </c>
      <c r="D179" s="20">
        <v>100</v>
      </c>
    </row>
    <row r="180" spans="1:4" x14ac:dyDescent="0.35">
      <c r="B180" s="4" t="s">
        <v>1043</v>
      </c>
      <c r="C180" s="20">
        <v>100</v>
      </c>
      <c r="D180" s="20">
        <v>100</v>
      </c>
    </row>
    <row r="181" spans="1:4" x14ac:dyDescent="0.35">
      <c r="B181" s="4" t="s">
        <v>1116</v>
      </c>
      <c r="C181" s="20">
        <v>100</v>
      </c>
      <c r="D181" s="20">
        <v>100</v>
      </c>
    </row>
    <row r="182" spans="1:4" x14ac:dyDescent="0.35">
      <c r="B182" s="4" t="s">
        <v>1042</v>
      </c>
      <c r="C182" s="20">
        <v>100</v>
      </c>
      <c r="D182" s="20">
        <v>100</v>
      </c>
    </row>
    <row r="183" spans="1:4" x14ac:dyDescent="0.35">
      <c r="B183" s="4" t="s">
        <v>1143</v>
      </c>
      <c r="C183" s="20">
        <v>100</v>
      </c>
      <c r="D183" s="20">
        <v>100</v>
      </c>
    </row>
    <row r="184" spans="1:4" x14ac:dyDescent="0.35">
      <c r="B184" s="4" t="s">
        <v>1041</v>
      </c>
      <c r="C184" s="20">
        <v>100</v>
      </c>
      <c r="D184" s="20">
        <v>100</v>
      </c>
    </row>
    <row r="185" spans="1:4" x14ac:dyDescent="0.35">
      <c r="A185" s="4" t="s">
        <v>1035</v>
      </c>
      <c r="C185" s="20">
        <v>99.95443293749716</v>
      </c>
      <c r="D185" s="20">
        <v>99.461385154518808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2B2E3-FBBB-46F5-B3DC-D65CB0340611}">
  <dimension ref="A1:D185"/>
  <sheetViews>
    <sheetView zoomScale="85" zoomScaleNormal="85" workbookViewId="0">
      <selection activeCell="D3" sqref="D3"/>
    </sheetView>
  </sheetViews>
  <sheetFormatPr defaultRowHeight="14.5" x14ac:dyDescent="0.35"/>
  <cols>
    <col min="1" max="1" width="12.08984375" style="4" bestFit="1" customWidth="1"/>
    <col min="2" max="2" width="17.1796875" style="4" bestFit="1" customWidth="1"/>
    <col min="3" max="3" width="36.26953125" style="4" bestFit="1" customWidth="1"/>
    <col min="4" max="4" width="31.08984375" style="4" bestFit="1" customWidth="1"/>
  </cols>
  <sheetData>
    <row r="1" spans="1:4" x14ac:dyDescent="0.35">
      <c r="C1" s="19" t="s">
        <v>1038</v>
      </c>
    </row>
    <row r="2" spans="1:4" x14ac:dyDescent="0.35">
      <c r="A2" s="19" t="s">
        <v>1334</v>
      </c>
      <c r="B2" s="19" t="s">
        <v>1333</v>
      </c>
      <c r="C2" s="4" t="s">
        <v>1337</v>
      </c>
      <c r="D2" s="4" t="s">
        <v>1338</v>
      </c>
    </row>
    <row r="3" spans="1:4" x14ac:dyDescent="0.35">
      <c r="A3" s="4" t="s">
        <v>964</v>
      </c>
      <c r="B3" s="4" t="s">
        <v>359</v>
      </c>
      <c r="C3" s="20">
        <v>99.978384259259258</v>
      </c>
      <c r="D3" s="20">
        <v>87.023350308641994</v>
      </c>
    </row>
    <row r="4" spans="1:4" x14ac:dyDescent="0.35">
      <c r="B4" s="4" t="s">
        <v>387</v>
      </c>
      <c r="C4" s="20">
        <v>99.954919532627855</v>
      </c>
      <c r="D4" s="20">
        <v>90.036978615520283</v>
      </c>
    </row>
    <row r="5" spans="1:4" x14ac:dyDescent="0.35">
      <c r="B5" s="4" t="s">
        <v>949</v>
      </c>
      <c r="C5" s="20">
        <v>99.831967592592591</v>
      </c>
      <c r="D5" s="20">
        <v>92.439351851851853</v>
      </c>
    </row>
    <row r="6" spans="1:4" x14ac:dyDescent="0.35">
      <c r="B6" s="4" t="s">
        <v>843</v>
      </c>
      <c r="C6" s="20">
        <v>99.973148148148155</v>
      </c>
      <c r="D6" s="20">
        <v>92.498726851851856</v>
      </c>
    </row>
    <row r="7" spans="1:4" x14ac:dyDescent="0.35">
      <c r="B7" s="4" t="s">
        <v>313</v>
      </c>
      <c r="C7" s="20">
        <v>100.53787037037037</v>
      </c>
      <c r="D7" s="20">
        <v>94.207908950617281</v>
      </c>
    </row>
    <row r="8" spans="1:4" x14ac:dyDescent="0.35">
      <c r="B8" s="4" t="s">
        <v>948</v>
      </c>
      <c r="C8" s="20">
        <v>99.814467592592592</v>
      </c>
      <c r="D8" s="20">
        <v>94.299266975308655</v>
      </c>
    </row>
    <row r="9" spans="1:4" x14ac:dyDescent="0.35">
      <c r="B9" s="4" t="s">
        <v>363</v>
      </c>
      <c r="C9" s="20">
        <v>99.984956275720165</v>
      </c>
      <c r="D9" s="20">
        <v>94.775606995884772</v>
      </c>
    </row>
    <row r="10" spans="1:4" x14ac:dyDescent="0.35">
      <c r="B10" s="4" t="s">
        <v>199</v>
      </c>
      <c r="C10" s="20">
        <v>99.981167695473246</v>
      </c>
      <c r="D10" s="20">
        <v>94.906365740740739</v>
      </c>
    </row>
    <row r="11" spans="1:4" x14ac:dyDescent="0.35">
      <c r="B11" s="4" t="s">
        <v>240</v>
      </c>
      <c r="C11" s="20">
        <v>100.11294634377967</v>
      </c>
      <c r="D11" s="20">
        <v>95.673906695156674</v>
      </c>
    </row>
    <row r="12" spans="1:4" x14ac:dyDescent="0.35">
      <c r="B12" s="4" t="s">
        <v>557</v>
      </c>
      <c r="C12" s="20">
        <v>99.9811188271605</v>
      </c>
      <c r="D12" s="20">
        <v>96.535594135802469</v>
      </c>
    </row>
    <row r="13" spans="1:4" x14ac:dyDescent="0.35">
      <c r="B13" s="4" t="s">
        <v>899</v>
      </c>
      <c r="C13" s="20">
        <v>99.986087962962969</v>
      </c>
      <c r="D13" s="20">
        <v>96.585208333333327</v>
      </c>
    </row>
    <row r="14" spans="1:4" x14ac:dyDescent="0.35">
      <c r="B14" s="4" t="s">
        <v>231</v>
      </c>
      <c r="C14" s="20">
        <v>99.96108906525572</v>
      </c>
      <c r="D14" s="20">
        <v>96.746549823633146</v>
      </c>
    </row>
    <row r="15" spans="1:4" x14ac:dyDescent="0.35">
      <c r="B15" s="4" t="s">
        <v>320</v>
      </c>
      <c r="C15" s="20">
        <v>99.989544753086406</v>
      </c>
      <c r="D15" s="20">
        <v>96.761496913580245</v>
      </c>
    </row>
    <row r="16" spans="1:4" x14ac:dyDescent="0.35">
      <c r="B16" s="4" t="s">
        <v>690</v>
      </c>
      <c r="C16" s="20">
        <v>99.992168209876553</v>
      </c>
      <c r="D16" s="20">
        <v>96.773942901234562</v>
      </c>
    </row>
    <row r="17" spans="2:4" x14ac:dyDescent="0.35">
      <c r="B17" s="4" t="s">
        <v>378</v>
      </c>
      <c r="C17" s="20">
        <v>99.994544753086416</v>
      </c>
      <c r="D17" s="20">
        <v>96.775563271604938</v>
      </c>
    </row>
    <row r="18" spans="2:4" x14ac:dyDescent="0.35">
      <c r="B18" s="4" t="s">
        <v>423</v>
      </c>
      <c r="C18" s="20">
        <v>99.950887345679021</v>
      </c>
      <c r="D18" s="20">
        <v>96.897955246913583</v>
      </c>
    </row>
    <row r="19" spans="2:4" x14ac:dyDescent="0.35">
      <c r="B19" s="4" t="s">
        <v>549</v>
      </c>
      <c r="C19" s="20">
        <v>99.992214506172843</v>
      </c>
      <c r="D19" s="20">
        <v>97.333325617283947</v>
      </c>
    </row>
    <row r="20" spans="2:4" x14ac:dyDescent="0.35">
      <c r="B20" s="4" t="s">
        <v>759</v>
      </c>
      <c r="C20" s="20">
        <v>99.99477237654321</v>
      </c>
      <c r="D20" s="20">
        <v>97.489633487654316</v>
      </c>
    </row>
    <row r="21" spans="2:4" x14ac:dyDescent="0.35">
      <c r="B21" s="4" t="s">
        <v>775</v>
      </c>
      <c r="C21" s="20">
        <v>99.992650462962956</v>
      </c>
      <c r="D21" s="20">
        <v>97.493873456790126</v>
      </c>
    </row>
    <row r="22" spans="2:4" x14ac:dyDescent="0.35">
      <c r="B22" s="4" t="s">
        <v>83</v>
      </c>
      <c r="C22" s="20">
        <v>99.997276234567906</v>
      </c>
      <c r="D22" s="20">
        <v>97.53813271604939</v>
      </c>
    </row>
    <row r="23" spans="2:4" x14ac:dyDescent="0.35">
      <c r="B23" s="4" t="s">
        <v>124</v>
      </c>
      <c r="C23" s="20">
        <v>99.99599922839505</v>
      </c>
      <c r="D23" s="20">
        <v>98.187739197530874</v>
      </c>
    </row>
    <row r="24" spans="2:4" x14ac:dyDescent="0.35">
      <c r="B24" s="4" t="s">
        <v>348</v>
      </c>
      <c r="C24" s="20">
        <v>99.993132716049388</v>
      </c>
      <c r="D24" s="20">
        <v>98.210972222222225</v>
      </c>
    </row>
    <row r="25" spans="2:4" x14ac:dyDescent="0.35">
      <c r="B25" s="4" t="s">
        <v>504</v>
      </c>
      <c r="C25" s="20">
        <v>99.990828703703713</v>
      </c>
      <c r="D25" s="20">
        <v>98.230921296296287</v>
      </c>
    </row>
    <row r="26" spans="2:4" x14ac:dyDescent="0.35">
      <c r="B26" s="4" t="s">
        <v>195</v>
      </c>
      <c r="C26" s="20">
        <v>99.961485890652554</v>
      </c>
      <c r="D26" s="20">
        <v>98.238682760141089</v>
      </c>
    </row>
    <row r="27" spans="2:4" x14ac:dyDescent="0.35">
      <c r="B27" s="4" t="s">
        <v>672</v>
      </c>
      <c r="C27" s="20">
        <v>99.952124485596713</v>
      </c>
      <c r="D27" s="20">
        <v>98.325689300411511</v>
      </c>
    </row>
    <row r="28" spans="2:4" x14ac:dyDescent="0.35">
      <c r="B28" s="4" t="s">
        <v>381</v>
      </c>
      <c r="C28" s="20">
        <v>99.993554894179894</v>
      </c>
      <c r="D28" s="20">
        <v>98.37997685185185</v>
      </c>
    </row>
    <row r="29" spans="2:4" x14ac:dyDescent="0.35">
      <c r="B29" s="4" t="s">
        <v>644</v>
      </c>
      <c r="C29" s="20">
        <v>99.933379629629627</v>
      </c>
      <c r="D29" s="20">
        <v>98.383892746913574</v>
      </c>
    </row>
    <row r="30" spans="2:4" x14ac:dyDescent="0.35">
      <c r="B30" s="4" t="s">
        <v>943</v>
      </c>
      <c r="C30" s="20">
        <v>99.984236111111116</v>
      </c>
      <c r="D30" s="20">
        <v>98.647646604938274</v>
      </c>
    </row>
    <row r="31" spans="2:4" x14ac:dyDescent="0.35">
      <c r="B31" s="4" t="s">
        <v>468</v>
      </c>
      <c r="C31" s="20">
        <v>99.961442901234562</v>
      </c>
      <c r="D31" s="20">
        <v>98.671653163580245</v>
      </c>
    </row>
    <row r="32" spans="2:4" x14ac:dyDescent="0.35">
      <c r="B32" s="4" t="s">
        <v>539</v>
      </c>
      <c r="C32" s="20">
        <v>99.990972222222226</v>
      </c>
      <c r="D32" s="20">
        <v>98.756311728395048</v>
      </c>
    </row>
    <row r="33" spans="2:4" x14ac:dyDescent="0.35">
      <c r="B33" s="4" t="s">
        <v>252</v>
      </c>
      <c r="C33" s="20">
        <v>99.950344650205764</v>
      </c>
      <c r="D33" s="20">
        <v>98.923739711934147</v>
      </c>
    </row>
    <row r="34" spans="2:4" x14ac:dyDescent="0.35">
      <c r="B34" s="4" t="s">
        <v>601</v>
      </c>
      <c r="C34" s="20">
        <v>99.983109567901238</v>
      </c>
      <c r="D34" s="20">
        <v>99.215289351851851</v>
      </c>
    </row>
    <row r="35" spans="2:4" x14ac:dyDescent="0.35">
      <c r="B35" s="4" t="s">
        <v>284</v>
      </c>
      <c r="C35" s="20">
        <v>99.964103009259262</v>
      </c>
      <c r="D35" s="20">
        <v>99.358956404320978</v>
      </c>
    </row>
    <row r="36" spans="2:4" x14ac:dyDescent="0.35">
      <c r="B36" s="4" t="s">
        <v>294</v>
      </c>
      <c r="C36" s="20">
        <v>99.950850694444441</v>
      </c>
      <c r="D36" s="20">
        <v>99.381973379629628</v>
      </c>
    </row>
    <row r="37" spans="2:4" x14ac:dyDescent="0.35">
      <c r="B37" s="4" t="s">
        <v>303</v>
      </c>
      <c r="C37" s="20">
        <v>99.972319223985892</v>
      </c>
      <c r="D37" s="20">
        <v>99.388354276895953</v>
      </c>
    </row>
    <row r="38" spans="2:4" x14ac:dyDescent="0.35">
      <c r="B38" s="4" t="s">
        <v>705</v>
      </c>
      <c r="C38" s="20">
        <v>99.995694444444439</v>
      </c>
      <c r="D38" s="20">
        <v>99.427199074074068</v>
      </c>
    </row>
    <row r="39" spans="2:4" x14ac:dyDescent="0.35">
      <c r="B39" s="4" t="s">
        <v>465</v>
      </c>
      <c r="C39" s="20">
        <v>99.986324588477373</v>
      </c>
      <c r="D39" s="20">
        <v>99.478566100823045</v>
      </c>
    </row>
    <row r="40" spans="2:4" x14ac:dyDescent="0.35">
      <c r="B40" s="4" t="s">
        <v>266</v>
      </c>
      <c r="C40" s="20">
        <v>99.9669045781893</v>
      </c>
      <c r="D40" s="20">
        <v>99.636921296296293</v>
      </c>
    </row>
    <row r="41" spans="2:4" x14ac:dyDescent="0.35">
      <c r="B41" s="4" t="s">
        <v>434</v>
      </c>
      <c r="C41" s="20">
        <v>99.988456790123465</v>
      </c>
      <c r="D41" s="20">
        <v>99.707953703703694</v>
      </c>
    </row>
    <row r="42" spans="2:4" x14ac:dyDescent="0.35">
      <c r="B42" s="4" t="s">
        <v>207</v>
      </c>
      <c r="C42" s="20">
        <v>99.984812242798355</v>
      </c>
      <c r="D42" s="20">
        <v>99.723708847736631</v>
      </c>
    </row>
    <row r="43" spans="2:4" x14ac:dyDescent="0.35">
      <c r="B43" s="4" t="s">
        <v>402</v>
      </c>
      <c r="C43" s="20">
        <v>99.962824074074064</v>
      </c>
      <c r="D43" s="20">
        <v>99.740137345679017</v>
      </c>
    </row>
    <row r="44" spans="2:4" x14ac:dyDescent="0.35">
      <c r="B44" s="4" t="s">
        <v>249</v>
      </c>
      <c r="C44" s="20">
        <v>99.992319958847744</v>
      </c>
      <c r="D44" s="20">
        <v>99.791590363511659</v>
      </c>
    </row>
    <row r="45" spans="2:4" x14ac:dyDescent="0.35">
      <c r="B45" s="4" t="s">
        <v>635</v>
      </c>
      <c r="C45" s="20">
        <v>99.993881172839522</v>
      </c>
      <c r="D45" s="20">
        <v>99.856388888888887</v>
      </c>
    </row>
    <row r="46" spans="2:4" x14ac:dyDescent="0.35">
      <c r="B46" s="4" t="s">
        <v>323</v>
      </c>
      <c r="C46" s="20">
        <v>99.96672067901234</v>
      </c>
      <c r="D46" s="20">
        <v>99.877762345679017</v>
      </c>
    </row>
    <row r="47" spans="2:4" x14ac:dyDescent="0.35">
      <c r="B47" s="4" t="s">
        <v>351</v>
      </c>
      <c r="C47" s="20">
        <v>99.987114197530872</v>
      </c>
      <c r="D47" s="20">
        <v>99.933873456790124</v>
      </c>
    </row>
    <row r="48" spans="2:4" x14ac:dyDescent="0.35">
      <c r="B48" s="4" t="s">
        <v>621</v>
      </c>
      <c r="C48" s="20">
        <v>99.955941358024688</v>
      </c>
      <c r="D48" s="20">
        <v>99.9375</v>
      </c>
    </row>
    <row r="49" spans="2:4" x14ac:dyDescent="0.35">
      <c r="B49" s="4" t="s">
        <v>721</v>
      </c>
      <c r="C49" s="20">
        <v>99.956265432098775</v>
      </c>
      <c r="D49" s="20">
        <v>99.937554012345686</v>
      </c>
    </row>
    <row r="50" spans="2:4" x14ac:dyDescent="0.35">
      <c r="B50" s="4" t="s">
        <v>437</v>
      </c>
      <c r="C50" s="20">
        <v>99.964619984567904</v>
      </c>
      <c r="D50" s="20">
        <v>99.964211033950619</v>
      </c>
    </row>
    <row r="51" spans="2:4" x14ac:dyDescent="0.35">
      <c r="B51" s="4" t="s">
        <v>257</v>
      </c>
      <c r="C51" s="20">
        <v>99.990370370370371</v>
      </c>
      <c r="D51" s="20">
        <v>99.990100308641971</v>
      </c>
    </row>
    <row r="52" spans="2:4" x14ac:dyDescent="0.35">
      <c r="B52" s="4" t="s">
        <v>664</v>
      </c>
      <c r="C52" s="20">
        <v>99.989020061728397</v>
      </c>
      <c r="D52" s="20">
        <v>99.991458333333327</v>
      </c>
    </row>
    <row r="53" spans="2:4" x14ac:dyDescent="0.35">
      <c r="B53" s="4" t="s">
        <v>831</v>
      </c>
      <c r="C53" s="20">
        <v>99.871589506172839</v>
      </c>
      <c r="D53" s="20">
        <v>100</v>
      </c>
    </row>
    <row r="54" spans="2:4" x14ac:dyDescent="0.35">
      <c r="B54" s="4" t="s">
        <v>1263</v>
      </c>
      <c r="C54" s="20">
        <v>100</v>
      </c>
      <c r="D54" s="20">
        <v>100</v>
      </c>
    </row>
    <row r="55" spans="2:4" x14ac:dyDescent="0.35">
      <c r="B55" s="4" t="s">
        <v>1257</v>
      </c>
      <c r="C55" s="20">
        <v>100</v>
      </c>
      <c r="D55" s="20">
        <v>100</v>
      </c>
    </row>
    <row r="56" spans="2:4" x14ac:dyDescent="0.35">
      <c r="B56" s="4" t="s">
        <v>1299</v>
      </c>
      <c r="C56" s="20">
        <v>100</v>
      </c>
      <c r="D56" s="20">
        <v>100</v>
      </c>
    </row>
    <row r="57" spans="2:4" x14ac:dyDescent="0.35">
      <c r="B57" s="4" t="s">
        <v>1271</v>
      </c>
      <c r="C57" s="20">
        <v>100</v>
      </c>
      <c r="D57" s="20">
        <v>100</v>
      </c>
    </row>
    <row r="58" spans="2:4" x14ac:dyDescent="0.35">
      <c r="B58" s="4" t="s">
        <v>1282</v>
      </c>
      <c r="C58" s="20">
        <v>100</v>
      </c>
      <c r="D58" s="20">
        <v>100</v>
      </c>
    </row>
    <row r="59" spans="2:4" x14ac:dyDescent="0.35">
      <c r="B59" s="4" t="s">
        <v>1273</v>
      </c>
      <c r="C59" s="20">
        <v>100</v>
      </c>
      <c r="D59" s="20">
        <v>100</v>
      </c>
    </row>
    <row r="60" spans="2:4" x14ac:dyDescent="0.35">
      <c r="B60" s="4" t="s">
        <v>1255</v>
      </c>
      <c r="C60" s="20">
        <v>100</v>
      </c>
      <c r="D60" s="20">
        <v>100</v>
      </c>
    </row>
    <row r="61" spans="2:4" x14ac:dyDescent="0.35">
      <c r="B61" s="4" t="s">
        <v>817</v>
      </c>
      <c r="C61" s="20">
        <v>99.881033950617294</v>
      </c>
      <c r="D61" s="20">
        <v>100</v>
      </c>
    </row>
    <row r="62" spans="2:4" x14ac:dyDescent="0.35">
      <c r="B62" s="4" t="s">
        <v>1262</v>
      </c>
      <c r="C62" s="20">
        <v>100</v>
      </c>
      <c r="D62" s="20">
        <v>100</v>
      </c>
    </row>
    <row r="63" spans="2:4" x14ac:dyDescent="0.35">
      <c r="B63" s="4" t="s">
        <v>826</v>
      </c>
      <c r="C63" s="20">
        <v>99.982021604938268</v>
      </c>
      <c r="D63" s="20">
        <v>100</v>
      </c>
    </row>
    <row r="64" spans="2:4" x14ac:dyDescent="0.35">
      <c r="B64" s="4" t="s">
        <v>795</v>
      </c>
      <c r="C64" s="20">
        <v>99.883348765432103</v>
      </c>
      <c r="D64" s="20">
        <v>100</v>
      </c>
    </row>
    <row r="65" spans="2:4" x14ac:dyDescent="0.35">
      <c r="B65" s="4" t="s">
        <v>410</v>
      </c>
      <c r="C65" s="20">
        <v>99.876350308641975</v>
      </c>
      <c r="D65" s="20">
        <v>100</v>
      </c>
    </row>
    <row r="66" spans="2:4" x14ac:dyDescent="0.35">
      <c r="B66" s="4" t="s">
        <v>543</v>
      </c>
      <c r="C66" s="20">
        <v>99.883950617283958</v>
      </c>
      <c r="D66" s="20">
        <v>100</v>
      </c>
    </row>
    <row r="67" spans="2:4" x14ac:dyDescent="0.35">
      <c r="B67" s="4" t="s">
        <v>1295</v>
      </c>
      <c r="C67" s="20">
        <v>100</v>
      </c>
      <c r="D67" s="20">
        <v>100</v>
      </c>
    </row>
    <row r="68" spans="2:4" x14ac:dyDescent="0.35">
      <c r="B68" s="4" t="s">
        <v>1272</v>
      </c>
      <c r="C68" s="20">
        <v>100</v>
      </c>
      <c r="D68" s="20">
        <v>100</v>
      </c>
    </row>
    <row r="69" spans="2:4" x14ac:dyDescent="0.35">
      <c r="B69" s="4" t="s">
        <v>784</v>
      </c>
      <c r="C69" s="20">
        <v>99.874907407407406</v>
      </c>
      <c r="D69" s="20">
        <v>100</v>
      </c>
    </row>
    <row r="70" spans="2:4" x14ac:dyDescent="0.35">
      <c r="B70" s="4" t="s">
        <v>1267</v>
      </c>
      <c r="C70" s="20">
        <v>100</v>
      </c>
      <c r="D70" s="20">
        <v>100</v>
      </c>
    </row>
    <row r="71" spans="2:4" x14ac:dyDescent="0.35">
      <c r="B71" s="4" t="s">
        <v>1261</v>
      </c>
      <c r="C71" s="20">
        <v>100</v>
      </c>
      <c r="D71" s="20">
        <v>100</v>
      </c>
    </row>
    <row r="72" spans="2:4" x14ac:dyDescent="0.35">
      <c r="B72" s="4" t="s">
        <v>1264</v>
      </c>
      <c r="C72" s="20">
        <v>100</v>
      </c>
      <c r="D72" s="20">
        <v>100</v>
      </c>
    </row>
    <row r="73" spans="2:4" x14ac:dyDescent="0.35">
      <c r="B73" s="4" t="s">
        <v>1260</v>
      </c>
      <c r="C73" s="20">
        <v>100</v>
      </c>
      <c r="D73" s="20">
        <v>100</v>
      </c>
    </row>
    <row r="74" spans="2:4" x14ac:dyDescent="0.35">
      <c r="B74" s="4" t="s">
        <v>1259</v>
      </c>
      <c r="C74" s="20">
        <v>100</v>
      </c>
      <c r="D74" s="20">
        <v>100</v>
      </c>
    </row>
    <row r="75" spans="2:4" x14ac:dyDescent="0.35">
      <c r="B75" s="4" t="s">
        <v>331</v>
      </c>
      <c r="C75" s="20">
        <v>99.881751543209873</v>
      </c>
      <c r="D75" s="20">
        <v>100</v>
      </c>
    </row>
    <row r="76" spans="2:4" x14ac:dyDescent="0.35">
      <c r="B76" s="4" t="s">
        <v>1269</v>
      </c>
      <c r="C76" s="20">
        <v>100</v>
      </c>
      <c r="D76" s="20">
        <v>100</v>
      </c>
    </row>
    <row r="77" spans="2:4" x14ac:dyDescent="0.35">
      <c r="B77" s="4" t="s">
        <v>1294</v>
      </c>
      <c r="C77" s="20">
        <v>100</v>
      </c>
      <c r="D77" s="20">
        <v>100</v>
      </c>
    </row>
    <row r="78" spans="2:4" x14ac:dyDescent="0.35">
      <c r="B78" s="4" t="s">
        <v>1278</v>
      </c>
      <c r="C78" s="20">
        <v>100</v>
      </c>
      <c r="D78" s="20">
        <v>100</v>
      </c>
    </row>
    <row r="79" spans="2:4" x14ac:dyDescent="0.35">
      <c r="B79" s="4" t="s">
        <v>1293</v>
      </c>
      <c r="C79" s="20">
        <v>100</v>
      </c>
      <c r="D79" s="20">
        <v>100</v>
      </c>
    </row>
    <row r="80" spans="2:4" x14ac:dyDescent="0.35">
      <c r="B80" s="4" t="s">
        <v>1296</v>
      </c>
      <c r="C80" s="20">
        <v>100</v>
      </c>
      <c r="D80" s="20">
        <v>100</v>
      </c>
    </row>
    <row r="81" spans="2:4" x14ac:dyDescent="0.35">
      <c r="B81" s="4" t="s">
        <v>328</v>
      </c>
      <c r="C81" s="20">
        <v>99.890871913580241</v>
      </c>
      <c r="D81" s="20">
        <v>100</v>
      </c>
    </row>
    <row r="82" spans="2:4" x14ac:dyDescent="0.35">
      <c r="B82" s="4" t="s">
        <v>1265</v>
      </c>
      <c r="C82" s="20">
        <v>100</v>
      </c>
      <c r="D82" s="20">
        <v>100</v>
      </c>
    </row>
    <row r="83" spans="2:4" x14ac:dyDescent="0.35">
      <c r="B83" s="4" t="s">
        <v>1258</v>
      </c>
      <c r="C83" s="20">
        <v>100</v>
      </c>
      <c r="D83" s="20">
        <v>100</v>
      </c>
    </row>
    <row r="84" spans="2:4" x14ac:dyDescent="0.35">
      <c r="B84" s="4" t="s">
        <v>341</v>
      </c>
      <c r="C84" s="20">
        <v>99.893541666666664</v>
      </c>
      <c r="D84" s="20">
        <v>100</v>
      </c>
    </row>
    <row r="85" spans="2:4" x14ac:dyDescent="0.35">
      <c r="B85" s="4" t="s">
        <v>471</v>
      </c>
      <c r="C85" s="20">
        <v>99.883927469135799</v>
      </c>
      <c r="D85" s="20">
        <v>100</v>
      </c>
    </row>
    <row r="86" spans="2:4" x14ac:dyDescent="0.35">
      <c r="B86" s="4" t="s">
        <v>405</v>
      </c>
      <c r="C86" s="20">
        <v>99.889598765432098</v>
      </c>
      <c r="D86" s="20">
        <v>100</v>
      </c>
    </row>
    <row r="87" spans="2:4" x14ac:dyDescent="0.35">
      <c r="B87" s="4" t="s">
        <v>724</v>
      </c>
      <c r="C87" s="20">
        <v>99.867955246913581</v>
      </c>
      <c r="D87" s="20">
        <v>100</v>
      </c>
    </row>
    <row r="88" spans="2:4" x14ac:dyDescent="0.35">
      <c r="B88" s="4" t="s">
        <v>1277</v>
      </c>
      <c r="C88" s="20">
        <v>100</v>
      </c>
      <c r="D88" s="20">
        <v>100</v>
      </c>
    </row>
    <row r="89" spans="2:4" x14ac:dyDescent="0.35">
      <c r="B89" s="4" t="s">
        <v>1279</v>
      </c>
      <c r="C89" s="20">
        <v>100</v>
      </c>
      <c r="D89" s="20">
        <v>100</v>
      </c>
    </row>
    <row r="90" spans="2:4" x14ac:dyDescent="0.35">
      <c r="B90" s="4" t="s">
        <v>398</v>
      </c>
      <c r="C90" s="20">
        <v>99.867731481481485</v>
      </c>
      <c r="D90" s="20">
        <v>100</v>
      </c>
    </row>
    <row r="91" spans="2:4" x14ac:dyDescent="0.35">
      <c r="B91" s="4" t="s">
        <v>1292</v>
      </c>
      <c r="C91" s="20">
        <v>100</v>
      </c>
      <c r="D91" s="20">
        <v>100</v>
      </c>
    </row>
    <row r="92" spans="2:4" x14ac:dyDescent="0.35">
      <c r="B92" s="4" t="s">
        <v>1274</v>
      </c>
      <c r="C92" s="20">
        <v>100</v>
      </c>
      <c r="D92" s="20">
        <v>100</v>
      </c>
    </row>
    <row r="93" spans="2:4" x14ac:dyDescent="0.35">
      <c r="B93" s="4" t="s">
        <v>1291</v>
      </c>
      <c r="C93" s="20">
        <v>100</v>
      </c>
      <c r="D93" s="20">
        <v>100</v>
      </c>
    </row>
    <row r="94" spans="2:4" x14ac:dyDescent="0.35">
      <c r="B94" s="4" t="s">
        <v>1297</v>
      </c>
      <c r="C94" s="20">
        <v>100</v>
      </c>
      <c r="D94" s="20">
        <v>100</v>
      </c>
    </row>
    <row r="95" spans="2:4" x14ac:dyDescent="0.35">
      <c r="B95" s="4" t="s">
        <v>1290</v>
      </c>
      <c r="C95" s="20">
        <v>100</v>
      </c>
      <c r="D95" s="20">
        <v>100</v>
      </c>
    </row>
    <row r="96" spans="2:4" x14ac:dyDescent="0.35">
      <c r="B96" s="4" t="s">
        <v>1256</v>
      </c>
      <c r="C96" s="20">
        <v>100</v>
      </c>
      <c r="D96" s="20">
        <v>100</v>
      </c>
    </row>
    <row r="97" spans="2:4" x14ac:dyDescent="0.35">
      <c r="B97" s="4" t="s">
        <v>1300</v>
      </c>
      <c r="C97" s="20">
        <v>100</v>
      </c>
      <c r="D97" s="20">
        <v>100</v>
      </c>
    </row>
    <row r="98" spans="2:4" x14ac:dyDescent="0.35">
      <c r="B98" s="4" t="s">
        <v>630</v>
      </c>
      <c r="C98" s="20">
        <v>99.894074074074084</v>
      </c>
      <c r="D98" s="20">
        <v>100</v>
      </c>
    </row>
    <row r="99" spans="2:4" x14ac:dyDescent="0.35">
      <c r="B99" s="4" t="s">
        <v>1280</v>
      </c>
      <c r="C99" s="20">
        <v>100</v>
      </c>
      <c r="D99" s="20">
        <v>100</v>
      </c>
    </row>
    <row r="100" spans="2:4" x14ac:dyDescent="0.35">
      <c r="B100" s="4" t="s">
        <v>480</v>
      </c>
      <c r="C100" s="20">
        <v>99.886226851851859</v>
      </c>
      <c r="D100" s="20">
        <v>100</v>
      </c>
    </row>
    <row r="101" spans="2:4" x14ac:dyDescent="0.35">
      <c r="B101" s="4" t="s">
        <v>1289</v>
      </c>
      <c r="C101" s="20">
        <v>100</v>
      </c>
      <c r="D101" s="20">
        <v>100</v>
      </c>
    </row>
    <row r="102" spans="2:4" x14ac:dyDescent="0.35">
      <c r="B102" s="4" t="s">
        <v>1266</v>
      </c>
      <c r="C102" s="20">
        <v>100</v>
      </c>
      <c r="D102" s="20">
        <v>100</v>
      </c>
    </row>
    <row r="103" spans="2:4" x14ac:dyDescent="0.35">
      <c r="B103" s="4" t="s">
        <v>1288</v>
      </c>
      <c r="C103" s="20">
        <v>100</v>
      </c>
      <c r="D103" s="20">
        <v>100</v>
      </c>
    </row>
    <row r="104" spans="2:4" x14ac:dyDescent="0.35">
      <c r="B104" s="4" t="s">
        <v>1276</v>
      </c>
      <c r="C104" s="20">
        <v>100</v>
      </c>
      <c r="D104" s="20">
        <v>100</v>
      </c>
    </row>
    <row r="105" spans="2:4" x14ac:dyDescent="0.35">
      <c r="B105" s="4" t="s">
        <v>1287</v>
      </c>
      <c r="C105" s="20">
        <v>100</v>
      </c>
      <c r="D105" s="20">
        <v>100</v>
      </c>
    </row>
    <row r="106" spans="2:4" x14ac:dyDescent="0.35">
      <c r="B106" s="4" t="s">
        <v>1268</v>
      </c>
      <c r="C106" s="20">
        <v>100</v>
      </c>
      <c r="D106" s="20">
        <v>100</v>
      </c>
    </row>
    <row r="107" spans="2:4" x14ac:dyDescent="0.35">
      <c r="B107" s="4" t="s">
        <v>1286</v>
      </c>
      <c r="C107" s="20">
        <v>100</v>
      </c>
      <c r="D107" s="20">
        <v>100</v>
      </c>
    </row>
    <row r="108" spans="2:4" x14ac:dyDescent="0.35">
      <c r="B108" s="4" t="s">
        <v>1298</v>
      </c>
      <c r="C108" s="20">
        <v>100</v>
      </c>
      <c r="D108" s="20">
        <v>100</v>
      </c>
    </row>
    <row r="109" spans="2:4" x14ac:dyDescent="0.35">
      <c r="B109" s="4" t="s">
        <v>1285</v>
      </c>
      <c r="C109" s="20">
        <v>100</v>
      </c>
      <c r="D109" s="20">
        <v>100</v>
      </c>
    </row>
    <row r="110" spans="2:4" x14ac:dyDescent="0.35">
      <c r="B110" s="4" t="s">
        <v>1270</v>
      </c>
      <c r="C110" s="20">
        <v>100</v>
      </c>
      <c r="D110" s="20">
        <v>100</v>
      </c>
    </row>
    <row r="111" spans="2:4" x14ac:dyDescent="0.35">
      <c r="B111" s="4" t="s">
        <v>1284</v>
      </c>
      <c r="C111" s="20">
        <v>100</v>
      </c>
      <c r="D111" s="20">
        <v>100</v>
      </c>
    </row>
    <row r="112" spans="2:4" x14ac:dyDescent="0.35">
      <c r="B112" s="4" t="s">
        <v>1275</v>
      </c>
      <c r="C112" s="20">
        <v>100</v>
      </c>
      <c r="D112" s="20">
        <v>100</v>
      </c>
    </row>
    <row r="113" spans="1:4" x14ac:dyDescent="0.35">
      <c r="B113" s="4" t="s">
        <v>1281</v>
      </c>
      <c r="C113" s="20">
        <v>100</v>
      </c>
      <c r="D113" s="20">
        <v>100</v>
      </c>
    </row>
    <row r="114" spans="1:4" x14ac:dyDescent="0.35">
      <c r="B114" s="4" t="s">
        <v>1301</v>
      </c>
      <c r="C114" s="20">
        <v>100</v>
      </c>
      <c r="D114" s="20">
        <v>100</v>
      </c>
    </row>
    <row r="115" spans="1:4" x14ac:dyDescent="0.35">
      <c r="B115" s="4" t="s">
        <v>1283</v>
      </c>
      <c r="C115" s="20">
        <v>100</v>
      </c>
      <c r="D115" s="20">
        <v>100</v>
      </c>
    </row>
    <row r="116" spans="1:4" x14ac:dyDescent="0.35">
      <c r="A116" s="4" t="s">
        <v>1035</v>
      </c>
      <c r="C116" s="20">
        <v>99.977612542853578</v>
      </c>
      <c r="D116" s="20">
        <v>98.938844805290429</v>
      </c>
    </row>
    <row r="117" spans="1:4" x14ac:dyDescent="0.35">
      <c r="A117"/>
      <c r="B117"/>
      <c r="C117"/>
      <c r="D117"/>
    </row>
    <row r="118" spans="1:4" x14ac:dyDescent="0.35">
      <c r="A118"/>
      <c r="B118"/>
      <c r="C118"/>
      <c r="D118"/>
    </row>
    <row r="119" spans="1:4" x14ac:dyDescent="0.35">
      <c r="A119"/>
      <c r="B119"/>
      <c r="C119"/>
      <c r="D119"/>
    </row>
    <row r="120" spans="1:4" x14ac:dyDescent="0.35">
      <c r="A120"/>
      <c r="B120"/>
      <c r="C120"/>
      <c r="D120"/>
    </row>
    <row r="121" spans="1:4" x14ac:dyDescent="0.35">
      <c r="A121"/>
      <c r="B121"/>
      <c r="C121"/>
      <c r="D121"/>
    </row>
    <row r="122" spans="1:4" x14ac:dyDescent="0.35">
      <c r="A122"/>
      <c r="B122"/>
      <c r="C122"/>
      <c r="D122"/>
    </row>
    <row r="123" spans="1:4" x14ac:dyDescent="0.35">
      <c r="A123"/>
      <c r="B123"/>
      <c r="C123"/>
      <c r="D123"/>
    </row>
    <row r="124" spans="1:4" x14ac:dyDescent="0.35">
      <c r="A124"/>
      <c r="B124"/>
      <c r="C124"/>
      <c r="D124"/>
    </row>
    <row r="125" spans="1:4" x14ac:dyDescent="0.35">
      <c r="A125"/>
      <c r="B125"/>
      <c r="C125"/>
      <c r="D125"/>
    </row>
    <row r="126" spans="1:4" x14ac:dyDescent="0.35">
      <c r="A126"/>
      <c r="B126"/>
      <c r="C126"/>
      <c r="D126"/>
    </row>
    <row r="127" spans="1:4" x14ac:dyDescent="0.35">
      <c r="A127"/>
      <c r="B127"/>
      <c r="C127"/>
      <c r="D127"/>
    </row>
    <row r="128" spans="1:4" x14ac:dyDescent="0.35">
      <c r="A128"/>
      <c r="B128"/>
      <c r="C128"/>
      <c r="D128"/>
    </row>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301B1-4BFB-4FEF-BFC7-BE314C349296}">
  <dimension ref="A1:D185"/>
  <sheetViews>
    <sheetView zoomScale="70" zoomScaleNormal="70" workbookViewId="0">
      <selection activeCell="D3" sqref="D3"/>
    </sheetView>
  </sheetViews>
  <sheetFormatPr defaultRowHeight="14.5" x14ac:dyDescent="0.35"/>
  <cols>
    <col min="1" max="1" width="12.08984375" style="4" bestFit="1" customWidth="1"/>
    <col min="2" max="2" width="16" style="4" bestFit="1" customWidth="1"/>
    <col min="3" max="3" width="35.81640625" style="4" bestFit="1" customWidth="1"/>
    <col min="4" max="4" width="30.90625" style="4" bestFit="1" customWidth="1"/>
  </cols>
  <sheetData>
    <row r="1" spans="1:4" x14ac:dyDescent="0.35">
      <c r="C1" s="19" t="s">
        <v>1038</v>
      </c>
    </row>
    <row r="2" spans="1:4" x14ac:dyDescent="0.35">
      <c r="A2" s="19" t="s">
        <v>1334</v>
      </c>
      <c r="B2" s="19" t="s">
        <v>1333</v>
      </c>
      <c r="C2" s="4" t="s">
        <v>1337</v>
      </c>
      <c r="D2" s="4" t="s">
        <v>1338</v>
      </c>
    </row>
    <row r="3" spans="1:4" x14ac:dyDescent="0.35">
      <c r="A3" s="4" t="s">
        <v>972</v>
      </c>
      <c r="B3" s="4" t="s">
        <v>179</v>
      </c>
      <c r="C3" s="20">
        <v>99.987368827160495</v>
      </c>
      <c r="D3" s="20">
        <v>98.97807098765432</v>
      </c>
    </row>
    <row r="4" spans="1:4" x14ac:dyDescent="0.35">
      <c r="B4" s="4" t="s">
        <v>50</v>
      </c>
      <c r="C4" s="20">
        <v>99.993474151234565</v>
      </c>
      <c r="D4" s="20">
        <v>99.121967592592597</v>
      </c>
    </row>
    <row r="5" spans="1:4" x14ac:dyDescent="0.35">
      <c r="B5" s="4" t="s">
        <v>525</v>
      </c>
      <c r="C5" s="20">
        <v>99.99148533950617</v>
      </c>
      <c r="D5" s="20">
        <v>99.360160108024687</v>
      </c>
    </row>
    <row r="6" spans="1:4" x14ac:dyDescent="0.35">
      <c r="B6" s="4" t="s">
        <v>417</v>
      </c>
      <c r="C6" s="20">
        <v>99.993572530864185</v>
      </c>
      <c r="D6" s="20">
        <v>99.554988425925913</v>
      </c>
    </row>
    <row r="7" spans="1:4" x14ac:dyDescent="0.35">
      <c r="B7" s="4" t="s">
        <v>1332</v>
      </c>
      <c r="C7" s="20">
        <v>100</v>
      </c>
      <c r="D7" s="20">
        <v>100</v>
      </c>
    </row>
    <row r="8" spans="1:4" x14ac:dyDescent="0.35">
      <c r="A8" s="4" t="s">
        <v>1035</v>
      </c>
      <c r="C8" s="20">
        <v>99.993180169753089</v>
      </c>
      <c r="D8" s="20">
        <v>99.403037422839503</v>
      </c>
    </row>
    <row r="9" spans="1:4" x14ac:dyDescent="0.35">
      <c r="A9"/>
      <c r="B9"/>
      <c r="C9"/>
      <c r="D9"/>
    </row>
    <row r="10" spans="1:4" x14ac:dyDescent="0.35">
      <c r="A10"/>
      <c r="B10"/>
      <c r="C10"/>
      <c r="D10"/>
    </row>
    <row r="11" spans="1:4" x14ac:dyDescent="0.35">
      <c r="A11"/>
      <c r="B11"/>
      <c r="C11"/>
      <c r="D11"/>
    </row>
    <row r="12" spans="1:4" x14ac:dyDescent="0.35">
      <c r="A12"/>
      <c r="B12"/>
      <c r="C12"/>
      <c r="D12"/>
    </row>
    <row r="13" spans="1:4" x14ac:dyDescent="0.35">
      <c r="A13"/>
      <c r="B13"/>
      <c r="C13"/>
      <c r="D13"/>
    </row>
    <row r="14" spans="1:4" x14ac:dyDescent="0.35">
      <c r="A14"/>
      <c r="B14"/>
      <c r="C14"/>
      <c r="D14"/>
    </row>
    <row r="15" spans="1:4" x14ac:dyDescent="0.35">
      <c r="A15"/>
      <c r="B15"/>
      <c r="C15"/>
      <c r="D15"/>
    </row>
    <row r="16" spans="1:4" x14ac:dyDescent="0.35">
      <c r="A16"/>
      <c r="B16"/>
      <c r="C16"/>
      <c r="D16"/>
    </row>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54DDE-A162-4D59-A937-48C02EC7EBFB}">
  <dimension ref="A1:D185"/>
  <sheetViews>
    <sheetView zoomScale="70" zoomScaleNormal="70" workbookViewId="0">
      <selection activeCell="D3" sqref="D3"/>
    </sheetView>
  </sheetViews>
  <sheetFormatPr defaultRowHeight="14.5" x14ac:dyDescent="0.35"/>
  <cols>
    <col min="1" max="1" width="12.08984375" style="4" bestFit="1" customWidth="1"/>
    <col min="2" max="2" width="16.26953125" style="4" bestFit="1" customWidth="1"/>
    <col min="3" max="3" width="35.81640625" style="4" bestFit="1" customWidth="1"/>
    <col min="4" max="4" width="30.90625" style="4" bestFit="1" customWidth="1"/>
  </cols>
  <sheetData>
    <row r="1" spans="1:4" x14ac:dyDescent="0.35">
      <c r="C1" s="19" t="s">
        <v>1038</v>
      </c>
    </row>
    <row r="2" spans="1:4" x14ac:dyDescent="0.35">
      <c r="A2" s="19" t="s">
        <v>1334</v>
      </c>
      <c r="B2" s="19" t="s">
        <v>1333</v>
      </c>
      <c r="C2" s="4" t="s">
        <v>1337</v>
      </c>
      <c r="D2" s="4" t="s">
        <v>1338</v>
      </c>
    </row>
    <row r="3" spans="1:4" x14ac:dyDescent="0.35">
      <c r="A3" s="4" t="s">
        <v>1314</v>
      </c>
      <c r="B3" s="4" t="s">
        <v>1329</v>
      </c>
      <c r="C3" s="20">
        <v>100</v>
      </c>
      <c r="D3" s="20">
        <v>100</v>
      </c>
    </row>
    <row r="4" spans="1:4" x14ac:dyDescent="0.35">
      <c r="B4" s="4" t="s">
        <v>1328</v>
      </c>
      <c r="C4" s="20">
        <v>100</v>
      </c>
      <c r="D4" s="20">
        <v>100</v>
      </c>
    </row>
    <row r="5" spans="1:4" x14ac:dyDescent="0.35">
      <c r="B5" s="4" t="s">
        <v>1327</v>
      </c>
      <c r="C5" s="20">
        <v>100</v>
      </c>
      <c r="D5" s="20">
        <v>100</v>
      </c>
    </row>
    <row r="6" spans="1:4" x14ac:dyDescent="0.35">
      <c r="B6" s="4" t="s">
        <v>1326</v>
      </c>
      <c r="C6" s="20">
        <v>100</v>
      </c>
      <c r="D6" s="20">
        <v>100</v>
      </c>
    </row>
    <row r="7" spans="1:4" x14ac:dyDescent="0.35">
      <c r="B7" s="4" t="s">
        <v>1325</v>
      </c>
      <c r="C7" s="20">
        <v>100</v>
      </c>
      <c r="D7" s="20">
        <v>100</v>
      </c>
    </row>
    <row r="8" spans="1:4" x14ac:dyDescent="0.35">
      <c r="B8" s="4" t="s">
        <v>1324</v>
      </c>
      <c r="C8" s="20">
        <v>100</v>
      </c>
      <c r="D8" s="20">
        <v>100</v>
      </c>
    </row>
    <row r="9" spans="1:4" x14ac:dyDescent="0.35">
      <c r="B9" s="4" t="s">
        <v>1323</v>
      </c>
      <c r="C9" s="20">
        <v>100</v>
      </c>
      <c r="D9" s="20">
        <v>100</v>
      </c>
    </row>
    <row r="10" spans="1:4" x14ac:dyDescent="0.35">
      <c r="B10" s="4" t="s">
        <v>1322</v>
      </c>
      <c r="C10" s="20">
        <v>100</v>
      </c>
      <c r="D10" s="20">
        <v>100</v>
      </c>
    </row>
    <row r="11" spans="1:4" x14ac:dyDescent="0.35">
      <c r="B11" s="4" t="s">
        <v>1321</v>
      </c>
      <c r="C11" s="20">
        <v>100</v>
      </c>
      <c r="D11" s="20">
        <v>100</v>
      </c>
    </row>
    <row r="12" spans="1:4" x14ac:dyDescent="0.35">
      <c r="B12" s="4" t="s">
        <v>1320</v>
      </c>
      <c r="C12" s="20">
        <v>100</v>
      </c>
      <c r="D12" s="20">
        <v>100</v>
      </c>
    </row>
    <row r="13" spans="1:4" x14ac:dyDescent="0.35">
      <c r="B13" s="4" t="s">
        <v>1319</v>
      </c>
      <c r="C13" s="20">
        <v>100</v>
      </c>
      <c r="D13" s="20">
        <v>100</v>
      </c>
    </row>
    <row r="14" spans="1:4" x14ac:dyDescent="0.35">
      <c r="B14" s="4" t="s">
        <v>1318</v>
      </c>
      <c r="C14" s="20">
        <v>100</v>
      </c>
      <c r="D14" s="20">
        <v>100</v>
      </c>
    </row>
    <row r="15" spans="1:4" x14ac:dyDescent="0.35">
      <c r="B15" s="4" t="s">
        <v>1317</v>
      </c>
      <c r="C15" s="20">
        <v>100</v>
      </c>
      <c r="D15" s="20">
        <v>100</v>
      </c>
    </row>
    <row r="16" spans="1:4" x14ac:dyDescent="0.35">
      <c r="B16" s="4" t="s">
        <v>1316</v>
      </c>
      <c r="C16" s="20">
        <v>100</v>
      </c>
      <c r="D16" s="20">
        <v>100</v>
      </c>
    </row>
    <row r="17" spans="1:4" x14ac:dyDescent="0.35">
      <c r="B17" s="4" t="s">
        <v>1315</v>
      </c>
      <c r="C17" s="20">
        <v>100</v>
      </c>
      <c r="D17" s="20">
        <v>100</v>
      </c>
    </row>
    <row r="18" spans="1:4" x14ac:dyDescent="0.35">
      <c r="B18" s="4" t="s">
        <v>1313</v>
      </c>
      <c r="C18" s="20">
        <v>100</v>
      </c>
      <c r="D18" s="20">
        <v>100</v>
      </c>
    </row>
    <row r="19" spans="1:4" x14ac:dyDescent="0.35">
      <c r="A19" s="4" t="s">
        <v>1035</v>
      </c>
      <c r="C19" s="20">
        <v>100</v>
      </c>
      <c r="D19" s="20">
        <v>100</v>
      </c>
    </row>
    <row r="20" spans="1:4" x14ac:dyDescent="0.35">
      <c r="A20"/>
      <c r="B20"/>
      <c r="C20"/>
      <c r="D20"/>
    </row>
    <row r="21" spans="1:4" x14ac:dyDescent="0.35">
      <c r="A21"/>
      <c r="B21"/>
      <c r="C21"/>
      <c r="D21"/>
    </row>
    <row r="22" spans="1:4" x14ac:dyDescent="0.35">
      <c r="A22"/>
      <c r="B22"/>
      <c r="C22"/>
      <c r="D22"/>
    </row>
    <row r="23" spans="1:4" x14ac:dyDescent="0.35">
      <c r="A23"/>
      <c r="B23"/>
      <c r="C23"/>
      <c r="D23"/>
    </row>
    <row r="24" spans="1:4" x14ac:dyDescent="0.35">
      <c r="A24"/>
      <c r="B24"/>
      <c r="C24"/>
      <c r="D24"/>
    </row>
    <row r="25" spans="1:4" x14ac:dyDescent="0.35">
      <c r="A25"/>
      <c r="B25"/>
      <c r="C25"/>
      <c r="D25"/>
    </row>
    <row r="26" spans="1:4" x14ac:dyDescent="0.35">
      <c r="A26"/>
      <c r="B26"/>
      <c r="C26"/>
      <c r="D26"/>
    </row>
    <row r="27" spans="1:4" x14ac:dyDescent="0.35">
      <c r="A27"/>
      <c r="B27"/>
      <c r="C27"/>
      <c r="D27"/>
    </row>
    <row r="28" spans="1:4" x14ac:dyDescent="0.35">
      <c r="A28"/>
      <c r="B28"/>
      <c r="C28"/>
      <c r="D28"/>
    </row>
    <row r="29" spans="1:4" x14ac:dyDescent="0.35">
      <c r="A29"/>
      <c r="B29"/>
      <c r="C29"/>
      <c r="D29"/>
    </row>
    <row r="30" spans="1:4" x14ac:dyDescent="0.35">
      <c r="A30"/>
      <c r="B30"/>
      <c r="C30"/>
      <c r="D30"/>
    </row>
    <row r="31" spans="1:4" x14ac:dyDescent="0.35">
      <c r="A31"/>
      <c r="B31"/>
      <c r="C31"/>
      <c r="D31"/>
    </row>
    <row r="32" spans="1:4" x14ac:dyDescent="0.35">
      <c r="A32"/>
      <c r="B32"/>
      <c r="C32"/>
      <c r="D32"/>
    </row>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1A79F-68B1-4762-9DC1-653BFA433CCC}">
  <dimension ref="A1:D185"/>
  <sheetViews>
    <sheetView zoomScale="70" zoomScaleNormal="70" workbookViewId="0">
      <selection activeCell="D3" sqref="D3"/>
    </sheetView>
  </sheetViews>
  <sheetFormatPr defaultRowHeight="14.5" x14ac:dyDescent="0.35"/>
  <cols>
    <col min="1" max="1" width="12.08984375" style="4" bestFit="1" customWidth="1"/>
    <col min="2" max="2" width="16.453125" style="4" bestFit="1" customWidth="1"/>
    <col min="3" max="3" width="35.81640625" style="4" bestFit="1" customWidth="1"/>
    <col min="4" max="4" width="30.90625" style="4" bestFit="1" customWidth="1"/>
  </cols>
  <sheetData>
    <row r="1" spans="1:4" x14ac:dyDescent="0.35">
      <c r="C1" s="19" t="s">
        <v>1038</v>
      </c>
    </row>
    <row r="2" spans="1:4" x14ac:dyDescent="0.35">
      <c r="A2" s="19" t="s">
        <v>1334</v>
      </c>
      <c r="B2" s="19" t="s">
        <v>1333</v>
      </c>
      <c r="C2" s="4" t="s">
        <v>1337</v>
      </c>
      <c r="D2" s="4" t="s">
        <v>1338</v>
      </c>
    </row>
    <row r="3" spans="1:4" x14ac:dyDescent="0.35">
      <c r="A3" s="4" t="s">
        <v>984</v>
      </c>
      <c r="B3" s="4" t="s">
        <v>44</v>
      </c>
      <c r="C3" s="20">
        <v>99.914028880070532</v>
      </c>
      <c r="D3" s="20">
        <v>95.870847663139344</v>
      </c>
    </row>
    <row r="4" spans="1:4" x14ac:dyDescent="0.35">
      <c r="B4" s="4" t="s">
        <v>414</v>
      </c>
      <c r="C4" s="20">
        <v>99.870716049382722</v>
      </c>
      <c r="D4" s="20">
        <v>97.495046296296309</v>
      </c>
    </row>
    <row r="5" spans="1:4" x14ac:dyDescent="0.35">
      <c r="B5" s="4" t="s">
        <v>369</v>
      </c>
      <c r="C5" s="20">
        <v>99.707858796296307</v>
      </c>
      <c r="D5" s="20">
        <v>98.374745370370363</v>
      </c>
    </row>
    <row r="6" spans="1:4" x14ac:dyDescent="0.35">
      <c r="B6" s="4" t="s">
        <v>114</v>
      </c>
      <c r="C6" s="20">
        <v>99.996697530864196</v>
      </c>
      <c r="D6" s="20">
        <v>98.648086419753099</v>
      </c>
    </row>
    <row r="7" spans="1:4" x14ac:dyDescent="0.35">
      <c r="B7" s="4" t="s">
        <v>606</v>
      </c>
      <c r="C7" s="20">
        <v>99.994413580246913</v>
      </c>
      <c r="D7" s="20">
        <v>98.670513117283946</v>
      </c>
    </row>
    <row r="8" spans="1:4" x14ac:dyDescent="0.35">
      <c r="B8" s="4" t="s">
        <v>384</v>
      </c>
      <c r="C8" s="20">
        <v>99.427816358024685</v>
      </c>
      <c r="D8" s="20">
        <v>98.805324074074079</v>
      </c>
    </row>
    <row r="9" spans="1:4" x14ac:dyDescent="0.35">
      <c r="B9" s="4" t="s">
        <v>34</v>
      </c>
      <c r="C9" s="20">
        <v>99.803546810699586</v>
      </c>
      <c r="D9" s="20">
        <v>98.868315329218106</v>
      </c>
    </row>
    <row r="10" spans="1:4" x14ac:dyDescent="0.35">
      <c r="B10" s="4" t="s">
        <v>210</v>
      </c>
      <c r="C10" s="20">
        <v>99.992330246913582</v>
      </c>
      <c r="D10" s="20">
        <v>98.933086419753096</v>
      </c>
    </row>
    <row r="11" spans="1:4" x14ac:dyDescent="0.35">
      <c r="B11" s="4" t="s">
        <v>639</v>
      </c>
      <c r="C11" s="20">
        <v>99.71249228395061</v>
      </c>
      <c r="D11" s="20">
        <v>99.137407407407409</v>
      </c>
    </row>
    <row r="12" spans="1:4" x14ac:dyDescent="0.35">
      <c r="B12" s="4" t="s">
        <v>611</v>
      </c>
      <c r="C12" s="20">
        <v>99.991992283950623</v>
      </c>
      <c r="D12" s="20">
        <v>99.264851851851859</v>
      </c>
    </row>
    <row r="13" spans="1:4" x14ac:dyDescent="0.35">
      <c r="B13" s="4" t="s">
        <v>521</v>
      </c>
      <c r="C13" s="20">
        <v>99.706230709876536</v>
      </c>
      <c r="D13" s="20">
        <v>99.327087191358032</v>
      </c>
    </row>
    <row r="14" spans="1:4" x14ac:dyDescent="0.35">
      <c r="B14" s="4" t="s">
        <v>647</v>
      </c>
      <c r="C14" s="20">
        <v>99.989301697530863</v>
      </c>
      <c r="D14" s="20">
        <v>99.328985339506175</v>
      </c>
    </row>
    <row r="15" spans="1:4" x14ac:dyDescent="0.35">
      <c r="B15" s="4" t="s">
        <v>452</v>
      </c>
      <c r="C15" s="20">
        <v>99.997056327160493</v>
      </c>
      <c r="D15" s="20">
        <v>99.492928240740753</v>
      </c>
    </row>
    <row r="16" spans="1:4" x14ac:dyDescent="0.35">
      <c r="B16" s="4" t="s">
        <v>306</v>
      </c>
      <c r="C16" s="20">
        <v>99.995547839506173</v>
      </c>
      <c r="D16" s="20">
        <v>99.559436728395056</v>
      </c>
    </row>
    <row r="17" spans="1:4" x14ac:dyDescent="0.35">
      <c r="B17" s="4" t="s">
        <v>244</v>
      </c>
      <c r="C17" s="20">
        <v>99.991404320987655</v>
      </c>
      <c r="D17" s="20">
        <v>99.658584104938271</v>
      </c>
    </row>
    <row r="18" spans="1:4" x14ac:dyDescent="0.35">
      <c r="B18" s="4" t="s">
        <v>426</v>
      </c>
      <c r="C18" s="20">
        <v>99.993518518518513</v>
      </c>
      <c r="D18" s="20">
        <v>99.771921296296298</v>
      </c>
    </row>
    <row r="19" spans="1:4" x14ac:dyDescent="0.35">
      <c r="B19" s="4" t="s">
        <v>1331</v>
      </c>
      <c r="C19" s="20">
        <v>100</v>
      </c>
      <c r="D19" s="20">
        <v>100</v>
      </c>
    </row>
    <row r="20" spans="1:4" x14ac:dyDescent="0.35">
      <c r="B20" s="4" t="s">
        <v>1330</v>
      </c>
      <c r="C20" s="20">
        <v>100</v>
      </c>
      <c r="D20" s="20">
        <v>100</v>
      </c>
    </row>
    <row r="21" spans="1:4" x14ac:dyDescent="0.35">
      <c r="B21" s="4" t="s">
        <v>921</v>
      </c>
      <c r="C21" s="20">
        <v>99.295108024691359</v>
      </c>
      <c r="D21" s="20">
        <v>100</v>
      </c>
    </row>
    <row r="22" spans="1:4" x14ac:dyDescent="0.35">
      <c r="A22" s="4" t="s">
        <v>1035</v>
      </c>
      <c r="C22" s="20">
        <v>99.862108434666894</v>
      </c>
      <c r="D22" s="20">
        <v>99.010903518441154</v>
      </c>
    </row>
    <row r="23" spans="1:4" x14ac:dyDescent="0.35">
      <c r="A23"/>
      <c r="B23"/>
      <c r="C23"/>
      <c r="D23"/>
    </row>
    <row r="24" spans="1:4" x14ac:dyDescent="0.35">
      <c r="A24"/>
      <c r="B24"/>
      <c r="C24"/>
      <c r="D24"/>
    </row>
    <row r="25" spans="1:4" x14ac:dyDescent="0.35">
      <c r="A25"/>
      <c r="B25"/>
      <c r="C25"/>
      <c r="D25"/>
    </row>
    <row r="26" spans="1:4" x14ac:dyDescent="0.35">
      <c r="A26"/>
      <c r="B26"/>
      <c r="C26"/>
      <c r="D26"/>
    </row>
    <row r="27" spans="1:4" x14ac:dyDescent="0.35">
      <c r="A27"/>
      <c r="B27"/>
      <c r="C27"/>
      <c r="D27"/>
    </row>
    <row r="28" spans="1:4" x14ac:dyDescent="0.35">
      <c r="A28"/>
      <c r="B28"/>
      <c r="C28"/>
      <c r="D28"/>
    </row>
    <row r="29" spans="1:4" x14ac:dyDescent="0.35">
      <c r="A29"/>
      <c r="B29"/>
      <c r="C29"/>
      <c r="D29"/>
    </row>
    <row r="30" spans="1:4" x14ac:dyDescent="0.35">
      <c r="A30"/>
      <c r="B30"/>
      <c r="C30"/>
      <c r="D30"/>
    </row>
    <row r="31" spans="1:4" x14ac:dyDescent="0.35">
      <c r="A31"/>
      <c r="B31"/>
      <c r="C31"/>
      <c r="D31"/>
    </row>
    <row r="32" spans="1:4" x14ac:dyDescent="0.35">
      <c r="A32"/>
      <c r="B32"/>
      <c r="C32"/>
      <c r="D32"/>
    </row>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4DF5A-D417-410F-9DD7-DABD346714E9}">
  <dimension ref="A1:D185"/>
  <sheetViews>
    <sheetView zoomScale="70" zoomScaleNormal="70" workbookViewId="0">
      <selection sqref="A1:D1048576"/>
    </sheetView>
  </sheetViews>
  <sheetFormatPr defaultRowHeight="14.5" x14ac:dyDescent="0.35"/>
  <cols>
    <col min="1" max="1" width="12.08984375" style="4" bestFit="1" customWidth="1"/>
    <col min="2" max="2" width="15.26953125" style="4" bestFit="1" customWidth="1"/>
    <col min="3" max="3" width="35.81640625" style="4" bestFit="1" customWidth="1"/>
    <col min="4" max="4" width="30.90625" style="4" bestFit="1" customWidth="1"/>
  </cols>
  <sheetData>
    <row r="1" spans="1:4" x14ac:dyDescent="0.35">
      <c r="C1" s="19" t="s">
        <v>1038</v>
      </c>
    </row>
    <row r="2" spans="1:4" x14ac:dyDescent="0.35">
      <c r="A2" s="19" t="s">
        <v>1334</v>
      </c>
      <c r="B2" s="19" t="s">
        <v>1333</v>
      </c>
      <c r="C2" s="4" t="s">
        <v>1337</v>
      </c>
      <c r="D2" s="4" t="s">
        <v>1338</v>
      </c>
    </row>
    <row r="3" spans="1:4" x14ac:dyDescent="0.35">
      <c r="A3" s="4" t="s">
        <v>1303</v>
      </c>
      <c r="B3" s="4" t="s">
        <v>1306</v>
      </c>
      <c r="C3" s="20">
        <v>100</v>
      </c>
      <c r="D3" s="20">
        <v>100</v>
      </c>
    </row>
    <row r="4" spans="1:4" x14ac:dyDescent="0.35">
      <c r="B4" s="4" t="s">
        <v>1307</v>
      </c>
      <c r="C4" s="20">
        <v>100</v>
      </c>
      <c r="D4" s="20">
        <v>100</v>
      </c>
    </row>
    <row r="5" spans="1:4" x14ac:dyDescent="0.35">
      <c r="B5" s="4" t="s">
        <v>1308</v>
      </c>
      <c r="C5" s="20">
        <v>100</v>
      </c>
      <c r="D5" s="20">
        <v>100</v>
      </c>
    </row>
    <row r="6" spans="1:4" x14ac:dyDescent="0.35">
      <c r="B6" s="4" t="s">
        <v>1305</v>
      </c>
      <c r="C6" s="20">
        <v>100</v>
      </c>
      <c r="D6" s="20">
        <v>100</v>
      </c>
    </row>
    <row r="7" spans="1:4" x14ac:dyDescent="0.35">
      <c r="B7" s="4" t="s">
        <v>1302</v>
      </c>
      <c r="C7" s="20">
        <v>100</v>
      </c>
      <c r="D7" s="20">
        <v>100</v>
      </c>
    </row>
    <row r="8" spans="1:4" x14ac:dyDescent="0.35">
      <c r="B8" s="4" t="s">
        <v>1309</v>
      </c>
      <c r="C8" s="20">
        <v>100</v>
      </c>
      <c r="D8" s="20">
        <v>100</v>
      </c>
    </row>
    <row r="9" spans="1:4" x14ac:dyDescent="0.35">
      <c r="B9" s="4" t="s">
        <v>1310</v>
      </c>
      <c r="C9" s="20">
        <v>100</v>
      </c>
      <c r="D9" s="20">
        <v>100</v>
      </c>
    </row>
    <row r="10" spans="1:4" x14ac:dyDescent="0.35">
      <c r="B10" s="4" t="s">
        <v>1304</v>
      </c>
      <c r="C10" s="20">
        <v>100</v>
      </c>
      <c r="D10" s="20">
        <v>100</v>
      </c>
    </row>
    <row r="11" spans="1:4" x14ac:dyDescent="0.35">
      <c r="A11" s="4" t="s">
        <v>1035</v>
      </c>
      <c r="C11" s="20">
        <v>100</v>
      </c>
      <c r="D11" s="20">
        <v>100</v>
      </c>
    </row>
    <row r="12" spans="1:4" x14ac:dyDescent="0.35">
      <c r="A12"/>
      <c r="B12"/>
      <c r="C12"/>
      <c r="D12"/>
    </row>
    <row r="13" spans="1:4" x14ac:dyDescent="0.35">
      <c r="A13"/>
      <c r="B13"/>
      <c r="C13"/>
      <c r="D13"/>
    </row>
    <row r="14" spans="1:4" x14ac:dyDescent="0.35">
      <c r="A14"/>
      <c r="B14"/>
      <c r="C14"/>
      <c r="D14"/>
    </row>
    <row r="15" spans="1:4" x14ac:dyDescent="0.35">
      <c r="A15"/>
      <c r="B15"/>
      <c r="C15"/>
      <c r="D15"/>
    </row>
    <row r="16" spans="1:4" x14ac:dyDescent="0.35">
      <c r="A16"/>
      <c r="B16"/>
      <c r="C16"/>
      <c r="D16"/>
    </row>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DA6AA-2A4A-4783-B2F9-9830A5A68296}">
  <dimension ref="A1:D185"/>
  <sheetViews>
    <sheetView zoomScale="70" zoomScaleNormal="70" workbookViewId="0">
      <selection activeCell="D3" sqref="D3"/>
    </sheetView>
  </sheetViews>
  <sheetFormatPr defaultRowHeight="14.5" x14ac:dyDescent="0.35"/>
  <cols>
    <col min="1" max="1" width="12.08984375" style="4" bestFit="1" customWidth="1"/>
    <col min="2" max="2" width="16.6328125" style="4" bestFit="1" customWidth="1"/>
    <col min="3" max="3" width="35.81640625" style="4" bestFit="1" customWidth="1"/>
    <col min="4" max="4" width="30.90625" style="4" bestFit="1" customWidth="1"/>
  </cols>
  <sheetData>
    <row r="1" spans="1:4" x14ac:dyDescent="0.35">
      <c r="C1" s="19" t="s">
        <v>1038</v>
      </c>
    </row>
    <row r="2" spans="1:4" x14ac:dyDescent="0.35">
      <c r="A2" s="19" t="s">
        <v>1334</v>
      </c>
      <c r="B2" s="19" t="s">
        <v>1333</v>
      </c>
      <c r="C2" s="4" t="s">
        <v>1337</v>
      </c>
      <c r="D2" s="4" t="s">
        <v>1338</v>
      </c>
    </row>
    <row r="3" spans="1:4" x14ac:dyDescent="0.35">
      <c r="A3" s="4" t="s">
        <v>963</v>
      </c>
      <c r="B3" s="4" t="s">
        <v>460</v>
      </c>
      <c r="C3" s="20">
        <v>99.98253858024691</v>
      </c>
      <c r="D3" s="20">
        <v>94.118711419753083</v>
      </c>
    </row>
    <row r="4" spans="1:4" x14ac:dyDescent="0.35">
      <c r="B4" s="4" t="s">
        <v>103</v>
      </c>
      <c r="C4" s="20">
        <v>99.989283000949655</v>
      </c>
      <c r="D4" s="20">
        <v>96.04034633190885</v>
      </c>
    </row>
    <row r="5" spans="1:4" x14ac:dyDescent="0.35">
      <c r="B5" s="4" t="s">
        <v>220</v>
      </c>
      <c r="C5" s="20">
        <v>99.983374807098755</v>
      </c>
      <c r="D5" s="20">
        <v>96.908385416666661</v>
      </c>
    </row>
    <row r="6" spans="1:4" x14ac:dyDescent="0.35">
      <c r="B6" s="4" t="s">
        <v>215</v>
      </c>
      <c r="C6" s="20">
        <v>99.996350308641979</v>
      </c>
      <c r="D6" s="20">
        <v>99.976288580246916</v>
      </c>
    </row>
    <row r="7" spans="1:4" x14ac:dyDescent="0.35">
      <c r="B7" s="4" t="s">
        <v>808</v>
      </c>
      <c r="C7" s="20">
        <v>99.994151234567894</v>
      </c>
      <c r="D7" s="20">
        <v>99.977067901234562</v>
      </c>
    </row>
    <row r="8" spans="1:4" x14ac:dyDescent="0.35">
      <c r="B8" s="4" t="s">
        <v>260</v>
      </c>
      <c r="C8" s="20">
        <v>99.992345679012345</v>
      </c>
      <c r="D8" s="20">
        <v>99.978487654320986</v>
      </c>
    </row>
    <row r="9" spans="1:4" x14ac:dyDescent="0.35">
      <c r="B9" s="4" t="s">
        <v>109</v>
      </c>
      <c r="C9" s="20">
        <v>99.98885416666667</v>
      </c>
      <c r="D9" s="20">
        <v>99.990540123456782</v>
      </c>
    </row>
    <row r="10" spans="1:4" x14ac:dyDescent="0.35">
      <c r="B10" s="4" t="s">
        <v>157</v>
      </c>
      <c r="C10" s="20">
        <v>99.98630401234567</v>
      </c>
      <c r="D10" s="20">
        <v>99.990578703703704</v>
      </c>
    </row>
    <row r="11" spans="1:4" x14ac:dyDescent="0.35">
      <c r="B11" s="4" t="s">
        <v>1312</v>
      </c>
      <c r="C11" s="20">
        <v>100</v>
      </c>
      <c r="D11" s="20">
        <v>100</v>
      </c>
    </row>
    <row r="12" spans="1:4" x14ac:dyDescent="0.35">
      <c r="B12" s="4" t="s">
        <v>1311</v>
      </c>
      <c r="C12" s="20">
        <v>100</v>
      </c>
      <c r="D12" s="20">
        <v>100</v>
      </c>
    </row>
    <row r="13" spans="1:4" x14ac:dyDescent="0.35">
      <c r="A13" s="4" t="s">
        <v>1035</v>
      </c>
      <c r="C13" s="20">
        <v>99.991320178952975</v>
      </c>
      <c r="D13" s="20">
        <v>98.698040613129152</v>
      </c>
    </row>
    <row r="14" spans="1:4" x14ac:dyDescent="0.35">
      <c r="A14"/>
      <c r="B14"/>
      <c r="C14"/>
      <c r="D14"/>
    </row>
    <row r="15" spans="1:4" x14ac:dyDescent="0.35">
      <c r="A15"/>
      <c r="B15"/>
      <c r="C15"/>
      <c r="D15"/>
    </row>
    <row r="16" spans="1:4" x14ac:dyDescent="0.35">
      <c r="A16"/>
      <c r="B16"/>
      <c r="C16"/>
      <c r="D16"/>
    </row>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161F1-B4CB-4452-9EF7-8FDE4BAD95F6}">
  <dimension ref="A1:D185"/>
  <sheetViews>
    <sheetView zoomScale="70" zoomScaleNormal="70" workbookViewId="0">
      <selection activeCell="D3" sqref="D3"/>
    </sheetView>
  </sheetViews>
  <sheetFormatPr defaultRowHeight="14.5" x14ac:dyDescent="0.35"/>
  <cols>
    <col min="1" max="1" width="12.08984375" style="4" bestFit="1" customWidth="1"/>
    <col min="2" max="2" width="15.26953125" style="4" bestFit="1" customWidth="1"/>
    <col min="3" max="3" width="35.81640625" style="4" bestFit="1" customWidth="1"/>
    <col min="4" max="4" width="30.90625" style="4" bestFit="1" customWidth="1"/>
  </cols>
  <sheetData>
    <row r="1" spans="1:4" x14ac:dyDescent="0.35">
      <c r="C1" s="19" t="s">
        <v>1038</v>
      </c>
    </row>
    <row r="2" spans="1:4" x14ac:dyDescent="0.35">
      <c r="A2" s="19" t="s">
        <v>1334</v>
      </c>
      <c r="B2" s="19" t="s">
        <v>1333</v>
      </c>
      <c r="C2" s="4" t="s">
        <v>1337</v>
      </c>
      <c r="D2" s="4" t="s">
        <v>1338</v>
      </c>
    </row>
    <row r="3" spans="1:4" x14ac:dyDescent="0.35">
      <c r="A3" s="4" t="s">
        <v>965</v>
      </c>
      <c r="B3" s="4" t="s">
        <v>852</v>
      </c>
      <c r="C3" s="20">
        <v>99.977260802469132</v>
      </c>
      <c r="D3" s="20">
        <v>95.772299382716042</v>
      </c>
    </row>
    <row r="4" spans="1:4" x14ac:dyDescent="0.35">
      <c r="B4" s="4" t="s">
        <v>1217</v>
      </c>
      <c r="C4" s="20">
        <v>100</v>
      </c>
      <c r="D4" s="20">
        <v>100</v>
      </c>
    </row>
    <row r="5" spans="1:4" x14ac:dyDescent="0.35">
      <c r="B5" s="4" t="s">
        <v>1206</v>
      </c>
      <c r="C5" s="20">
        <v>100</v>
      </c>
      <c r="D5" s="20">
        <v>100</v>
      </c>
    </row>
    <row r="6" spans="1:4" x14ac:dyDescent="0.35">
      <c r="B6" s="4" t="s">
        <v>1241</v>
      </c>
      <c r="C6" s="20">
        <v>100</v>
      </c>
      <c r="D6" s="20">
        <v>100</v>
      </c>
    </row>
    <row r="7" spans="1:4" x14ac:dyDescent="0.35">
      <c r="B7" s="4" t="s">
        <v>1197</v>
      </c>
      <c r="C7" s="20">
        <v>100</v>
      </c>
      <c r="D7" s="20">
        <v>100</v>
      </c>
    </row>
    <row r="8" spans="1:4" x14ac:dyDescent="0.35">
      <c r="B8" s="4" t="s">
        <v>1200</v>
      </c>
      <c r="C8" s="20">
        <v>100</v>
      </c>
      <c r="D8" s="20">
        <v>100</v>
      </c>
    </row>
    <row r="9" spans="1:4" x14ac:dyDescent="0.35">
      <c r="B9" s="4" t="s">
        <v>1218</v>
      </c>
      <c r="C9" s="20">
        <v>100</v>
      </c>
      <c r="D9" s="20">
        <v>100</v>
      </c>
    </row>
    <row r="10" spans="1:4" x14ac:dyDescent="0.35">
      <c r="B10" s="4" t="s">
        <v>1210</v>
      </c>
      <c r="C10" s="20">
        <v>100</v>
      </c>
      <c r="D10" s="20">
        <v>100</v>
      </c>
    </row>
    <row r="11" spans="1:4" x14ac:dyDescent="0.35">
      <c r="B11" s="4" t="s">
        <v>1254</v>
      </c>
      <c r="C11" s="20">
        <v>100</v>
      </c>
      <c r="D11" s="20">
        <v>100</v>
      </c>
    </row>
    <row r="12" spans="1:4" x14ac:dyDescent="0.35">
      <c r="B12" s="4" t="s">
        <v>1209</v>
      </c>
      <c r="C12" s="20">
        <v>100</v>
      </c>
      <c r="D12" s="20">
        <v>100</v>
      </c>
    </row>
    <row r="13" spans="1:4" x14ac:dyDescent="0.35">
      <c r="B13" s="4" t="s">
        <v>1253</v>
      </c>
      <c r="C13" s="20">
        <v>100</v>
      </c>
      <c r="D13" s="20">
        <v>100</v>
      </c>
    </row>
    <row r="14" spans="1:4" x14ac:dyDescent="0.35">
      <c r="B14" s="4" t="s">
        <v>1231</v>
      </c>
      <c r="C14" s="20">
        <v>100</v>
      </c>
      <c r="D14" s="20">
        <v>100</v>
      </c>
    </row>
    <row r="15" spans="1:4" x14ac:dyDescent="0.35">
      <c r="B15" s="4" t="s">
        <v>1251</v>
      </c>
      <c r="C15" s="20">
        <v>100</v>
      </c>
      <c r="D15" s="20">
        <v>100</v>
      </c>
    </row>
    <row r="16" spans="1:4" x14ac:dyDescent="0.35">
      <c r="B16" s="4" t="s">
        <v>1214</v>
      </c>
      <c r="C16" s="20">
        <v>100</v>
      </c>
      <c r="D16" s="20">
        <v>100</v>
      </c>
    </row>
    <row r="17" spans="2:4" x14ac:dyDescent="0.35">
      <c r="B17" s="4" t="s">
        <v>1252</v>
      </c>
      <c r="C17" s="20">
        <v>100</v>
      </c>
      <c r="D17" s="20">
        <v>100</v>
      </c>
    </row>
    <row r="18" spans="2:4" x14ac:dyDescent="0.35">
      <c r="B18" s="4" t="s">
        <v>1196</v>
      </c>
      <c r="C18" s="20">
        <v>100</v>
      </c>
      <c r="D18" s="20">
        <v>100</v>
      </c>
    </row>
    <row r="19" spans="2:4" x14ac:dyDescent="0.35">
      <c r="B19" s="4" t="s">
        <v>1249</v>
      </c>
      <c r="C19" s="20">
        <v>100</v>
      </c>
      <c r="D19" s="20">
        <v>100</v>
      </c>
    </row>
    <row r="20" spans="2:4" x14ac:dyDescent="0.35">
      <c r="B20" s="4" t="s">
        <v>1216</v>
      </c>
      <c r="C20" s="20">
        <v>100</v>
      </c>
      <c r="D20" s="20">
        <v>100</v>
      </c>
    </row>
    <row r="21" spans="2:4" x14ac:dyDescent="0.35">
      <c r="B21" s="4" t="s">
        <v>1248</v>
      </c>
      <c r="C21" s="20">
        <v>100</v>
      </c>
      <c r="D21" s="20">
        <v>100</v>
      </c>
    </row>
    <row r="22" spans="2:4" x14ac:dyDescent="0.35">
      <c r="B22" s="4" t="s">
        <v>1225</v>
      </c>
      <c r="C22" s="20">
        <v>100</v>
      </c>
      <c r="D22" s="20">
        <v>100</v>
      </c>
    </row>
    <row r="23" spans="2:4" x14ac:dyDescent="0.35">
      <c r="B23" s="4" t="s">
        <v>1247</v>
      </c>
      <c r="C23" s="20">
        <v>100</v>
      </c>
      <c r="D23" s="20">
        <v>100</v>
      </c>
    </row>
    <row r="24" spans="2:4" x14ac:dyDescent="0.35">
      <c r="B24" s="4" t="s">
        <v>1227</v>
      </c>
      <c r="C24" s="20">
        <v>100</v>
      </c>
      <c r="D24" s="20">
        <v>100</v>
      </c>
    </row>
    <row r="25" spans="2:4" x14ac:dyDescent="0.35">
      <c r="B25" s="4" t="s">
        <v>1243</v>
      </c>
      <c r="C25" s="20">
        <v>100</v>
      </c>
      <c r="D25" s="20">
        <v>100</v>
      </c>
    </row>
    <row r="26" spans="2:4" x14ac:dyDescent="0.35">
      <c r="B26" s="4" t="s">
        <v>1205</v>
      </c>
      <c r="C26" s="20">
        <v>100</v>
      </c>
      <c r="D26" s="20">
        <v>100</v>
      </c>
    </row>
    <row r="27" spans="2:4" x14ac:dyDescent="0.35">
      <c r="B27" s="4" t="s">
        <v>1246</v>
      </c>
      <c r="C27" s="20">
        <v>100</v>
      </c>
      <c r="D27" s="20">
        <v>100</v>
      </c>
    </row>
    <row r="28" spans="2:4" x14ac:dyDescent="0.35">
      <c r="B28" s="4" t="s">
        <v>1234</v>
      </c>
      <c r="C28" s="20">
        <v>100</v>
      </c>
      <c r="D28" s="20">
        <v>100</v>
      </c>
    </row>
    <row r="29" spans="2:4" x14ac:dyDescent="0.35">
      <c r="B29" s="4" t="s">
        <v>1245</v>
      </c>
      <c r="C29" s="20">
        <v>100</v>
      </c>
      <c r="D29" s="20">
        <v>100</v>
      </c>
    </row>
    <row r="30" spans="2:4" x14ac:dyDescent="0.35">
      <c r="B30" s="4" t="s">
        <v>1211</v>
      </c>
      <c r="C30" s="20">
        <v>100</v>
      </c>
      <c r="D30" s="20">
        <v>100</v>
      </c>
    </row>
    <row r="31" spans="2:4" x14ac:dyDescent="0.35">
      <c r="B31" s="4" t="s">
        <v>1244</v>
      </c>
      <c r="C31" s="20">
        <v>100</v>
      </c>
      <c r="D31" s="20">
        <v>100</v>
      </c>
    </row>
    <row r="32" spans="2:4" x14ac:dyDescent="0.35">
      <c r="B32" s="4" t="s">
        <v>1208</v>
      </c>
      <c r="C32" s="20">
        <v>100</v>
      </c>
      <c r="D32" s="20">
        <v>100</v>
      </c>
    </row>
    <row r="33" spans="2:4" x14ac:dyDescent="0.35">
      <c r="B33" s="4" t="s">
        <v>1194</v>
      </c>
      <c r="C33" s="20">
        <v>100</v>
      </c>
      <c r="D33" s="20">
        <v>100</v>
      </c>
    </row>
    <row r="34" spans="2:4" x14ac:dyDescent="0.35">
      <c r="B34" s="4" t="s">
        <v>1223</v>
      </c>
      <c r="C34" s="20">
        <v>100</v>
      </c>
      <c r="D34" s="20">
        <v>100</v>
      </c>
    </row>
    <row r="35" spans="2:4" x14ac:dyDescent="0.35">
      <c r="B35" s="4" t="s">
        <v>1172</v>
      </c>
      <c r="C35" s="20">
        <v>100</v>
      </c>
      <c r="D35" s="20">
        <v>100</v>
      </c>
    </row>
    <row r="36" spans="2:4" x14ac:dyDescent="0.35">
      <c r="B36" s="4" t="s">
        <v>1226</v>
      </c>
      <c r="C36" s="20">
        <v>100</v>
      </c>
      <c r="D36" s="20">
        <v>100</v>
      </c>
    </row>
    <row r="37" spans="2:4" x14ac:dyDescent="0.35">
      <c r="B37" s="4" t="s">
        <v>1195</v>
      </c>
      <c r="C37" s="20">
        <v>100</v>
      </c>
      <c r="D37" s="20">
        <v>100</v>
      </c>
    </row>
    <row r="38" spans="2:4" x14ac:dyDescent="0.35">
      <c r="B38" s="4" t="s">
        <v>1219</v>
      </c>
      <c r="C38" s="20">
        <v>100</v>
      </c>
      <c r="D38" s="20">
        <v>100</v>
      </c>
    </row>
    <row r="39" spans="2:4" x14ac:dyDescent="0.35">
      <c r="B39" s="4" t="s">
        <v>1187</v>
      </c>
      <c r="C39" s="20">
        <v>100</v>
      </c>
      <c r="D39" s="20">
        <v>100</v>
      </c>
    </row>
    <row r="40" spans="2:4" x14ac:dyDescent="0.35">
      <c r="B40" s="4" t="s">
        <v>1215</v>
      </c>
      <c r="C40" s="20">
        <v>100</v>
      </c>
      <c r="D40" s="20">
        <v>100</v>
      </c>
    </row>
    <row r="41" spans="2:4" x14ac:dyDescent="0.35">
      <c r="B41" s="4" t="s">
        <v>1173</v>
      </c>
      <c r="C41" s="20">
        <v>100</v>
      </c>
      <c r="D41" s="20">
        <v>100</v>
      </c>
    </row>
    <row r="42" spans="2:4" x14ac:dyDescent="0.35">
      <c r="B42" s="4" t="s">
        <v>1228</v>
      </c>
      <c r="C42" s="20">
        <v>100</v>
      </c>
      <c r="D42" s="20">
        <v>100</v>
      </c>
    </row>
    <row r="43" spans="2:4" x14ac:dyDescent="0.35">
      <c r="B43" s="4" t="s">
        <v>1189</v>
      </c>
      <c r="C43" s="20">
        <v>100</v>
      </c>
      <c r="D43" s="20">
        <v>100</v>
      </c>
    </row>
    <row r="44" spans="2:4" x14ac:dyDescent="0.35">
      <c r="B44" s="4" t="s">
        <v>1236</v>
      </c>
      <c r="C44" s="20">
        <v>100</v>
      </c>
      <c r="D44" s="20">
        <v>100</v>
      </c>
    </row>
    <row r="45" spans="2:4" x14ac:dyDescent="0.35">
      <c r="B45" s="4" t="s">
        <v>1191</v>
      </c>
      <c r="C45" s="20">
        <v>100</v>
      </c>
      <c r="D45" s="20">
        <v>100</v>
      </c>
    </row>
    <row r="46" spans="2:4" x14ac:dyDescent="0.35">
      <c r="B46" s="4" t="s">
        <v>1201</v>
      </c>
      <c r="C46" s="20">
        <v>100</v>
      </c>
      <c r="D46" s="20">
        <v>100</v>
      </c>
    </row>
    <row r="47" spans="2:4" x14ac:dyDescent="0.35">
      <c r="B47" s="4" t="s">
        <v>1190</v>
      </c>
      <c r="C47" s="20">
        <v>100</v>
      </c>
      <c r="D47" s="20">
        <v>100</v>
      </c>
    </row>
    <row r="48" spans="2:4" x14ac:dyDescent="0.35">
      <c r="B48" s="4" t="s">
        <v>1204</v>
      </c>
      <c r="C48" s="20">
        <v>100</v>
      </c>
      <c r="D48" s="20">
        <v>100</v>
      </c>
    </row>
    <row r="49" spans="2:4" x14ac:dyDescent="0.35">
      <c r="B49" s="4" t="s">
        <v>1192</v>
      </c>
      <c r="C49" s="20">
        <v>100</v>
      </c>
      <c r="D49" s="20">
        <v>100</v>
      </c>
    </row>
    <row r="50" spans="2:4" x14ac:dyDescent="0.35">
      <c r="B50" s="4" t="s">
        <v>1198</v>
      </c>
      <c r="C50" s="20">
        <v>100</v>
      </c>
      <c r="D50" s="20">
        <v>100</v>
      </c>
    </row>
    <row r="51" spans="2:4" x14ac:dyDescent="0.35">
      <c r="B51" s="4" t="s">
        <v>1193</v>
      </c>
      <c r="C51" s="20">
        <v>100</v>
      </c>
      <c r="D51" s="20">
        <v>100</v>
      </c>
    </row>
    <row r="52" spans="2:4" x14ac:dyDescent="0.35">
      <c r="B52" s="4" t="s">
        <v>1199</v>
      </c>
      <c r="C52" s="20">
        <v>100</v>
      </c>
      <c r="D52" s="20">
        <v>100</v>
      </c>
    </row>
    <row r="53" spans="2:4" x14ac:dyDescent="0.35">
      <c r="B53" s="4" t="s">
        <v>1186</v>
      </c>
      <c r="C53" s="20">
        <v>100</v>
      </c>
      <c r="D53" s="20">
        <v>100</v>
      </c>
    </row>
    <row r="54" spans="2:4" x14ac:dyDescent="0.35">
      <c r="B54" s="4" t="s">
        <v>1230</v>
      </c>
      <c r="C54" s="20">
        <v>100</v>
      </c>
      <c r="D54" s="20">
        <v>100</v>
      </c>
    </row>
    <row r="55" spans="2:4" x14ac:dyDescent="0.35">
      <c r="B55" s="4" t="s">
        <v>1188</v>
      </c>
      <c r="C55" s="20">
        <v>100</v>
      </c>
      <c r="D55" s="20">
        <v>100</v>
      </c>
    </row>
    <row r="56" spans="2:4" x14ac:dyDescent="0.35">
      <c r="B56" s="4" t="s">
        <v>1202</v>
      </c>
      <c r="C56" s="20">
        <v>100</v>
      </c>
      <c r="D56" s="20">
        <v>100</v>
      </c>
    </row>
    <row r="57" spans="2:4" x14ac:dyDescent="0.35">
      <c r="B57" s="4" t="s">
        <v>1174</v>
      </c>
      <c r="C57" s="20">
        <v>100</v>
      </c>
      <c r="D57" s="20">
        <v>100</v>
      </c>
    </row>
    <row r="58" spans="2:4" x14ac:dyDescent="0.35">
      <c r="B58" s="4" t="s">
        <v>1221</v>
      </c>
      <c r="C58" s="20">
        <v>100</v>
      </c>
      <c r="D58" s="20">
        <v>100</v>
      </c>
    </row>
    <row r="59" spans="2:4" x14ac:dyDescent="0.35">
      <c r="B59" s="4" t="s">
        <v>1177</v>
      </c>
      <c r="C59" s="20">
        <v>100</v>
      </c>
      <c r="D59" s="20">
        <v>100</v>
      </c>
    </row>
    <row r="60" spans="2:4" x14ac:dyDescent="0.35">
      <c r="B60" s="4" t="s">
        <v>1222</v>
      </c>
      <c r="C60" s="20">
        <v>100</v>
      </c>
      <c r="D60" s="20">
        <v>100</v>
      </c>
    </row>
    <row r="61" spans="2:4" x14ac:dyDescent="0.35">
      <c r="B61" s="4" t="s">
        <v>1176</v>
      </c>
      <c r="C61" s="20">
        <v>100</v>
      </c>
      <c r="D61" s="20">
        <v>100</v>
      </c>
    </row>
    <row r="62" spans="2:4" x14ac:dyDescent="0.35">
      <c r="B62" s="4" t="s">
        <v>1220</v>
      </c>
      <c r="C62" s="20">
        <v>100</v>
      </c>
      <c r="D62" s="20">
        <v>100</v>
      </c>
    </row>
    <row r="63" spans="2:4" x14ac:dyDescent="0.35">
      <c r="B63" s="4" t="s">
        <v>1178</v>
      </c>
      <c r="C63" s="20">
        <v>100</v>
      </c>
      <c r="D63" s="20">
        <v>100</v>
      </c>
    </row>
    <row r="64" spans="2:4" x14ac:dyDescent="0.35">
      <c r="B64" s="4" t="s">
        <v>1242</v>
      </c>
      <c r="C64" s="20">
        <v>100</v>
      </c>
      <c r="D64" s="20">
        <v>100</v>
      </c>
    </row>
    <row r="65" spans="2:4" x14ac:dyDescent="0.35">
      <c r="B65" s="4" t="s">
        <v>1182</v>
      </c>
      <c r="C65" s="20">
        <v>100</v>
      </c>
      <c r="D65" s="20">
        <v>100</v>
      </c>
    </row>
    <row r="66" spans="2:4" x14ac:dyDescent="0.35">
      <c r="B66" s="4" t="s">
        <v>1213</v>
      </c>
      <c r="C66" s="20">
        <v>100</v>
      </c>
      <c r="D66" s="20">
        <v>100</v>
      </c>
    </row>
    <row r="67" spans="2:4" x14ac:dyDescent="0.35">
      <c r="B67" s="4" t="s">
        <v>1181</v>
      </c>
      <c r="C67" s="20">
        <v>100</v>
      </c>
      <c r="D67" s="20">
        <v>100</v>
      </c>
    </row>
    <row r="68" spans="2:4" x14ac:dyDescent="0.35">
      <c r="B68" s="4" t="s">
        <v>1212</v>
      </c>
      <c r="C68" s="20">
        <v>100</v>
      </c>
      <c r="D68" s="20">
        <v>100</v>
      </c>
    </row>
    <row r="69" spans="2:4" x14ac:dyDescent="0.35">
      <c r="B69" s="4" t="s">
        <v>1179</v>
      </c>
      <c r="C69" s="20">
        <v>100</v>
      </c>
      <c r="D69" s="20">
        <v>100</v>
      </c>
    </row>
    <row r="70" spans="2:4" x14ac:dyDescent="0.35">
      <c r="B70" s="4" t="s">
        <v>1250</v>
      </c>
      <c r="C70" s="20">
        <v>100</v>
      </c>
      <c r="D70" s="20">
        <v>100</v>
      </c>
    </row>
    <row r="71" spans="2:4" x14ac:dyDescent="0.35">
      <c r="B71" s="4" t="s">
        <v>1184</v>
      </c>
      <c r="C71" s="20">
        <v>100</v>
      </c>
      <c r="D71" s="20">
        <v>100</v>
      </c>
    </row>
    <row r="72" spans="2:4" x14ac:dyDescent="0.35">
      <c r="B72" s="4" t="s">
        <v>1224</v>
      </c>
      <c r="C72" s="20">
        <v>100</v>
      </c>
      <c r="D72" s="20">
        <v>100</v>
      </c>
    </row>
    <row r="73" spans="2:4" x14ac:dyDescent="0.35">
      <c r="B73" s="4" t="s">
        <v>1183</v>
      </c>
      <c r="C73" s="20">
        <v>100</v>
      </c>
      <c r="D73" s="20">
        <v>100</v>
      </c>
    </row>
    <row r="74" spans="2:4" x14ac:dyDescent="0.35">
      <c r="B74" s="4" t="s">
        <v>1203</v>
      </c>
      <c r="C74" s="20">
        <v>100</v>
      </c>
      <c r="D74" s="20">
        <v>100</v>
      </c>
    </row>
    <row r="75" spans="2:4" x14ac:dyDescent="0.35">
      <c r="B75" s="4" t="s">
        <v>1175</v>
      </c>
      <c r="C75" s="20">
        <v>100</v>
      </c>
      <c r="D75" s="20">
        <v>100</v>
      </c>
    </row>
    <row r="76" spans="2:4" x14ac:dyDescent="0.35">
      <c r="B76" s="4" t="s">
        <v>1232</v>
      </c>
      <c r="C76" s="20">
        <v>100</v>
      </c>
      <c r="D76" s="20">
        <v>100</v>
      </c>
    </row>
    <row r="77" spans="2:4" x14ac:dyDescent="0.35">
      <c r="B77" s="4" t="s">
        <v>1185</v>
      </c>
      <c r="C77" s="20">
        <v>100</v>
      </c>
      <c r="D77" s="20">
        <v>100</v>
      </c>
    </row>
    <row r="78" spans="2:4" x14ac:dyDescent="0.35">
      <c r="B78" s="4" t="s">
        <v>1207</v>
      </c>
      <c r="C78" s="20">
        <v>100</v>
      </c>
      <c r="D78" s="20">
        <v>100</v>
      </c>
    </row>
    <row r="79" spans="2:4" x14ac:dyDescent="0.35">
      <c r="B79" s="4" t="s">
        <v>1180</v>
      </c>
      <c r="C79" s="20">
        <v>100</v>
      </c>
      <c r="D79" s="20">
        <v>100</v>
      </c>
    </row>
    <row r="80" spans="2:4" x14ac:dyDescent="0.35">
      <c r="B80" s="4" t="s">
        <v>1229</v>
      </c>
      <c r="C80" s="20">
        <v>100</v>
      </c>
      <c r="D80" s="20">
        <v>100</v>
      </c>
    </row>
    <row r="81" spans="1:4" x14ac:dyDescent="0.35">
      <c r="B81" s="4" t="s">
        <v>1239</v>
      </c>
      <c r="C81" s="20">
        <v>100</v>
      </c>
      <c r="D81" s="20">
        <v>100</v>
      </c>
    </row>
    <row r="82" spans="1:4" x14ac:dyDescent="0.35">
      <c r="B82" s="4" t="s">
        <v>1233</v>
      </c>
      <c r="C82" s="20">
        <v>100</v>
      </c>
      <c r="D82" s="20">
        <v>100</v>
      </c>
    </row>
    <row r="83" spans="1:4" x14ac:dyDescent="0.35">
      <c r="B83" s="4" t="s">
        <v>1238</v>
      </c>
      <c r="C83" s="20">
        <v>100</v>
      </c>
      <c r="D83" s="20">
        <v>100</v>
      </c>
    </row>
    <row r="84" spans="1:4" x14ac:dyDescent="0.35">
      <c r="A84" s="4" t="s">
        <v>1035</v>
      </c>
      <c r="C84" s="20">
        <v>99.999719269166278</v>
      </c>
      <c r="D84" s="20">
        <v>99.947806165218708</v>
      </c>
    </row>
    <row r="85" spans="1:4" x14ac:dyDescent="0.35">
      <c r="A85"/>
      <c r="B85"/>
      <c r="C85"/>
      <c r="D85"/>
    </row>
    <row r="86" spans="1:4" x14ac:dyDescent="0.35">
      <c r="A86"/>
      <c r="B86"/>
      <c r="C86"/>
      <c r="D86"/>
    </row>
    <row r="87" spans="1:4" x14ac:dyDescent="0.35">
      <c r="A87"/>
      <c r="B87"/>
      <c r="C87"/>
      <c r="D87"/>
    </row>
    <row r="88" spans="1:4" x14ac:dyDescent="0.35">
      <c r="A88"/>
      <c r="B88"/>
      <c r="C88"/>
      <c r="D88"/>
    </row>
    <row r="89" spans="1:4" x14ac:dyDescent="0.35">
      <c r="A89"/>
      <c r="B89"/>
      <c r="C89"/>
      <c r="D89"/>
    </row>
    <row r="90" spans="1:4" x14ac:dyDescent="0.35">
      <c r="A90"/>
      <c r="B90"/>
      <c r="C90"/>
      <c r="D90"/>
    </row>
    <row r="91" spans="1:4" x14ac:dyDescent="0.35">
      <c r="A91"/>
      <c r="B91"/>
      <c r="C91"/>
      <c r="D91"/>
    </row>
    <row r="92" spans="1:4" x14ac:dyDescent="0.35">
      <c r="A92"/>
      <c r="B92"/>
      <c r="C92"/>
      <c r="D92"/>
    </row>
    <row r="93" spans="1:4" x14ac:dyDescent="0.35">
      <c r="A93"/>
      <c r="B93"/>
      <c r="C93"/>
      <c r="D93"/>
    </row>
    <row r="94" spans="1:4" x14ac:dyDescent="0.35">
      <c r="A94"/>
      <c r="B94"/>
      <c r="C94"/>
      <c r="D94"/>
    </row>
    <row r="95" spans="1:4" x14ac:dyDescent="0.35">
      <c r="A95"/>
      <c r="B95"/>
      <c r="C95"/>
      <c r="D95"/>
    </row>
    <row r="96" spans="1:4" x14ac:dyDescent="0.35">
      <c r="A96"/>
      <c r="B96"/>
      <c r="C96"/>
      <c r="D96"/>
    </row>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vt:lpstr>
      <vt:lpstr>RCA</vt:lpstr>
      <vt:lpstr>Device Wise Uptime </vt:lpstr>
      <vt:lpstr>All Location </vt:lpstr>
      <vt:lpstr>BLR</vt:lpstr>
      <vt:lpstr>Grater Noida </vt:lpstr>
      <vt:lpstr>Guwahati</vt:lpstr>
      <vt:lpstr>Hyd</vt:lpstr>
      <vt:lpstr>mohali</vt:lpstr>
      <vt:lpstr>Mumbai</vt:lpstr>
      <vt:lpstr>Nagpur</vt:lpstr>
      <vt:lpstr>Noida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Vidhata Sharma</dc:creator>
  <cp:lastModifiedBy>Vidhata Sharma</cp:lastModifiedBy>
  <dcterms:created xsi:type="dcterms:W3CDTF">2026-07-20T07:29:16Z</dcterms:created>
  <dcterms:modified xsi:type="dcterms:W3CDTF">2026-07-20T10:13:42Z</dcterms:modified>
</cp:coreProperties>
</file>